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erfan/Desktop/daikonLLM/template-free-invariant-detection-replication/"/>
    </mc:Choice>
  </mc:AlternateContent>
  <xr:revisionPtr revIDLastSave="0" documentId="8_{DAC3EDC8-1A9F-6B4C-B7B8-2BE22FE02521}" xr6:coauthVersionLast="47" xr6:coauthVersionMax="47" xr10:uidLastSave="{00000000-0000-0000-0000-000000000000}"/>
  <bookViews>
    <workbookView xWindow="0" yWindow="600" windowWidth="27040" windowHeight="15320" activeTab="5" xr2:uid="{00000000-000D-0000-FFFF-FFFF00000000}"/>
  </bookViews>
  <sheets>
    <sheet name="papers" sheetId="1" r:id="rId1"/>
    <sheet name="+randomNum" sheetId="2" r:id="rId2"/>
    <sheet name="sampled" sheetId="3" r:id="rId3"/>
    <sheet name="coded" sheetId="4" r:id="rId4"/>
    <sheet name="freq" sheetId="5" r:id="rId5"/>
    <sheet name="Remaining 144 coded"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3" i="2" l="1"/>
  <c r="J333" i="2"/>
  <c r="I333" i="2"/>
  <c r="K332" i="2"/>
  <c r="J332" i="2"/>
  <c r="I332" i="2"/>
  <c r="K331" i="2"/>
  <c r="J331" i="2"/>
  <c r="I331" i="2"/>
  <c r="K330" i="2"/>
  <c r="J330" i="2"/>
  <c r="I330" i="2"/>
  <c r="K329" i="2"/>
  <c r="J329" i="2"/>
  <c r="I329" i="2"/>
  <c r="K328" i="2"/>
  <c r="J328" i="2"/>
  <c r="I328" i="2"/>
  <c r="K327" i="2"/>
  <c r="J327" i="2"/>
  <c r="I327" i="2"/>
  <c r="K326" i="2"/>
  <c r="J326" i="2"/>
  <c r="I326" i="2"/>
  <c r="K325" i="2"/>
  <c r="J325" i="2"/>
  <c r="I325" i="2"/>
  <c r="K324" i="2"/>
  <c r="J324" i="2"/>
  <c r="I324" i="2"/>
  <c r="K323" i="2"/>
  <c r="J323" i="2"/>
  <c r="I323" i="2"/>
  <c r="K322" i="2"/>
  <c r="J322" i="2"/>
  <c r="I322" i="2"/>
  <c r="K321" i="2"/>
  <c r="J321" i="2"/>
  <c r="I321" i="2"/>
  <c r="K320" i="2"/>
  <c r="J320" i="2"/>
  <c r="I320" i="2"/>
  <c r="K319" i="2"/>
  <c r="J319" i="2"/>
  <c r="I319" i="2"/>
  <c r="K318" i="2"/>
  <c r="J318" i="2"/>
  <c r="I318" i="2"/>
  <c r="K317" i="2"/>
  <c r="J317" i="2"/>
  <c r="I317" i="2"/>
  <c r="K316" i="2"/>
  <c r="J316" i="2"/>
  <c r="I316" i="2"/>
  <c r="K315" i="2"/>
  <c r="J315" i="2"/>
  <c r="I315" i="2"/>
  <c r="K314" i="2"/>
  <c r="J314" i="2"/>
  <c r="I314" i="2"/>
  <c r="K313" i="2"/>
  <c r="J313" i="2"/>
  <c r="I313" i="2"/>
  <c r="K312" i="2"/>
  <c r="J312" i="2"/>
  <c r="I312" i="2"/>
  <c r="K311" i="2"/>
  <c r="J311" i="2"/>
  <c r="I311" i="2"/>
  <c r="K310" i="2"/>
  <c r="J310" i="2"/>
  <c r="I310" i="2"/>
  <c r="K309" i="2"/>
  <c r="J309" i="2"/>
  <c r="I309" i="2"/>
  <c r="K308" i="2"/>
  <c r="J308" i="2"/>
  <c r="I308" i="2"/>
  <c r="K307" i="2"/>
  <c r="J307" i="2"/>
  <c r="I307" i="2"/>
  <c r="K306" i="2"/>
  <c r="J306" i="2"/>
  <c r="I306" i="2"/>
  <c r="K305" i="2"/>
  <c r="J305" i="2"/>
  <c r="I305" i="2"/>
  <c r="K304" i="2"/>
  <c r="J304" i="2"/>
  <c r="I304" i="2"/>
  <c r="K303" i="2"/>
  <c r="J303" i="2"/>
  <c r="I303" i="2"/>
  <c r="K302" i="2"/>
  <c r="J302" i="2"/>
  <c r="I302" i="2"/>
  <c r="K301" i="2"/>
  <c r="J301" i="2"/>
  <c r="I301" i="2"/>
  <c r="K300" i="2"/>
  <c r="J300" i="2"/>
  <c r="I300" i="2"/>
  <c r="K299" i="2"/>
  <c r="J299" i="2"/>
  <c r="I299" i="2"/>
  <c r="K298" i="2"/>
  <c r="J298" i="2"/>
  <c r="I298" i="2"/>
  <c r="K297" i="2"/>
  <c r="J297" i="2"/>
  <c r="I297" i="2"/>
  <c r="K296" i="2"/>
  <c r="J296" i="2"/>
  <c r="I296" i="2"/>
  <c r="K295" i="2"/>
  <c r="J295" i="2"/>
  <c r="I295" i="2"/>
  <c r="K294" i="2"/>
  <c r="J294" i="2"/>
  <c r="I294" i="2"/>
  <c r="K293" i="2"/>
  <c r="J293" i="2"/>
  <c r="I293" i="2"/>
  <c r="K292" i="2"/>
  <c r="J292" i="2"/>
  <c r="I292" i="2"/>
  <c r="K291" i="2"/>
  <c r="J291" i="2"/>
  <c r="I291" i="2"/>
  <c r="K290" i="2"/>
  <c r="J290" i="2"/>
  <c r="I290" i="2"/>
  <c r="K289" i="2"/>
  <c r="J289" i="2"/>
  <c r="I289" i="2"/>
  <c r="K288" i="2"/>
  <c r="J288" i="2"/>
  <c r="I288" i="2"/>
  <c r="K287" i="2"/>
  <c r="J287" i="2"/>
  <c r="I287" i="2"/>
  <c r="K286" i="2"/>
  <c r="J286" i="2"/>
  <c r="I286" i="2"/>
  <c r="K285" i="2"/>
  <c r="J285" i="2"/>
  <c r="I285" i="2"/>
  <c r="K284" i="2"/>
  <c r="J284" i="2"/>
  <c r="I284" i="2"/>
  <c r="K283" i="2"/>
  <c r="J283" i="2"/>
  <c r="I283" i="2"/>
  <c r="K282" i="2"/>
  <c r="J282" i="2"/>
  <c r="I282" i="2"/>
  <c r="K281" i="2"/>
  <c r="J281" i="2"/>
  <c r="I281" i="2"/>
  <c r="K280" i="2"/>
  <c r="J280" i="2"/>
  <c r="I280" i="2"/>
  <c r="K279" i="2"/>
  <c r="J279" i="2"/>
  <c r="I279" i="2"/>
  <c r="K278" i="2"/>
  <c r="J278" i="2"/>
  <c r="I278" i="2"/>
  <c r="K277" i="2"/>
  <c r="J277" i="2"/>
  <c r="I277" i="2"/>
  <c r="K276" i="2"/>
  <c r="J276" i="2"/>
  <c r="I276" i="2"/>
  <c r="K275" i="2"/>
  <c r="J275" i="2"/>
  <c r="I275" i="2"/>
  <c r="K274" i="2"/>
  <c r="J274" i="2"/>
  <c r="I274" i="2"/>
  <c r="K273" i="2"/>
  <c r="J273" i="2"/>
  <c r="I273" i="2"/>
  <c r="K272" i="2"/>
  <c r="J272" i="2"/>
  <c r="I272" i="2"/>
  <c r="K271" i="2"/>
  <c r="J271" i="2"/>
  <c r="I271" i="2"/>
  <c r="K270" i="2"/>
  <c r="J270" i="2"/>
  <c r="I270" i="2"/>
  <c r="K269" i="2"/>
  <c r="J269" i="2"/>
  <c r="I269" i="2"/>
  <c r="K268" i="2"/>
  <c r="J268" i="2"/>
  <c r="I268" i="2"/>
  <c r="K267" i="2"/>
  <c r="J267" i="2"/>
  <c r="I267" i="2"/>
  <c r="K266" i="2"/>
  <c r="J266" i="2"/>
  <c r="I266" i="2"/>
  <c r="K265" i="2"/>
  <c r="J265" i="2"/>
  <c r="I265" i="2"/>
  <c r="K264" i="2"/>
  <c r="J264" i="2"/>
  <c r="I264" i="2"/>
  <c r="K263" i="2"/>
  <c r="J263" i="2"/>
  <c r="I263" i="2"/>
  <c r="K262" i="2"/>
  <c r="J262" i="2"/>
  <c r="I262" i="2"/>
  <c r="K261" i="2"/>
  <c r="J261" i="2"/>
  <c r="I261" i="2"/>
  <c r="K260" i="2"/>
  <c r="J260" i="2"/>
  <c r="I260" i="2"/>
  <c r="K259" i="2"/>
  <c r="J259" i="2"/>
  <c r="I259" i="2"/>
  <c r="K258" i="2"/>
  <c r="J258" i="2"/>
  <c r="I258" i="2"/>
  <c r="K257" i="2"/>
  <c r="J257" i="2"/>
  <c r="I257" i="2"/>
  <c r="K256" i="2"/>
  <c r="J256" i="2"/>
  <c r="I256" i="2"/>
  <c r="K255" i="2"/>
  <c r="J255" i="2"/>
  <c r="I255" i="2"/>
  <c r="K254" i="2"/>
  <c r="J254" i="2"/>
  <c r="I254" i="2"/>
  <c r="K253" i="2"/>
  <c r="J253" i="2"/>
  <c r="I253" i="2"/>
  <c r="K252" i="2"/>
  <c r="J252" i="2"/>
  <c r="I252" i="2"/>
  <c r="K251" i="2"/>
  <c r="J251" i="2"/>
  <c r="I251" i="2"/>
  <c r="K250" i="2"/>
  <c r="J250" i="2"/>
  <c r="I250" i="2"/>
  <c r="K249" i="2"/>
  <c r="J249" i="2"/>
  <c r="I249" i="2"/>
  <c r="K248" i="2"/>
  <c r="J248" i="2"/>
  <c r="I248" i="2"/>
  <c r="K247" i="2"/>
  <c r="J247" i="2"/>
  <c r="I247" i="2"/>
  <c r="K246" i="2"/>
  <c r="J246" i="2"/>
  <c r="I246" i="2"/>
  <c r="K245" i="2"/>
  <c r="J245" i="2"/>
  <c r="I245" i="2"/>
  <c r="K244" i="2"/>
  <c r="J244" i="2"/>
  <c r="I244" i="2"/>
  <c r="K243" i="2"/>
  <c r="J243" i="2"/>
  <c r="I243" i="2"/>
  <c r="K242" i="2"/>
  <c r="J242" i="2"/>
  <c r="I242" i="2"/>
  <c r="K241" i="2"/>
  <c r="J241" i="2"/>
  <c r="I241" i="2"/>
  <c r="K240" i="2"/>
  <c r="J240" i="2"/>
  <c r="I240" i="2"/>
  <c r="K239" i="2"/>
  <c r="J239" i="2"/>
  <c r="I239" i="2"/>
  <c r="K238" i="2"/>
  <c r="J238" i="2"/>
  <c r="I238" i="2"/>
  <c r="K237" i="2"/>
  <c r="J237" i="2"/>
  <c r="I237" i="2"/>
  <c r="K236" i="2"/>
  <c r="J236" i="2"/>
  <c r="I236" i="2"/>
  <c r="K235" i="2"/>
  <c r="J235" i="2"/>
  <c r="I235" i="2"/>
  <c r="K234" i="2"/>
  <c r="J234" i="2"/>
  <c r="I234" i="2"/>
  <c r="K233" i="2"/>
  <c r="J233" i="2"/>
  <c r="I233" i="2"/>
  <c r="K232" i="2"/>
  <c r="J232" i="2"/>
  <c r="I232" i="2"/>
  <c r="K231" i="2"/>
  <c r="J231" i="2"/>
  <c r="I231" i="2"/>
  <c r="K230" i="2"/>
  <c r="J230" i="2"/>
  <c r="I230" i="2"/>
  <c r="K229" i="2"/>
  <c r="J229" i="2"/>
  <c r="I229" i="2"/>
  <c r="K228" i="2"/>
  <c r="J228" i="2"/>
  <c r="I228" i="2"/>
  <c r="K227" i="2"/>
  <c r="J227" i="2"/>
  <c r="I227" i="2"/>
  <c r="K226" i="2"/>
  <c r="J226" i="2"/>
  <c r="I226" i="2"/>
  <c r="K225" i="2"/>
  <c r="J225" i="2"/>
  <c r="I225" i="2"/>
  <c r="K224" i="2"/>
  <c r="J224" i="2"/>
  <c r="I224" i="2"/>
  <c r="K223" i="2"/>
  <c r="J223" i="2"/>
  <c r="I223" i="2"/>
  <c r="K222" i="2"/>
  <c r="J222" i="2"/>
  <c r="I222" i="2"/>
  <c r="K221" i="2"/>
  <c r="J221" i="2"/>
  <c r="I221" i="2"/>
  <c r="K220" i="2"/>
  <c r="J220" i="2"/>
  <c r="I220" i="2"/>
  <c r="K219" i="2"/>
  <c r="J219" i="2"/>
  <c r="I219" i="2"/>
  <c r="K218" i="2"/>
  <c r="J218" i="2"/>
  <c r="I218" i="2"/>
  <c r="K217" i="2"/>
  <c r="J217" i="2"/>
  <c r="I217" i="2"/>
  <c r="K216" i="2"/>
  <c r="J216" i="2"/>
  <c r="I216" i="2"/>
  <c r="K215" i="2"/>
  <c r="J215" i="2"/>
  <c r="I215" i="2"/>
  <c r="K214" i="2"/>
  <c r="J214" i="2"/>
  <c r="I214" i="2"/>
  <c r="K213" i="2"/>
  <c r="J213" i="2"/>
  <c r="I213" i="2"/>
  <c r="K212" i="2"/>
  <c r="J212" i="2"/>
  <c r="I212" i="2"/>
  <c r="K211" i="2"/>
  <c r="J211" i="2"/>
  <c r="I211" i="2"/>
  <c r="K210" i="2"/>
  <c r="J210" i="2"/>
  <c r="I210" i="2"/>
  <c r="K209" i="2"/>
  <c r="J209" i="2"/>
  <c r="I209" i="2"/>
  <c r="K208" i="2"/>
  <c r="J208" i="2"/>
  <c r="I208" i="2"/>
  <c r="K207" i="2"/>
  <c r="J207" i="2"/>
  <c r="I207" i="2"/>
  <c r="K206" i="2"/>
  <c r="J206" i="2"/>
  <c r="I206" i="2"/>
  <c r="K205" i="2"/>
  <c r="J205" i="2"/>
  <c r="I205" i="2"/>
  <c r="K204" i="2"/>
  <c r="J204" i="2"/>
  <c r="I204" i="2"/>
  <c r="K203" i="2"/>
  <c r="J203" i="2"/>
  <c r="I203" i="2"/>
  <c r="K202" i="2"/>
  <c r="J202" i="2"/>
  <c r="I202" i="2"/>
  <c r="K201" i="2"/>
  <c r="J201" i="2"/>
  <c r="I201" i="2"/>
  <c r="K200" i="2"/>
  <c r="J200" i="2"/>
  <c r="I200" i="2"/>
  <c r="K199" i="2"/>
  <c r="J199" i="2"/>
  <c r="I199" i="2"/>
  <c r="K198" i="2"/>
  <c r="J198" i="2"/>
  <c r="I198" i="2"/>
  <c r="K197" i="2"/>
  <c r="J197" i="2"/>
  <c r="I197" i="2"/>
  <c r="K196" i="2"/>
  <c r="J196" i="2"/>
  <c r="I196" i="2"/>
  <c r="K195" i="2"/>
  <c r="J195" i="2"/>
  <c r="I195" i="2"/>
  <c r="K194" i="2"/>
  <c r="J194" i="2"/>
  <c r="I194" i="2"/>
  <c r="K193" i="2"/>
  <c r="J193" i="2"/>
  <c r="I193" i="2"/>
  <c r="K192" i="2"/>
  <c r="J192" i="2"/>
  <c r="I192" i="2"/>
  <c r="K191" i="2"/>
  <c r="J191" i="2"/>
  <c r="I191" i="2"/>
  <c r="K190" i="2"/>
  <c r="J190" i="2"/>
  <c r="I190" i="2"/>
  <c r="K189" i="2"/>
  <c r="J189" i="2"/>
  <c r="I189" i="2"/>
  <c r="K188" i="2"/>
  <c r="J188" i="2"/>
  <c r="I188" i="2"/>
  <c r="K187" i="2"/>
  <c r="J187" i="2"/>
  <c r="I187" i="2"/>
  <c r="K186" i="2"/>
  <c r="J186" i="2"/>
  <c r="I186" i="2"/>
  <c r="K185" i="2"/>
  <c r="J185" i="2"/>
  <c r="I185" i="2"/>
  <c r="K184" i="2"/>
  <c r="J184" i="2"/>
  <c r="I184" i="2"/>
  <c r="K183" i="2"/>
  <c r="J183" i="2"/>
  <c r="I183" i="2"/>
  <c r="K182" i="2"/>
  <c r="J182" i="2"/>
  <c r="I182" i="2"/>
  <c r="K181" i="2"/>
  <c r="J181" i="2"/>
  <c r="I181" i="2"/>
  <c r="K180" i="2"/>
  <c r="J180" i="2"/>
  <c r="I180" i="2"/>
  <c r="K179" i="2"/>
  <c r="J179" i="2"/>
  <c r="I179" i="2"/>
  <c r="K178" i="2"/>
  <c r="J178" i="2"/>
  <c r="I178" i="2"/>
  <c r="K177" i="2"/>
  <c r="J177" i="2"/>
  <c r="I177" i="2"/>
  <c r="K176" i="2"/>
  <c r="J176" i="2"/>
  <c r="I176" i="2"/>
  <c r="K175" i="2"/>
  <c r="J175" i="2"/>
  <c r="I175" i="2"/>
  <c r="K174" i="2"/>
  <c r="J174" i="2"/>
  <c r="I174" i="2"/>
  <c r="K173" i="2"/>
  <c r="J173" i="2"/>
  <c r="I173" i="2"/>
  <c r="K172" i="2"/>
  <c r="J172" i="2"/>
  <c r="I172" i="2"/>
  <c r="K171" i="2"/>
  <c r="J171" i="2"/>
  <c r="I171" i="2"/>
  <c r="K170" i="2"/>
  <c r="J170" i="2"/>
  <c r="I170" i="2"/>
  <c r="K169" i="2"/>
  <c r="J169" i="2"/>
  <c r="I169" i="2"/>
  <c r="K168" i="2"/>
  <c r="J168" i="2"/>
  <c r="I168" i="2"/>
  <c r="K167" i="2"/>
  <c r="J167" i="2"/>
  <c r="I167" i="2"/>
  <c r="K166" i="2"/>
  <c r="J166" i="2"/>
  <c r="I166" i="2"/>
  <c r="K165" i="2"/>
  <c r="J165" i="2"/>
  <c r="I165" i="2"/>
  <c r="K164" i="2"/>
  <c r="J164" i="2"/>
  <c r="I164" i="2"/>
  <c r="K163" i="2"/>
  <c r="J163" i="2"/>
  <c r="I163" i="2"/>
  <c r="K162" i="2"/>
  <c r="J162" i="2"/>
  <c r="I162" i="2"/>
  <c r="K161" i="2"/>
  <c r="J161" i="2"/>
  <c r="I161" i="2"/>
  <c r="K160" i="2"/>
  <c r="J160" i="2"/>
  <c r="I160" i="2"/>
  <c r="K159" i="2"/>
  <c r="J159" i="2"/>
  <c r="I159" i="2"/>
  <c r="K158" i="2"/>
  <c r="J158" i="2"/>
  <c r="I158" i="2"/>
  <c r="K157" i="2"/>
  <c r="J157" i="2"/>
  <c r="I157" i="2"/>
  <c r="K156" i="2"/>
  <c r="J156" i="2"/>
  <c r="I156" i="2"/>
  <c r="K155" i="2"/>
  <c r="J155" i="2"/>
  <c r="I155" i="2"/>
  <c r="K154" i="2"/>
  <c r="J154" i="2"/>
  <c r="I154" i="2"/>
  <c r="K153" i="2"/>
  <c r="J153" i="2"/>
  <c r="I153" i="2"/>
  <c r="K152" i="2"/>
  <c r="J152" i="2"/>
  <c r="I152" i="2"/>
  <c r="K151" i="2"/>
  <c r="J151" i="2"/>
  <c r="I151" i="2"/>
  <c r="K150" i="2"/>
  <c r="J150" i="2"/>
  <c r="I150" i="2"/>
  <c r="K149" i="2"/>
  <c r="J149" i="2"/>
  <c r="I149" i="2"/>
  <c r="K148" i="2"/>
  <c r="J148" i="2"/>
  <c r="I148" i="2"/>
  <c r="K147" i="2"/>
  <c r="J147" i="2"/>
  <c r="I147" i="2"/>
  <c r="K146" i="2"/>
  <c r="J146" i="2"/>
  <c r="I146" i="2"/>
  <c r="K145" i="2"/>
  <c r="J145" i="2"/>
  <c r="I145" i="2"/>
  <c r="K144" i="2"/>
  <c r="J144" i="2"/>
  <c r="I144" i="2"/>
  <c r="K143" i="2"/>
  <c r="J143" i="2"/>
  <c r="I143" i="2"/>
  <c r="K142" i="2"/>
  <c r="J142" i="2"/>
  <c r="I142" i="2"/>
  <c r="K141" i="2"/>
  <c r="J141" i="2"/>
  <c r="I141" i="2"/>
  <c r="K140" i="2"/>
  <c r="J140" i="2"/>
  <c r="I140" i="2"/>
  <c r="K139" i="2"/>
  <c r="J139" i="2"/>
  <c r="I139" i="2"/>
  <c r="K138" i="2"/>
  <c r="J138" i="2"/>
  <c r="I138" i="2"/>
  <c r="K137" i="2"/>
  <c r="J137" i="2"/>
  <c r="I137" i="2"/>
  <c r="K136" i="2"/>
  <c r="J136" i="2"/>
  <c r="I136" i="2"/>
  <c r="K135" i="2"/>
  <c r="J135" i="2"/>
  <c r="I135" i="2"/>
  <c r="K134" i="2"/>
  <c r="J134" i="2"/>
  <c r="I134" i="2"/>
  <c r="K133" i="2"/>
  <c r="J133" i="2"/>
  <c r="I133" i="2"/>
  <c r="K132" i="2"/>
  <c r="J132" i="2"/>
  <c r="I132" i="2"/>
  <c r="K131" i="2"/>
  <c r="J131" i="2"/>
  <c r="I131" i="2"/>
  <c r="K130" i="2"/>
  <c r="J130" i="2"/>
  <c r="I130" i="2"/>
  <c r="K129" i="2"/>
  <c r="J129" i="2"/>
  <c r="I129" i="2"/>
  <c r="K128" i="2"/>
  <c r="J128" i="2"/>
  <c r="I128" i="2"/>
  <c r="K127" i="2"/>
  <c r="J127" i="2"/>
  <c r="I127" i="2"/>
  <c r="K126" i="2"/>
  <c r="J126" i="2"/>
  <c r="I126" i="2"/>
  <c r="K125" i="2"/>
  <c r="J125" i="2"/>
  <c r="I125" i="2"/>
  <c r="K124" i="2"/>
  <c r="J124" i="2"/>
  <c r="I124" i="2"/>
  <c r="K123" i="2"/>
  <c r="J123" i="2"/>
  <c r="I123" i="2"/>
  <c r="K122" i="2"/>
  <c r="J122" i="2"/>
  <c r="I122" i="2"/>
  <c r="K121" i="2"/>
  <c r="J121" i="2"/>
  <c r="I121" i="2"/>
  <c r="K120" i="2"/>
  <c r="J120" i="2"/>
  <c r="I120" i="2"/>
  <c r="K119" i="2"/>
  <c r="J119" i="2"/>
  <c r="I119" i="2"/>
  <c r="K118" i="2"/>
  <c r="J118" i="2"/>
  <c r="I118" i="2"/>
  <c r="K117" i="2"/>
  <c r="J117" i="2"/>
  <c r="I117" i="2"/>
  <c r="K116" i="2"/>
  <c r="J116" i="2"/>
  <c r="I116" i="2"/>
  <c r="K115" i="2"/>
  <c r="J115" i="2"/>
  <c r="I115" i="2"/>
  <c r="K114" i="2"/>
  <c r="J114" i="2"/>
  <c r="I114" i="2"/>
  <c r="K113" i="2"/>
  <c r="J113" i="2"/>
  <c r="I113" i="2"/>
  <c r="K112" i="2"/>
  <c r="J112" i="2"/>
  <c r="I112" i="2"/>
  <c r="K111" i="2"/>
  <c r="J111" i="2"/>
  <c r="I111" i="2"/>
  <c r="K110" i="2"/>
  <c r="J110" i="2"/>
  <c r="I110" i="2"/>
  <c r="K109" i="2"/>
  <c r="J109" i="2"/>
  <c r="I109" i="2"/>
  <c r="K108" i="2"/>
  <c r="J108" i="2"/>
  <c r="I108" i="2"/>
  <c r="K107" i="2"/>
  <c r="J107" i="2"/>
  <c r="I107" i="2"/>
  <c r="K106" i="2"/>
  <c r="J106" i="2"/>
  <c r="I106" i="2"/>
  <c r="K105" i="2"/>
  <c r="J105" i="2"/>
  <c r="I105" i="2"/>
  <c r="K104" i="2"/>
  <c r="J104" i="2"/>
  <c r="I104" i="2"/>
  <c r="K103" i="2"/>
  <c r="J103" i="2"/>
  <c r="I103" i="2"/>
  <c r="K102" i="2"/>
  <c r="J102" i="2"/>
  <c r="I102" i="2"/>
  <c r="K101" i="2"/>
  <c r="J101" i="2"/>
  <c r="I101" i="2"/>
  <c r="K100" i="2"/>
  <c r="J100" i="2"/>
  <c r="I100" i="2"/>
  <c r="K99" i="2"/>
  <c r="J99" i="2"/>
  <c r="I99" i="2"/>
  <c r="K98" i="2"/>
  <c r="J98" i="2"/>
  <c r="I98" i="2"/>
  <c r="K97" i="2"/>
  <c r="J97" i="2"/>
  <c r="I97" i="2"/>
  <c r="K96" i="2"/>
  <c r="J96" i="2"/>
  <c r="I96" i="2"/>
  <c r="K95" i="2"/>
  <c r="J95" i="2"/>
  <c r="I95" i="2"/>
  <c r="K94" i="2"/>
  <c r="J94" i="2"/>
  <c r="I94" i="2"/>
  <c r="K93" i="2"/>
  <c r="J93" i="2"/>
  <c r="I93" i="2"/>
  <c r="K92" i="2"/>
  <c r="J92" i="2"/>
  <c r="I92" i="2"/>
  <c r="K91" i="2"/>
  <c r="J91" i="2"/>
  <c r="I91" i="2"/>
  <c r="K90" i="2"/>
  <c r="J90" i="2"/>
  <c r="I90" i="2"/>
  <c r="K89" i="2"/>
  <c r="J89" i="2"/>
  <c r="I89" i="2"/>
  <c r="K88" i="2"/>
  <c r="J88" i="2"/>
  <c r="I88" i="2"/>
  <c r="K87" i="2"/>
  <c r="J87" i="2"/>
  <c r="I87" i="2"/>
  <c r="K86" i="2"/>
  <c r="J86" i="2"/>
  <c r="I86" i="2"/>
  <c r="K85" i="2"/>
  <c r="J85" i="2"/>
  <c r="I85" i="2"/>
  <c r="K84" i="2"/>
  <c r="J84" i="2"/>
  <c r="I84" i="2"/>
  <c r="K83" i="2"/>
  <c r="J83" i="2"/>
  <c r="I83" i="2"/>
  <c r="K82" i="2"/>
  <c r="J82" i="2"/>
  <c r="I82" i="2"/>
  <c r="K81" i="2"/>
  <c r="J81" i="2"/>
  <c r="I81" i="2"/>
  <c r="K80" i="2"/>
  <c r="J80" i="2"/>
  <c r="I80" i="2"/>
  <c r="K79" i="2"/>
  <c r="J79" i="2"/>
  <c r="I79" i="2"/>
  <c r="K78" i="2"/>
  <c r="J78" i="2"/>
  <c r="I78" i="2"/>
  <c r="K77" i="2"/>
  <c r="J77" i="2"/>
  <c r="I77" i="2"/>
  <c r="K76" i="2"/>
  <c r="J76" i="2"/>
  <c r="I76" i="2"/>
  <c r="K75" i="2"/>
  <c r="J75" i="2"/>
  <c r="I75" i="2"/>
  <c r="K74" i="2"/>
  <c r="J74" i="2"/>
  <c r="I74" i="2"/>
  <c r="K73" i="2"/>
  <c r="J73" i="2"/>
  <c r="I73" i="2"/>
  <c r="K72" i="2"/>
  <c r="J72" i="2"/>
  <c r="I72" i="2"/>
  <c r="K71" i="2"/>
  <c r="J71" i="2"/>
  <c r="I71" i="2"/>
  <c r="K70" i="2"/>
  <c r="J70" i="2"/>
  <c r="I70" i="2"/>
  <c r="K69" i="2"/>
  <c r="J69" i="2"/>
  <c r="I69" i="2"/>
  <c r="K68" i="2"/>
  <c r="J68" i="2"/>
  <c r="I68" i="2"/>
  <c r="K67" i="2"/>
  <c r="J67" i="2"/>
  <c r="I67" i="2"/>
  <c r="K66" i="2"/>
  <c r="J66" i="2"/>
  <c r="I66" i="2"/>
  <c r="K65" i="2"/>
  <c r="J65" i="2"/>
  <c r="I65" i="2"/>
  <c r="K64" i="2"/>
  <c r="J64" i="2"/>
  <c r="I64" i="2"/>
  <c r="K63" i="2"/>
  <c r="J63" i="2"/>
  <c r="I63" i="2"/>
  <c r="K62" i="2"/>
  <c r="J62" i="2"/>
  <c r="I62" i="2"/>
  <c r="K61" i="2"/>
  <c r="J61" i="2"/>
  <c r="I61" i="2"/>
  <c r="K60" i="2"/>
  <c r="J60" i="2"/>
  <c r="I60" i="2"/>
  <c r="K59" i="2"/>
  <c r="J59" i="2"/>
  <c r="I59" i="2"/>
  <c r="K58" i="2"/>
  <c r="J58" i="2"/>
  <c r="I58" i="2"/>
  <c r="K57" i="2"/>
  <c r="J57" i="2"/>
  <c r="I57" i="2"/>
  <c r="K56" i="2"/>
  <c r="J56" i="2"/>
  <c r="I56" i="2"/>
  <c r="K55" i="2"/>
  <c r="J55" i="2"/>
  <c r="I55" i="2"/>
  <c r="K54" i="2"/>
  <c r="J54" i="2"/>
  <c r="I54" i="2"/>
  <c r="K53" i="2"/>
  <c r="J53" i="2"/>
  <c r="I53" i="2"/>
  <c r="K52" i="2"/>
  <c r="J52" i="2"/>
  <c r="I52" i="2"/>
  <c r="K51" i="2"/>
  <c r="J51" i="2"/>
  <c r="I51" i="2"/>
  <c r="K50" i="2"/>
  <c r="J50" i="2"/>
  <c r="I50" i="2"/>
  <c r="K49" i="2"/>
  <c r="J49" i="2"/>
  <c r="I49" i="2"/>
  <c r="K48" i="2"/>
  <c r="J48" i="2"/>
  <c r="I48" i="2"/>
  <c r="K47" i="2"/>
  <c r="J47" i="2"/>
  <c r="I47" i="2"/>
  <c r="K46" i="2"/>
  <c r="J46" i="2"/>
  <c r="I46" i="2"/>
  <c r="K45" i="2"/>
  <c r="J45" i="2"/>
  <c r="I45" i="2"/>
  <c r="K44" i="2"/>
  <c r="J44" i="2"/>
  <c r="I44" i="2"/>
  <c r="K43" i="2"/>
  <c r="J43" i="2"/>
  <c r="I43" i="2"/>
  <c r="K42" i="2"/>
  <c r="J42" i="2"/>
  <c r="I42" i="2"/>
  <c r="K41" i="2"/>
  <c r="J41" i="2"/>
  <c r="I41" i="2"/>
  <c r="K40" i="2"/>
  <c r="J40" i="2"/>
  <c r="I40" i="2"/>
  <c r="K39" i="2"/>
  <c r="J39" i="2"/>
  <c r="I39" i="2"/>
  <c r="K38" i="2"/>
  <c r="J38" i="2"/>
  <c r="I38" i="2"/>
  <c r="K37" i="2"/>
  <c r="J37" i="2"/>
  <c r="I37" i="2"/>
  <c r="K36" i="2"/>
  <c r="J36" i="2"/>
  <c r="I36" i="2"/>
  <c r="K35" i="2"/>
  <c r="J35" i="2"/>
  <c r="I35" i="2"/>
  <c r="K34" i="2"/>
  <c r="J34" i="2"/>
  <c r="I34" i="2"/>
  <c r="K33" i="2"/>
  <c r="J33" i="2"/>
  <c r="I33" i="2"/>
  <c r="K32" i="2"/>
  <c r="J32" i="2"/>
  <c r="I32" i="2"/>
  <c r="K31" i="2"/>
  <c r="J31" i="2"/>
  <c r="I31" i="2"/>
  <c r="K30" i="2"/>
  <c r="J30" i="2"/>
  <c r="I30" i="2"/>
  <c r="K29" i="2"/>
  <c r="J29" i="2"/>
  <c r="I29" i="2"/>
  <c r="K28" i="2"/>
  <c r="J28" i="2"/>
  <c r="I28" i="2"/>
  <c r="K27" i="2"/>
  <c r="J27" i="2"/>
  <c r="I27" i="2"/>
  <c r="K26" i="2"/>
  <c r="J26" i="2"/>
  <c r="I26" i="2"/>
  <c r="K25" i="2"/>
  <c r="J25" i="2"/>
  <c r="I25" i="2"/>
  <c r="K24" i="2"/>
  <c r="J24" i="2"/>
  <c r="I24" i="2"/>
  <c r="K23" i="2"/>
  <c r="J23" i="2"/>
  <c r="I23" i="2"/>
  <c r="K22" i="2"/>
  <c r="J22" i="2"/>
  <c r="I22" i="2"/>
  <c r="K21" i="2"/>
  <c r="J21" i="2"/>
  <c r="I21" i="2"/>
  <c r="K20" i="2"/>
  <c r="J20" i="2"/>
  <c r="I20" i="2"/>
  <c r="K19" i="2"/>
  <c r="J19" i="2"/>
  <c r="I19" i="2"/>
  <c r="K18" i="2"/>
  <c r="J18" i="2"/>
  <c r="I18" i="2"/>
  <c r="K17" i="2"/>
  <c r="J17" i="2"/>
  <c r="I17" i="2"/>
  <c r="K16" i="2"/>
  <c r="J16" i="2"/>
  <c r="I16" i="2"/>
  <c r="K15" i="2"/>
  <c r="J15" i="2"/>
  <c r="I15" i="2"/>
  <c r="K14" i="2"/>
  <c r="J14" i="2"/>
  <c r="I14" i="2"/>
  <c r="K13" i="2"/>
  <c r="J13" i="2"/>
  <c r="I13" i="2"/>
  <c r="K12" i="2"/>
  <c r="J12" i="2"/>
  <c r="I12" i="2"/>
  <c r="K11" i="2"/>
  <c r="J11" i="2"/>
  <c r="I11" i="2"/>
  <c r="K10" i="2"/>
  <c r="J10" i="2"/>
  <c r="I10" i="2"/>
  <c r="K9" i="2"/>
  <c r="J9" i="2"/>
  <c r="I9" i="2"/>
  <c r="K8" i="2"/>
  <c r="J8" i="2"/>
  <c r="I8" i="2"/>
  <c r="K7" i="2"/>
  <c r="J7" i="2"/>
  <c r="I7" i="2"/>
  <c r="K6" i="2"/>
  <c r="J6" i="2"/>
  <c r="I6" i="2"/>
  <c r="K5" i="2"/>
  <c r="J5" i="2"/>
  <c r="I5" i="2"/>
  <c r="K4" i="2"/>
  <c r="J4" i="2"/>
  <c r="I4" i="2"/>
  <c r="K3" i="2"/>
  <c r="J3" i="2"/>
  <c r="I3" i="2"/>
  <c r="K2" i="2"/>
  <c r="K334" i="2" s="1"/>
  <c r="J2" i="2"/>
  <c r="J334" i="2" s="1"/>
  <c r="I2" i="2"/>
  <c r="I334" i="2" s="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K2" i="1"/>
  <c r="K334" i="1" s="1"/>
  <c r="J2" i="1"/>
  <c r="J334" i="1" s="1"/>
  <c r="I2" i="1"/>
  <c r="I334" i="1" s="1"/>
  <c r="L334" i="1" s="1"/>
</calcChain>
</file>

<file path=xl/sharedStrings.xml><?xml version="1.0" encoding="utf-8"?>
<sst xmlns="http://schemas.openxmlformats.org/spreadsheetml/2006/main" count="6894" uniqueCount="2078">
  <si>
    <t>venue</t>
  </si>
  <si>
    <t>title</t>
  </si>
  <si>
    <t>link</t>
  </si>
  <si>
    <t>abstract</t>
  </si>
  <si>
    <t>decision</t>
  </si>
  <si>
    <t>reasoning_notes</t>
  </si>
  <si>
    <t>context_types</t>
  </si>
  <si>
    <t>prompt_strategies</t>
  </si>
  <si>
    <t>include</t>
  </si>
  <si>
    <t>exclude</t>
  </si>
  <si>
    <t>uncertain</t>
  </si>
  <si>
    <t>FSE</t>
  </si>
  <si>
    <t>A Knowledge Enhanced Large Language Model for Bug Localization | Proceedings of the ACM on Software Engineering</t>
  </si>
  <si>
    <t>https://dl.acm.org/doi/10.1145/3729356</t>
  </si>
  <si>
    <t>A significant number of bug reports are generated every day as software systems continue to develop. Large Language Models (LLMs) have been used to correlate bug reports with source code to locate bugs automatically. The existing research has shown that LLMs are effective for bug localization and can increase software development efficiency. However, these studies still have two limitations. First, these models fail to capture context information about bug reports and source code. Second, these models are unable to understand the domain-specific expertise inherent to particular projects, such as version information in projects that are composed of alphanumeric characters without any semantic meaning. To address these challenges, we propose a K nowledge E nhanced P re- T rained model using project documents and historical code, called KEPT , for bug localization. Project documents record, revise, and restate project information that provides rich semantic information about those projects. Historical code contains rich code semantic information that can enhance the reasoning ability of LLMs. Specifically, we construct knowledge graphs from project documents and source code. Then, we introduce knowledge graphs to the LLM through soft-position embedding and visible matrices, enhancing its contextual and professional reasoning ability. To validate our model, we conducted a series of experiments on seven open-source software projects with over 6,000 bug reports. Compared with the traditional model (Locus), KEPT performs better by 33.2% to 59.5% in terms of mean reciprocal rank, mean average precision, and Top@N. Compared with the best-performing non-commercial LLM (CodeT5), KEPT achieves an improvement of 36.6% to 63.7%. Compared to the state-of-the-art commercial LLM developed by OpenAI, called text-embedding-ada-002 , KEPT achieves an average improvement of 7.8% to 17.4%. The results indicate that introducing knowledge graphs contributes to enhance the effectiveness of the LLM in bug localization.</t>
  </si>
  <si>
    <t>uses llm for bug localization; llm input includes source code and project documents; constructs knowledge graphs from source code and documents; enhances llm with code semantic info; historical code used as input</t>
  </si>
  <si>
    <t>code, documentation/specifications, historical context, graph-based expansion</t>
  </si>
  <si>
    <t>Causality-Aided Evaluation and Explanation of Large Language Model-Based Code Generation | Proceedings of the ACM on Software Engineering</t>
  </si>
  <si>
    <t>https://dl.acm.org/doi/10.1145/3728938</t>
  </si>
  <si>
    <t>While code generation has been widely used in various software development scenarios, the quality of the generated code is not guaranteed. This has been a particular concern in the era of large language models (LLM)-based code generation, where LLMs, deemed a complex and powerful black-box model, are instructed by a high-level natural language specification, namely a prompt, to generate code. Nevertheless, effectively evaluating and explaining the code generation capability of LLMs is inherently challenging, given the complexity of LLMs and the lack of transparency. Inspired by recent progress in causality analysis and its software engineering applications, this paper proposes a causality-driven approach to systematically analyze prompt-code causal relationships. However, this endeavor faces three key technical challenges: (1) representing textual prompts and code in a canonical form, (2) establishing causal relations between high-level concepts and code features, and (3) systematically analyzing diverse prompt variations. To address these challenges, we first propose a novel causal graph-based representation of the prompt and the generated code, which is established over the fine-grained, human-understandable concepts in the input prompts. The formed causal graph is then used to identify the causal relations between the prompt and the derived code. We illustrate the insights that our framework can provide by studying over four popular LLMs with over 12 prompt adjustment strategies. The results of these studies illustrate the potential of our technique to provide insights into LLM effectiveness and aid end-users in understanding predictions. Additionally, we demonstrate that our approach provides actionable insights to improve the quality of the LLM-generated code by properly calibrating the prompt.</t>
  </si>
  <si>
    <t>llm used for code generation; focus on prompt-code causal relations; prompt is high-level natural language specification; unclear if prompt includes source-code-related context or only natural language; no explicit mention of code snippets or code elements as input</t>
  </si>
  <si>
    <t>natural language</t>
  </si>
  <si>
    <t>Smart-LLaMA-DPO: Reinforced Large Language Model for Explainable Smart Contract Vulnerability Detection | Proceedings of the ACM on Software Engineering</t>
  </si>
  <si>
    <t>https://dl.acm.org/doi/10.1145/3728878</t>
  </si>
  <si>
    <t>Smart contract vulnerability detection is a critical challenge in the rapidly evolving blockchain landscape. Existing vulnerability detection methods face two main issues: (1) Existing datasets lack comprehensiveness and sufficient quality, with limited vulnerability type coverage and insufficient distinction between high-quality and low-quality explanations for preference learning. (2) Large language models (LLMs) often struggle with accurately interpreting specific concepts in smart contract security. Through our empirical analysis, we found that even after continual pre-training and supervised fine-tuning, LLMs still exhibit limitations in precisely understanding the execution order of state changes in smart contracts, which can lead to incorrect vulnerability explanations despite making correct detection decisions. These limitations result in poor detection performance, leading to potentially severe financial losses. To address these challenges, we propose Smart-LLaMA-DPO, an advanced detection method based on the LLaMA-3.1-8B. First, we construct a comprehensive dataset covering four vulnerability types and machine-unauditable vulnerabilities, containing labels, detailed explanations, and precise vulnerability locations for Supervised Fine-Tuning (SFT), as well as paired high-quality and low-quality outputs for Direct Preference Optimization (DPO). Second, we perform continual pre-training using large-scale smart contract code to enhance the LLM's understanding of specific security practices in smart contracts. Futhermore, we conduct supervised fine-tuning with our comprehensive dataset. Finally, we apply DPO, which leverages human feedback to improve the quality of generated explanations. Smart-LLaMA-DPO utilizes a specially designed loss function that encourages the LLM to increase the probability of preferred outputs while decreasing the probability of non-preferred outputs, thereby enhancing the LLM's ability to generate high-quality explanations. We evaluate Smart-LLaMA-DPO on four major vulnerability types: reentrancy, timestamp dependence, integer overflow/underflow, and delegatecall, as well as machine-unauditable vulnerabilities. Our method significantly outperforms state-of-the-art baselines, with average improvements of 10.43% in F1 score and 7.87% in accuracy. Moreover, both LLM evaluation and human evaluation demonstrate the superior quality of explanations generated by Smart-LLaMA-DPO in terms of correctness, thoroughness, and clarity.</t>
  </si>
  <si>
    <t>llm used for smart contract vulnerability detection; input includes smart contract code; continual pre-training on large-scale smart contract code; fine-tuning with dataset containing labels, explanations, and vulnerability locations; source-code-related input clearly given</t>
  </si>
  <si>
    <t>code</t>
  </si>
  <si>
    <t>LLMDroid: Enhancing Automated Mobile App GUI Testing Coverage with Large Language Model Guidance | Proceedings of the ACM on Software Engineering</t>
  </si>
  <si>
    <t>https://dl.acm.org/doi/10.1145/3715763</t>
  </si>
  <si>
    <t>With the rapid development of Large Language Models (LLMs), their integration into automated mobile GUI testing has emerged as a promising research direction. However, existing LLM-based testing approaches face significant challenges, including time inefficiency and high costs due to constant LLM querying. To address these issues, this paper introduces LLMDroid, a novel testing framework designed to enhance existing automated mobile GUI testing tools by leveraging LLMs more efficiently. The workflow of LLMDroid comprises two main stages: Autonomous Exploration and LLM Guidance. During Autonomous Exploration, LLMDroid utilizes existing testing tools while leveraging LLMs to summarize explored pages. When code coverage growth slows, it transitions to LLM Guidance to strategically direct testing towards unexplored functionalities. This approach minimizes LLM interactions while maximizing their impact on test coverage. We applied LLMDroid to three popular open-source Android testing tools and evaluated it on 14 top-listed apps from Google Play. Results demonstrate an average increase of 26.16% in code coverage and 29.31% in activity coverage. Furthermore, our evaluation under different LLMs reveals that LLMDroid outperform existing step-wise approaches with significant cost efficiency, achieving optimal performance at $0.49 per hour using GPT-4o among tested models, with a cost-effective alternative achieving 94% of this performance at just $0.03 per hour. These findings highlight LLMDroid’s effectiveness in enhancing automated mobile app testing and its potential for widespread adoption.</t>
  </si>
  <si>
    <t>llm used to summarize explored pages and guide testing; unclear if input includes source-code-related context or only gui/page summaries; no explicit mention of code snippets or code-related inputs to llm</t>
  </si>
  <si>
    <t>unspecified</t>
  </si>
  <si>
    <t>Demystifying LLM-Based Software Engineering Agents</t>
  </si>
  <si>
    <t>https://dl.acm.org/doi/10.1145/3715754</t>
  </si>
  <si>
    <t>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resolve software development issues. Compared to the verbose and complex setup of agent-based approaches, Agentless employs a simplistic three-phase process of localization, repair, and patch validation, without letting the LLM decide future actions or operate with complex tools. Our results on the popular SWE-bench Lite benchmark show that surprisingly the simplistic Agentless is able to achieve both the highest performance (32.00%, 96 correct fixes) and low cost ($0.70) compared with all existing open-source software agents at the time of paper submission! Agentless also achieves more than 50% solve rate when using Claude 3.5 Sonnet on the new SWE-bench Verified benchmark. In fact, Agentless has already been adopted by OpenAI as the go-to approach to showcase the real-world coding performance of both GPT-4o and the new o1 models; more recently, Agentless has also been used by DeepSeek to evaluate their newest DeepSeek V3 and R1 models. Furthermore, we manually classified the problems in SWE-bench Lite and found problems with exact ground truth patches or insufficient/misleading issue descriptions. As such, we construct SWE-bench Lite-𝑆 by excluding such problematic issues to perform more rigorous evaluation and comparison. Our work highlights the currently overlooked potential of a simplistic, cost-effective technique in autonomous software development. We hope Agentless will help reset the baseline, starting point, and horizon for autonomous software agents, and inspire future work along this crucial direction. We have open-sourced Agentless at: https://github.com/OpenAutoCoder/Agentless</t>
  </si>
  <si>
    <t>llm-based software engineering agents; automatic software development tasks; localization, repair, patch validation phases imply code input; benchmark on software fixes; agentless approach uses code context for fixes</t>
  </si>
  <si>
    <t>code, tests</t>
  </si>
  <si>
    <t>ReproCopilot: LLM-Driven Failure Reproduction with Dynamic Refinement | Proceedings of the ACM on Software Engineering</t>
  </si>
  <si>
    <t>https://dl.acm.org/doi/10.1145/3729399</t>
  </si>
  <si>
    <t>Failure reproduction is a crucial step for debugging software systems, but it is often challenging and time-consuming, especially when the failures are caused by complex inputs, states, or environments. In this paper, we present ReproCopilot, a tool that leverages program analysis and a large language model (LLM) to generate a workload (i.e., code and inputs) that can reproduce a given failure. ReproCopilot proposes two novel techniques: state-oriented code generation and dynamic refinement. These techniques can iteratively guide the LLM with program analysis feedback until the generated workload can successfully reproduce the target failure. We evaluate ReproCopilot on 50 real-world failures from 17 open-source projects, and show that it can reproduce 76% of them, significantly outperforming the-state-of-the-art solutions.</t>
  </si>
  <si>
    <t>llm used for failure reproduction; input guided by program analysis feedback; generates workload including code and inputs; iterative refinement based on program analysis; implies source-code-related context given to llm</t>
  </si>
  <si>
    <t>static analysis output, dynamic/runtime context, code</t>
  </si>
  <si>
    <t>PatchScope: LLM-Enhanced Fine-Grained Stable Patch Classification for Linux Kernel | Proceedings of the ACM on Software Engineering</t>
  </si>
  <si>
    <t>https://dl.acm.org/doi/10.1145/3728944</t>
  </si>
  <si>
    <t>Stable patch classification plays a crucial role in vulnerability management for the Linux kernel, significantly contributing to the stability and security of Long-term support(LTS) versions. Although existing tools have effectively assisted in assessing whether patches should be merged into stable versions, they cannot determine which stable patches should be merged into which LTS versions. This process still requires the maintainers of the distribution community to manually screen based on the requirements of their respective versions.To address this issue, we propose PatchScope, which is designed to predict the specific merge status of patches.Patchscope consists of two components: patch analysis and patch classification.Patch analysis leverages Large Language Models(LLMs) to generate detailed patch descriptions from the commit message and code changes, thereby deepening the model's semantic understanding of patches. Patch classification utilizes a pre-trained language model to extract semantic features of the patches and employs a two-stage classifier to predict the merge status of the patches.The model is optimized using the dynamic weighted loss function to handle data imbalance and improve overall performance.Given that the primary focus is maintaining Linux kernel versions 5.10 and 6.6, we have conducted comparative experiments based on these two versions. Experimental results demonstrate that Patchscope can effectively predict the merge status of patches.</t>
  </si>
  <si>
    <t>llm used for patch analysis; input includes commit message and code changes; code changes are source-code-related input; patch classification uses semantic features extracted from patches; focus on linux kernel patches</t>
  </si>
  <si>
    <t>code, natural language, historical context</t>
  </si>
  <si>
    <t>LLM-Based Method Name Suggestion with Automatically Generated Context-Rich Prompts | Proceedings of the ACM on Software Engineering</t>
  </si>
  <si>
    <t>https://dl.acm.org/doi/10.1145/3715753</t>
  </si>
  <si>
    <t>Accurate method naming is crucial for code readability and maintainability. However, manually creating concise and meaningful names remains a significant challenge. To this end, in this paper, we propose an approach based on Large Language Model (LLMs) to suggest method names according to function descriptions. The key of the approach is ContextCraft , an automated algorithm for generating context-rich prompts for LLM that suggests the expected method names according to the prompts. For a given query (functional description), it retrieves a few best examples whose functional descriptions have the greatest similarity with the query. From the examples, it identifies tokens that are likely to appear in the final method name as well as their likely positions, picks up pivot words that are semantically related to tokens in the according method names, and specifies the evaluation results of the LLM on the selected examples. All such outputs (tokens with probabilities and position information, pivot words accompanied by associated name tokens and similarity scores, and evaluation results) together with the query and the selected examples are then filled in a predefined prompt template, resulting in a context-rich prompt. This context-rich prompt reduces the randomness of LLMs by focusing the LLM’s attention on relevant contexts, constraining the solution space, and anchoring results to meaningful semantic relationships. Consequently, the LLM leverages this prompt to generate the expected method name, producing a more accurate and relevant suggestion. We evaluated the proposed approach with 43k real-world Java and Python methods accompanied by functional descriptions. Our evaluation results suggested that it significantly outperforms the state-of-the-art approach RNN-att-Copy , improving the chance of exact match by 52% and decreasing the edit distance between generated and expected method names by 32%. Our evaluation results also suggested that the proposed approach worked well for various LLMs, including ChatGPT-3.5, ChatGPT-4, ChatGPT-4o, Gemini-1.5, and Llama-3.</t>
  </si>
  <si>
    <t>uses llm for method name suggestion; input includes functional descriptions plus retrieved similar examples with method names; retrieved examples are code snippets related to method naming; context-rich prompts include tokens and positions from similar method names; retrieval-based context clearly present</t>
  </si>
  <si>
    <t>retrieval-based context, natural language</t>
  </si>
  <si>
    <t>SmartNote: An LLM-Powered, Personalised Release Note Generator That Just Works | Proceedings of the ACM on Software Engineering</t>
  </si>
  <si>
    <t>https://dl.acm.org/doi/10.1145/3729345</t>
  </si>
  <si>
    <t>The release note is a crucial document outlining changes in new software versions. It plays a key role in helping stakeholders recognise important changes and understand the implications behind them. Despite this fact, many developers view the process of writing software release notes as a tedious and dreadful task. Consequently, numerous tools (e.g., DeepRelease and Conventional Changelog) have been developed by researchers and practitioners to automate the generation of software release notes. However, these tools fail to consider project domain and target audience for personalisation, limiting their relevance and conciseness. Additionally, they suffer from limited applicability, often necessitating significant workflow adjustments and adoption efforts, hindering practical use and stressing developers. Despite recent advancements in natural language processing and the proven capabilities of large language models (LLMs) in various code and text-related tasks, there are no existing studies investigating the integration and utilisation of LLMs in automated release note generation. Therefore, we propose SmartNote, a novel and widely applicable release note generation approach that produces high-quality, contextually personalised release notes by leveraging LLM capabilities to aggregate, describe, and summarise changes based on code, commit, and pull request details. It categorises and scores (for significance) commits to generate structured and concise release notes of prioritised changes. We conduct human and automatic evaluations that reveal SmartNote outperforms or achieves comparable performance to DeepRelease (state-of-the-art), Conventional Changelog (off-the-shelf), and the projects' original release note across four quality metrics: completeness, clarity, conciseness, and organisation. In both evaluations, SmartNote ranked first for completeness and organisation, while clarity ranked first in the human evaluation. Furthermore, our controlled study reveals the significance of contextual awareness, while our applicability analysis confirms SmartNote's effectiveness across diverse projects.</t>
  </si>
  <si>
    <t>llm used for release note generation; input includes code, commit, pull request details; commit categorisation and scoring implies source-code-related context; historical context from git and pr data used; personalised and context-aware generation</t>
  </si>
  <si>
    <t>code,historical context</t>
  </si>
  <si>
    <t>You Name It, I Run It: An LLM Agent to Execute Tests of Arbitrary Projects | Proceedings of the ACM on Software Engineering</t>
  </si>
  <si>
    <t>https://dl.acm.org/doi/10.1145/3728922</t>
  </si>
  <si>
    <t>The ability to execute the test suite of a project is essential in many scenarios, e.g., to assess code quality and code coverage, to validate code changes made by developers or automated tools, and to ensure compatibility with dependencies. Despite its importance, executing the test suite of a project can be challenging in practice because different projects use different programming languages, software ecosystems, build systems, testing frameworks, and other tools. These challenges make it difficult to create a reliable, universal test execution method that works across different projects. This paper presents ExecutionAgent, an automated technique that prepares scripts for building an arbitrary project from source code and running its test cases. Inspired by the way a human developer would address this task, our approach is a large language model (LLM)-based agent that autonomously executes commands and interacts with the host system. The agent uses meta-prompting to gather guidelines on the latest technologies related to the given project, and it iteratively refines its process based on feedback from the previous steps. Our evaluation applies ExecutionAgent to 50 open-source projects that use 14 different programming languages and many different build and testing tools. The approach successfully executes the test suites of 33/50 projects, while matching the test results of ground truth test suite executions with a deviation of only 7.5%. These results improve over the best previously available technique by 6.6x. The costs imposed by the approach are reasonable, with an execution time of 74 minutes and LLM costs of USD 0.16, on average per project. We envision ExecutionAgent to serve as a valuable tool for developers, automated programming tools, and researchers that need to execute tests across a wide variety of projects.</t>
  </si>
  <si>
    <t>llm used as agent to execute tests; interacts with host system; meta-prompting to gather guidelines on technologies; unclear if source code or code elements explicitly given as input to llm; no explicit mention of code snippets or files fed to llm</t>
  </si>
  <si>
    <t>uses llm for software development tasks; agentless approach involves localization, repair, patch validation phases; likely receives source-code-related input for localization and repair; benchmark involves fixing code issues; open-sourced tool implies code input to llm</t>
  </si>
  <si>
    <t>Can LLMs Replace Human Evaluators? An Empirical Study of LLM-as-a-Judge in Software Engineering</t>
  </si>
  <si>
    <t>https://dl.acm.org/doi/10.1145/3728963</t>
  </si>
  <si>
    <t>Recently, large language models (LLMs) have been deployed to tackle various software engineering (SE) tasks like code generation, significantly advancing the automation of SE tasks. However, assessing the quality of these LLM-generated code and text remains challenging. The commonly used Pass@k metric necessitates extensive unit tests and configured environments, demands a high labor cost, and is not suitable for evaluating LLM-generated text. Conventional metrics like BLEU, which measure only lexical rather than semantic similarity, have also come under scrutiny. In response, a new trend has emerged to employ LLMs for automated evaluation, known as LLM-as-a-judge. These LLM-as-a-judge methods are claimed to better mimic human assessment than conventional metrics without relying on high-quality reference answers. Nevertheless, their exact human alignment in SE tasks remains unexplored. In this paper, we empirically explore LLM-as-a-judge methods for evaluating SE tasks, focusing on their alignment with human judgments. We select seven LLM-as-a-judge methods that utilize general-purpose LLMs, alongside two LLMs specifically fine-tuned for evaluation. After generating and manually scoring LLM responses on three recent SE datasets of code translation, code generation, and code summarization, we then prompt these methods to evaluate each response. Finally, we compare the scores generated by these methods with human evaluation. The results indicate that output-based methods reach the highest Pearson correlation of 81.32 and 68.51 with human scores in code translation and generation, achieving near-human evaluation, noticeably outperforming ChrF++, one of the best conventional metrics, at 34.23 and 64.92. Such output-based methods prompt LLMs to output judgments directly, and exhibit more balanced score distributions that resemble human score patterns. Finally, we provide insights and implications, concluding that current state-of-the-art LLM-as-a-judge methods can potentially replace human evaluations in certain SE tasks.</t>
  </si>
  <si>
    <t>llms used as judges for code translation, generation, summarization; llms evaluate code-related responses; input includes code snippets or code-related tasks; empirical comparison with human evaluation</t>
  </si>
  <si>
    <t>ConTested: Consistency-Aided Tested Code Generation with LLM | Proceedings of the ACM on Software Engineering</t>
  </si>
  <si>
    <t>https://dl.acm.org/doi/10.1145/3728902</t>
  </si>
  <si>
    <t>Recent advancements in large language models (LLMs) have significantly improved code generation, which generates code snippets automatically based on natural language requirements. Despite achieving state-of-the-art performance, LLMs often struggle to generate accurate and reliable code, requiring developers to spend substantial effort debugging and evaluating the generated output. Researchers have proposed leveraging Consistency to select code that passes more tests (inter-consistency) and demonstrates consistent behavior across more counterparts (intra-consistency). However, since the tests themselves are also generated by LLMs, relying on majority voting based on incorrect tests leads to unreliable results. To address this, we propose a lightweight interaction framework that incorporates user feedback to effectively guide consistency. Our results demonstrate that, with minimal human effort, performance can be significantly improved. In each iteration, we introduce a rank-correct-fix co-evolution process between code and tests. This process iteratively enhances the quality of both, making the consistency voting between code and tests more reliable. We evaluate ConTested through extensive experiments, demonstrating its effectiveness across multiple LLMs, including GPT-3.5 and GPT-4o. Our results show improvements of 32.9% over GPT-3.5 and 16.97% over GPT-4o. Additionally, ConTested achieves an 11.1% improvement over the SOTA post-processing technique, MPSC. This improvement is achieved with only a 4-round interaction with users, requiring minimal user effort. A user study further confirms the feasibility and cost-effectiveness of ConTested, highlighting its ability to enhance code generation without introducing substantial overhead.</t>
  </si>
  <si>
    <t>uses llms for code generation and test generation; iterative co-evolution of code and tests; tests are source-code-related input to llm; user feedback guides consistency on code and tests; improves code generation quality with code+test input</t>
  </si>
  <si>
    <t>tests</t>
  </si>
  <si>
    <t>LLM Hallucinations in Practical Code Generation: Phenomena, Mechanism, and Mitigation | Proceedings of the ACM on Software Engineering</t>
  </si>
  <si>
    <t>https://dl.acm.org/doi/10.1145/3728894</t>
  </si>
  <si>
    <t>Code generation aims to automatically generate code from input requirements, significantly enhancing development efficiency. Recent large language models (LLMs) based approaches have shown promising results and revolutionized code generation task. Despite the promising performance, LLMs often generate contents with hallucinations, especially for the code generation scenario requiring the handling of complex contextual dependencies in practical development process. Although previous study has analyzed hallucinations in LLM-powered code generation, the study is limited to standalone function generation. In this paper, we conduct an empirical study to study the phenomena, mechanism, and mitigation of LLM hallucinations within more practical and complex development contexts in repository-level generation scenario. First, we manually examine the code generation results from six mainstream LLMs to establish a hallucination taxonomy of LLM-generated code. Next, we elaborate on the phenomenon of hallucinations, analyze their distribution across different models. We then analyze causes of hallucinations and identify four potential factors contributing to hallucinations. Finally, we propose an RAG-based mitigation method, which demonstrates consistent effectiveness in all studied LLMs.</t>
  </si>
  <si>
    <t>llms used for code generation; study on hallucinations in practical code generation; focus on repository-level generation scenario implies use of existing code context; mitigation method involves retrieval-augmented generation (rag) indicating retrieved code snippets as input</t>
  </si>
  <si>
    <t>code, retrieval-based context</t>
  </si>
  <si>
    <t>Mystique: Automated Vulnerability Patch Porting with Semantic and Syntactic-Enhanced LLM | Proceedings of the ACM on Software Engineering</t>
  </si>
  <si>
    <t>https://dl.acm.org/doi/10.1145/3715718</t>
  </si>
  <si>
    <t>Branching repositories facilitates efficient software development but can also inadvertently propagate vulnerabilities. When an original branch is patched, other unfixed branches remain vulnerable unless the patch is successfully ported. However, due to inherent discrepancies between branches, many patches cannot be directly applied and require manual intervention, which is time-consuming and leads to delays in patch porting, increasing vulnerability risks. Existing automated patch porting approaches are prone to errors, as they often overlook essential semantic and syntactic context of vulnerability and fail to detect or refine faulty patches. We propose Mystique, a novel LLM-based approach to address these limitations. Mystique first slices the semantic-related statements linked to the vulnerability while ensuring syntactic correctness, allowing it to extract the signatures for both the original patched function and the target vulnerable function. Mystique then utilizes a fine-tuned LLM to generate a fixed function, which is further iteratively checked and refined to ensure successful porting. Our evaluation shows that Mystique achieved a success rate of 0.954 at function level and of 0.924 at CVE level, outperforming state-of-the-art approaches by at least 13.2% at function level and 12.3% at CVE level. Our evaluation also demonstrates Mystique’s superior generality across various projects, bugs, and programming languages. Mystique successfully ported patches for 34 real-world vulnerable branches.</t>
  </si>
  <si>
    <t>llm fine-tuned to generate fixed function; input includes semantic-related statements linked to vulnerability; extracts signatures of original and target functions; uses program slicing (semantic and syntactic context) as input; patch porting requires source code context</t>
  </si>
  <si>
    <t>code, static analysis output</t>
  </si>
  <si>
    <t>DecLLM: LLM-Augmented Recompilable Decompilation for Enabling Programmatic Use of Decompiled Code | Proceedings of the ACM on Software Engineering</t>
  </si>
  <si>
    <t>https://dl.acm.org/doi/10.1145/3728958</t>
  </si>
  <si>
    <t>Decompilers are widely used in reverse engineering (RE) to convert compiled executables into human-readable pseudocode and support various security analysis tasks. Existing decompilers, such as IDA Pro and Ghidra, focus on enhancing the readability of decompiled code rather than its recompilability, which limits further programmatic use, such as for CodeQL-based vulnerability analysis that requires compilable versions of the decompiled code. Recent LLM-based approaches for enhancing decompilation results, while useful for human RE analysts, unfortunately also follow the same path. In this paper, we explore, for the first time, how off-the-shelf large language models (LLMs) can be used to enable recompilable decompilation—automatically correcting decompiler outputs into compilable versions. We first show that this is non-trivial through a pilot study examining existing rule-based and LLM-based approaches. Based on the lessons learned, we design DecLLM, an iterative LLM-based repair loop that utilizes both static recompilation and dynamic runtime feedback as oracles to iteratively fix decompiler outputs. We test DecLLM on popular C benchmarks and real-world binaries using two mainstream LLMs, GPT-3.5 and GPT-4, and show that off-the-shelf LLMs can achieve an upper bound of around 70% recompilation success rate, i.e., 70 out of 100 originally non-recompilable decompiler outputs are now recompilable. We also demonstrate the practical applicability of the recompilable code for CodeQL-based vulnerability analysis, which is impossible to perform directly on binaries. For the remaining 30% of hard cases, we further delve into their errors to gain insights for future improvements in decompilation-oriented LLM design.</t>
  </si>
  <si>
    <t>llm used to repair decompiler outputs; input includes decompiled code (pseudocode) which is source-code-related; iterative repair loop uses recompilation feedback but main input is code; focus on recompilable source code generation</t>
  </si>
  <si>
    <t>code, dynamic/runtime context</t>
  </si>
  <si>
    <t>CrossProbe: LLM-Empowered Cross-Project Bug Detection for Deep Learning Frameworks | Proceedings of the ACM on Software Engineering</t>
  </si>
  <si>
    <t>https://dl.acm.org/doi/10.1145/3728984</t>
  </si>
  <si>
    <t>Deep Learning (DL) models may introduce reliability challenges in the underlying DL frameworks. These frameworks may be prone to bugs that can lead to crash or wrong results, particularly when involving complex model architectures and substantial computational demands. Such framework bugs can disrupt DL applications, impacting customer experience and potentially causing financial losses. Traditional approaches to testing DL frameworks face limitations in adapting to the vast search space of model structures, diverse APIs, and the complexity of hybrid programming and hardware environments. Recent advancements using Large Language Models (LLMs) have improved DL framework fuzzing, but their efficacy depends heavily on the quality and diversity of input prompts, which are often constructed using single-framework data. In this paper, we propose an innovative approach for enhancing test generation for DL frameworks by leveraging “mirroring issues”—analogous bugs identified across different frameworks with common functionalities. Our approach is inspired by the fact that DL frameworks, such as PyTorch and TensorFlow, often share common bugs due to dependencies, developer errors, or edge-case inputs. We develop CrossProbe that utilizes LLMs to effectively learn from existing issues of one framework and transfer the acquired knowledge to generate test cases for finding mirroring issues in another framework, thus enabling cross-framework bug detection. To overcome the challenges of test case generation arising from the incompatible functionalities and different implementations between frameworks, we introduce three processes: alignment , screening , and distinction . These processes help mitigate transfer errors by establishing API pair databases, filtering unsuitable cases, and highlighting cross-framework distinctions. Experiments demonstrate that CrossProbe is efficient by saving 36.3% iterations of generation, and achieves a 25.0% higher success rate in issue transferring compared to existing state-of-the-art LLM-based testing techniques. CrossProbe detects 24 unique bugs using its transferred knowledge. Out of them, 19 are previously unknown and each requires cross-framework knowledge in deep learning for identification.</t>
  </si>
  <si>
    <t>llm used for test generation; uses cross-framework bug data; input includes api pair databases and filtering of test cases; involves source-code-related api signatures and framework-specific code elements; cross-project bug detection implies code-related input</t>
  </si>
  <si>
    <t>code, documentation/specifications, retrieval-based context</t>
  </si>
  <si>
    <t>Demystifying Memorization in LLM-Based Program Repair via a General Hypothesis Testing Framework | Proceedings of the ACM on Software Engineering</t>
  </si>
  <si>
    <t>https://dl.acm.org/doi/10.1145/3729390</t>
  </si>
  <si>
    <t>Large Language Models (LLMs) have achieved remarkable success in various applications, particularly in code-related tasks such as code generation and program repair, setting new performance benchmarks. However, the extensive use of large training corpora raises concerns about whether these achievements stem from genuine understanding or mere memorization of training data—a question often overlooked in current research. This paper aims to study the memorization issue within LLM-based program repair by investigating whether the correct patches generated by LLMs are the result of memorization. The key challenge lies in the absence of ground truth for confirming memorization, leading to various ad-hoc methods designed for its detection. To address this challenge, we first propose a general framework that formalizes memorization detection as a general hypothesis testing problem, where existing approaches can be unified by defining a low-probability event under the null hypothesis that the data is not memorized. The occurrence of such an event leads to the rejection of the null hypothesis, indicating potential memorization. Based on this framework, we design two specific methods (i.e., low-probability events) to detect potential memorization: 1) basic ground-truth matching, and 2) reassessment after substantial code mutation. We investigate the memorization issue in LLM-based program repair using two datasets: Defects4J, a widely used benchmark that is likely included in the training data, and GitBug-Java, a new dataset that is unlikely to be part of the training data. Our findings reveal that a significant portion of correct patches exactly match the ground truths in Defects4J (e.g., 78.83% and 87.42% on GPT-3.5 and CodeLlama-7b, respectively). Moreover, even after significant modifications to the buggy code, where the original repairs should not be generated, a considerable percentage of bugs (e.g., 81.82% on GPT-3.5 and 88.24% on CodeLlama-7b) continue to be fixed exactly as in the original bug fixes, indicating a high likelihood of memorization. Furthermore, we evaluate existing memorization detection methods and demonstrate their ineffectiveness in this context (e.g., most AUROCs are below 0.5). The theoretical analysis under our hypothesis testing framework shows that their defined events may not meet the requirements for being low-probability. The study highlights the critical need for more robust and rigorous evaluations in LLM-based software engineering research, ensuring a clear distinction between true problem-solving capabilities and mere memorization.</t>
  </si>
  <si>
    <t>llm used for program repair; input includes buggy code and mutated code; source-code-related input clearly given to llm; focus on patch generation from code context</t>
  </si>
  <si>
    <t>CXXCrafter: An LLM-Based Agent for Automated C/C++ Open Source Software Building</t>
  </si>
  <si>
    <t>https://dl.acm.org/doi/10.1145/3729386</t>
  </si>
  <si>
    <t>Project building is pivotal to support various program analysis tasks, such as generating intermediate representation code for static analysis and preparing binary code for vulnerability reproduction. However, automating the building process for C/C++ projects is a highly complex endeavor, involving tremendous technical challenges, such as intricate dependency management, diverse build systems, varied toolchains, and multifaceted error handling mechanisms. Consequently, building C/C++ projects often proves to be difficult in practice, hindering the progress of downstream applications. Unfortunately, research on facilitating the building of C/C++ projects remains to be inadequate. The emergence of Large Language Models (LLMs) offers promising solutions to automated software building. Trained on extensive corpora, LLMs can help unify diverse build systems through their comprehension capabilities and address complex errors by leveraging tacit knowledge storage. Moreover, LLM-based agents can be systematically designed to dynamically interact with the environment, effectively managing dynamic building issues. Motivated by these opportunities, we first conduct an empirical study to systematically analyze the current challenges in the C/C++ project building process. Particularly, we observe that most popular C/C++ projects encounter an average of five errors when relying solely on the default build systems. Based on our study, we develop an automated build system called CXXCrafter to specifically address the above-mentioned challenges, such as dependency resolution. Our evaluation on open-source software demonstrates that CXXCrafter achieves a success rate of 78% in project building. Specifically, among the Top100 dataset, 72 projects are built successfully by both CXXCrafter and manual efforts, 3 by CXXCrafter only, and 14 manually only. Despite the slightly lower performance,CXXCrafter can save tremendous manual efforts and can also be easily applied to a wider range of applications automatically.</t>
  </si>
  <si>
    <t>llm-based agent for automated building; addresses dependency resolution and build errors; no explicit mention of llm input including source-code-related context; unclear if code snippets or build files are given as input or only environment interaction</t>
  </si>
  <si>
    <t>OpDiffer: LLM-Assisted Opcode-Level Differential Testing of Ethereum Virtual Machine | Proceedings of the ACM on Software Engineering</t>
  </si>
  <si>
    <t>https://dl.acm.org/doi/10.1145/3728946</t>
  </si>
  <si>
    <t>As Ethereum continues to thrive, the Ethereum Virtual Machine (EVM) has become the cornerstone powering tens of millions of active smart contracts. Intuitively, security issues in EVMs could lead to inconsistent behaviors among smart contracts or even denial-of-service of the entire blockchain network. However, to the best of our knowledge, only a limited number of studies focus on the security of EVMs. Moreover, they suffer from 1) insufficient test input diversity and invalid semantics; and 2) the inability to automatically identify bugs and locate root causes. To bridge this gap, we propose OpDiffer, a differential testing framework for EVM, which takes advantage of LLMs and static analysis methods to address the above two limitations. We conducted the largest-scale evaluation, covering nine EVMs and uncovering 26 previously unknown bugs, 22 of which have been confirmed by developers and three have been assigned CNVD IDs. Compared to state-of-the-art baselines, OpDiffer can improve code coverage by at most 71.06%, 148.40% and 655.56%, respectively. Through an analysis of real-world deployed Ethereum contracts, we estimate that 7.21% of the contracts could trigger our identified EVM bugs under certain environmental settings, potentially resulting in severe negative impact on the Ethereum ecosystem.</t>
  </si>
  <si>
    <t>llm used for differential testing framework; static analysis mentioned but unclear if llm input includes source-code-related context; no explicit mention of code snippets or code elements given to llm</t>
  </si>
  <si>
    <t>static analysis output, unspecified</t>
  </si>
  <si>
    <t>Doc2OracLL: Investigating the Impact of Documentation on LLM-Based Test Oracle Generation | Proceedings of the ACM on Software Engineering</t>
  </si>
  <si>
    <t>https://dl.acm.org/doi/10.1145/3729354</t>
  </si>
  <si>
    <t>Code documentation is a critical artifact of software development, bridging human understanding and machine- readable code. Beyond aiding developers in code comprehension and maintenance, documentation also plays a critical role in automating various software engineering tasks, such as test oracle generation (TOG). In Java, Javadoc comments offer structured, natural language documentation embedded directly within the source code, typically describing functionality, usage, parameters, return values, and exceptional behavior. While prior research has explored the use of Javadoc comments in TOG alongside other information, such as the method under test (MUT), their potential as a stand-alone input source, the most relevant Javadoc components, and guidelines for writing effective Javadoc comments for automating TOG remain less explored. In this study, we investigate the impact of Javadoc comments on TOG through a comprehensive analysis. We begin by fine-tuning 10 large language models using three different prompt pairs to assess the role of Javadoc comments alongside other contextual information. Next, we systematically analyze the impact of different Javadoc comment’s components on TOG. To evaluate the generalizability of Javadoc comments from various sources, we also generate them using the GPT-3.5 model. We perform a thorough bug detection study using Defects4J dataset to understand their role in real-world bug detection. Our results show that incorporating Javadoc comments improves the accuracy of test oracles in most cases, aligning closely with ground truth. We find that Javadoc comments alone can match or even outperform approaches that utilize the MUT implementation. Additionally, we identify that the description and the return tag are the most valuable components for TOG. Finally, our approach, when using only Javadoc comments, detects between 19% and 94% more real-world bugs in Defects4J than prior methods, establishing a new state-of-the-art. To further guide developers in writing effective documentation, we conduct a detailed qualitative study on when Javadoc comments are helpful or harmful for TOG.</t>
  </si>
  <si>
    <t>uses llms (gpt-3.5 and others); input includes javadoc comments (documentation tied to code); investigates impact of javadoc alone and combined with method under test; javadoc is source-code-related documentation</t>
  </si>
  <si>
    <t>documentation/specifications</t>
  </si>
  <si>
    <t>Code Change Intention, Development Artifact, and History Vulnerability: Putting Them Together for Vulnerability Fix Detection by LLM | Proceedings of the ACM on Software Engineering</t>
  </si>
  <si>
    <t>https://dl.acm.org/doi/10.1145/3715738</t>
  </si>
  <si>
    <t>Detecting vulnerability fix commits in open-source software is crucial for maintaining software security. To help OSS identify vulnerability fix commits, several automated approaches are developed. However, existing approaches like VulFixMiner and CoLeFunDa, focus solely on code changes, neglecting essential context from development artifacts. Tools like Vulcurator, which integrates issue reports, fail to leverage semantic associations between different development artifacts (e.g., pull requests and history vulnerability fixes). Moreover, they miss vulnerability fixes in tangled commits and lack explanations, limiting practical use. Hence to address those limitations, we propose LLM4VFD, a novel framework that leverages Large Language Models (LLMs) enhanced with Chain-of-Thought reasoning and In-Context Learning to improve the accuracy of vulnerability fix detection. LLM4VFD comprises three components: (1) Code Change Intention, which analyzes commit summaries, purposes, and implications using Chain-of-Thought reasoning; (2) Development Artifact, which incorporates context from related issue reports and pull requests; (3) Historical Vulnerability, which retrieves similar past vulnerability fixes to enrich context. More importantly, on top of the prediction, LLM4VFD also provides a detailed analysis and explanation to help security experts understand the rationale behind the decision. We evaluated LLM4VFD against state-of-the-art techniques, including Pre-trained Language Model-based approaches and vanilla LLMs, using a newly collected dataset, BigVulFixes. Experimental results demonstrate that LLM4VFD significantly outperforms the best-performed existing approach by 68.1%--145.4%. Furthermore, We conducted a user study with security experts, showing that the analysis generated by LLM4VFD improves the efficiency of vulnerability fix identification.</t>
  </si>
  <si>
    <t>uses llm with chain-of-thought and in-context learning; input includes commit summaries (code change intention), issue reports and pull requests (development artifacts), historical vulnerability fixes; includes git diffs and related issue/pr context; source-code-related input present as code changes and linked artifacts</t>
  </si>
  <si>
    <t>code, historical context, natural language, retrieval-based context</t>
  </si>
  <si>
    <t>Beyond Static Pattern Matching? Rethinking Automatic Cryptographic API Misuse Detection in the Era of LLMs | Proceedings of the ACM on Software Engineering</t>
  </si>
  <si>
    <t>https://dl.acm.org/doi/10.1145/3728875</t>
  </si>
  <si>
    <t>While the automated detection of cryptographic API misuses has progressed significantly, its precision diminishes for intricate targets due to the reliance on manually defined patterns. Large Language Models (LLMs) offer a promising context-aware understanding to address this shortcoming, yet the stochastic nature and the hallucination issue pose challenges to their applications in precise security analysis. This paper presents the first systematic study to explore LLMs’ application in cryptographic API misuse detection. Our findings are noteworthy: The instability of directly applying LLMs results in over half of the initial reports being false positives. Despite this, the reliability of LLM-based detection could be significantly enhanced by aligning detection scopes with realistic scenarios and employing a novel code &amp;amp; analysis validation technique, achieving a nearly 90% detection recall. This improvement substantially surpasses traditional methods and leads to the discovery of previously unknown vulnerabilities in established benchmarks. Nevertheless, we identify recurring failure patterns that illustrate current LLMs’ blind spots, including cryptographic knowledge deficiencies and code semantics misinterpretations. Leveraging these findings, we deploy an LLM-based detection system and uncover 63 new vulnerabilities (47 confirmed, 7 already fixed) in open-source Java and Python repositories, including prominent projects like Apache.</t>
  </si>
  <si>
    <t>llm used for cryptographic api misuse detection; detection involves code &amp; analysis validation; likely given source code context to detect misuses; mentions java and python repos; detection recall implies code input</t>
  </si>
  <si>
    <t>The Struggles of LLMs in Cross-Lingual Code Clone Detection | Proceedings of the ACM on Software Engineering</t>
  </si>
  <si>
    <t>https://dl.acm.org/doi/10.1145/3715764</t>
  </si>
  <si>
    <t>With the involvement of multiple programming languages in modern software development, cross-lingual code clone detection has gained traction within the software engineering community. Numerous studies have explored this topic, proposing various promising approaches. Inspired by the significant advances in machine learning in recent years, particularly Large Language Models (LLMs), which have demonstrated their ability to tackle various tasks, this paper revisits cross-lingual code clone detection. We evaluate the performance of five (05) LLMs and, eight prompts (08) for the identification of cross-lingual code clones. Additionally, we compare these results against two baseline methods. Finally, we evaluate a pre-trained embedding model to assess the effectiveness of the generated representations for classifying clone and non-clone pairs. The studies involving LLMs and Embedding models are evaluated using two widely used cross-lingual datasets, XLCoST and CodeNet. Our results show that LLMs can achieve high F1 scores, up to 0.99, for straightforward programming examples. However, they not only perform less well on programs associated with complex programming challenges but also do not necessarily understand the meaning of “code clones” in a cross-lingual setting. We show that embedding models used to represent code fragments from different programming languages in the same representation space enable the training of a basic classifier that outperforms all LLMs by ∼1 and ∼20 percentage points on the XLCoST and CodeNet datasets, respectively. This finding suggests that, despite the apparent capabilities of LLMs, embeddings provided by embedding models offer suitable representations to achieve state-of-the-art performance in cross-lingual code clone detection.</t>
  </si>
  <si>
    <t>llms evaluated on cross-lingual code clone detection; input involves code fragments from multiple programming languages; comparison with embedding models representing code fragments; clear use of source-code-related input to llms</t>
  </si>
  <si>
    <t>No More Labelled Examples? An Unsupervised Log Parser with LLMs | Proceedings of the ACM on Software Engineering</t>
  </si>
  <si>
    <t>https://dl.acm.org/doi/10.1145/3729377</t>
  </si>
  <si>
    <t>Log parsing serves as an essential prerequisite for various log analysis tasks. Recent advancements in this field have improved parsing accuracy by leveraging the semantics in logs through fine-tuning large language models (LLMs) or learning from in-context demonstrations. However, these methods heavily depend on high-quality labeled examples to achieve optimal performance. In practice, continuously collecting high-quality labeled data is challenging since logs are huge in volume and under frequent evolution, leading to performance degradation or heavy maintenance efforts for existing log parsers after deployment. To address this issue, we propose LUNAR, an unsupervised LLM-based method for efficient and off-the-shelf log parsing. Our key insight is that while LLMs may struggle with direct log parsing, their performance can be significantly enhanced through comparative analysis across multiple logs that differ only in their parameter parts. We refer to such groups of logs as Log Contrastive Units (LCUs). Given the vast volume of logs, obtaining LCUs is difficult. Therefore, LUNAR introduces a hybrid ranking scheme to effectively search for LCUs by jointly considering the commonality and variability among logs. Additionally, LUNAR crafts a novel parsing prompt for LLMs to identify contrastive patterns and extract meaningful log structures from LCUs. Experiments on large-scale public and industrial log datasets demonstrate that LUNAR significantly outperforms state-of-the-art log parsers in terms of accuracy and efficiency, providing an effective and practical solution for real-world deployment.</t>
  </si>
  <si>
    <t>llm used for log parsing; input is log data not source code; no indication of source-code-related input; logs are not code elements or related context</t>
  </si>
  <si>
    <t>none</t>
  </si>
  <si>
    <t>Impact of Request Formats on Effort Estimation: Are LLMs Different Than Humans? | Proceedings of the ACM on Software Engineering</t>
  </si>
  <si>
    <t>https://dl.acm.org/doi/10.1145/3715771</t>
  </si>
  <si>
    <t>Software development Effort Estimation (SEE) comprises predicting the most realistic amount of effort (e.g., in work hours) required to develop or maintain software based on incomplete, uncertain, and noisy input. Expert judgment is the dominant SEE strategy used in the industry. Yet, expert-based judgment can provide inaccurate effort estimates, leading to projects’ poor budget planning and cost and time overruns, negatively impacting the world economy. Large Language Models (LLMs) are good candidates to assist software professionals in effort estimation. However, their effective leveraging for SEE requires thoroughly investigating their limitations and to what extent they overlap with those of (human) software practitioners. One primary limitation of LLMs is the sensitivity of their responses to prompt changes. Similarly, empirical studies showed that changes in the request format (e.g., rephrasing) could impact (human) software professionals’ effort estimates. This paper reports the first study that replicates a series of SEE experiments, which were initially carried out with software professionals (humans) in the literature. Our study aims to investigate how LLMs’ effort estimates change due to the transition from the traditional request format (i.e., "How much effort is required to complete X?”) to the alternative request format (i.e., "How much can be completed in Y work hours?”). Our experiments involved three different LLMs (GPT-4, Gemini 1.5 Pro, Llama 3.1) and 88 software project specifications (per treatment in each experiment), resulting in 880 prompts, in total that we prepared using 704 user stories from three large-scale open-source software projects (Hyperledger Fabric, Mulesoft Mule, Spring XD). Our findings align with the original experiments conducted with software professionals: The first four experiments showed that LLMs provide lower effort estimates due to transitioning from the traditional to the alternative request format. The findings of the fifth and first experiments detected that LLMs display patterns analogous to anchoring bias, a human cognitive bias defined as the tendency to stick to the anchor (i.e., the "Y work-hours” in the alternative request format). Our findings provide crucial insights into facilitating future human-AI collaboration and prompt designs for improved effort estimation accuracy.</t>
  </si>
  <si>
    <t>llms used for effort estimation; input is software project specifications and user stories; unclear if user stories contain source-code-related context or only natural language specs; no explicit mention of code elements or code snippets given to llms; possible documentation/specifications but not clearly tied to code</t>
  </si>
  <si>
    <t>natural language, documentation/specifications, unspecified</t>
  </si>
  <si>
    <t>STRUT: Structured Seed Case Guided Unit Test Generation for C Programs using LLMs | Proceedings of the ACM on Software Engineering</t>
  </si>
  <si>
    <t>https://dl.acm.org/doi/10.1145/3728970</t>
  </si>
  <si>
    <t>Unit testing plays a crucial role in bug detection and ensuring software correctness. It helps developers identify errors early in development, thereby reducing software defects. In recent years, large language models (LLMs) have demonstrated significant potential in automating unit test generation. However, using LLMs to generate unit tests faces many challenges. 1) The execution pass rate of the test cases generated by LLMs is low. 2) The test case coverage is inadequate, making it challenging to detect potential risks in the code. 3) Current research methods primarily focus on languages such as Java and Python, while studies on C programming are scarce, despite its importance in the real world. To address these challenges, we propose STRUT, a novel unit test generation method. STRUT utilizes structured test cases as a bridge between complex programming languages and LLMs. Instead of directly generating test code, STRUT guides LLMs to produce structured test cases, thereby alleviating the limitations of LLMs when generating code for programming languages with complex features. First, STRUT analyzes the context of focal methods and constructs structured seed test cases for them. These seed test cases then guide LLMs to generate a set of structured test cases. Subsequently, a rule-based approach is employed to convert the structured set of test cases into executable test code. We conducted a comprehensive evaluation of STRUT, which achieved an impressive execution pass rate of 96.01%, along with 77.67% line coverage and 63.60% branch coverage. This performance significantly surpasses that of the LLMs-based baseline methods and the symbolic execution tool SunwiseAUnit. These results highlight STRUT's superior capability in generating high-quality unit test cases by leveraging the strengths of LLMs while addressing their inherent limitations.</t>
  </si>
  <si>
    <t>llm used for unit test generation; input guided by structured seed test cases derived from focal methods; seed test cases constructed from method context; input includes source-code-related context (method context, structured test cases)</t>
  </si>
  <si>
    <t>Safe4U: Identifying Unsound Safe Encapsulations of Unsafe Calls in Rust using LLMs | Proceedings of the ACM on Software Engineering</t>
  </si>
  <si>
    <t>https://dl.acm.org/doi/10.1145/3728890</t>
  </si>
  <si>
    <t>Rust is an emerging programming language that ensures safety through strict compile-time checks. A Rust function marked as unsafe indicates it has additional safety requirements (e.g., initialized, not null), known as contracts in the community. These unsafe functions can only be called within explicit unsafe blocks and the contracts must be guaranteed by the caller. To reuse and reduce unsafe code, the community recommends using safe encapsulation of unsafe calls (EUC) in practice. However, an EUC is unsound if any contract is not guaranteed and could lead to undefined behaviors in safe Rust, thus breaking Rust's safety promise. It is challenging to identify unsound EUCs with conventional techniques due to the limitation in cross-lingual comprehension of code and natural language. Large language models (LLMs) have demonstrated impressive capabilities, but their performance is unsatisfactory owing to the complexity of contracts and the lack of domain knowledge. To this end, we propose a novel framework, Safe4U, which incorporates LLMs, static analysis tools, and domain knowledge to identify unsound EUCs. Safe4U first utilizes static analysis tools to retrieve relevant context. Then, it decomposes the primitive contract description into several fine-grained classified contracts. Ultimately, Safe4U introduces domain knowledge and invokes the reasoning capability of LLMs to verify every fine-grained contract. The evaluation results show that Safe4U brings a general performance improvement and the fine-grained results are constructive for locating specific unsound sources. In real-world scenarios, Safe4U can identify 9 out of 11 unsound EUCs from CVE. Furthermore, Safe4U detected 22 new unsound EUCs in the most downloaded crates, 16 of which have been confirmed.</t>
  </si>
  <si>
    <t>llm used for verifying fine-grained contracts; contracts are source-code-related specifications; static analysis outputs used as input context; domain knowledge combined with llm reasoning; focus on unsafe function contracts in rust code</t>
  </si>
  <si>
    <t>static analysis output, documentation/specifications, natural language</t>
  </si>
  <si>
    <t>Automated Soap Opera Testing Directed by LLMs and Scenario Knowledge: Feasibility, Challenges, and Road Ahead | Proceedings of the ACM on Software Engineering</t>
  </si>
  <si>
    <t>https://dl.acm.org/doi/10.1145/3715752</t>
  </si>
  <si>
    <t>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t>
  </si>
  <si>
    <t>llm used for automated scenario-based exploratory testing; multi-agent system with planner, player, detector; no explicit mention of source-code-related input to llm; focus on scenario knowledge graph and test execution; unclear if code snippets or code-related context given to llm</t>
  </si>
  <si>
    <t>unspecified, natural language</t>
  </si>
  <si>
    <t>SWE-GPT: A Process-Centric Language Model for Automated Software Improvement</t>
  </si>
  <si>
    <t>https://dl.acm.org/doi/10.1145/3728981</t>
  </si>
  <si>
    <t>Large language models (LLMs) have demonstrated remarkable performance in code generation, significantly enhancing the coding efficiency of developers. Recent advancements in LLM-based agents have led to significant progress in end-to-end automatic software engineering (ASE), particularly in software maintenance (e.g., fixing software issues) and evolution (e.g., adding new features). Despite these encouraging advances, current research faces two major challenges. First, state-of-the-art performance primarily depends on closed-source models like GPT-4, which significantly limits the technology’s accessibility, and potential for customization in diverse software engineering tasks. This dependence also raises concerns about data privacy, particularly when handling sensitive codebases. Second, these models are predominantly trained on static code data, lacking a deep understanding of the dynamic interactions, iterative problem-solving processes, and evolutionary characteristics inherent in software development. Consequently, they may face challenges in navigating complex project structures and generating contextually relevant solutions, which can affect their practical utility in real-world scenarios. To address these challenges, our study adopts a software engineering perspective. We recognize that real-world software maintenance and evolution processes encompass not only static code data but also developers’ thought processes, utilization of external tools, and the interaction between different functional personnel. Our objective is to develop an open-source large language model specifically optimized for software improvement, aiming to match the performance of closed-source alternatives while offering greater accessibility and customization potential. Consequently, we introduce the Lingma SWE-GPT series, comprising Lingma SWE-GPT 7B and Lingma SWE-GPT 72B. By learning from and simulating real-world code submission activities, Lingma SWE-GPT systematically incorporates the dynamic interactions and iterative problem-solving inherent in software development process—such as repository understanding, fault localization, and patch generation—thereby achieving a more comprehensive understanding of software improvement processes. We conducted experimental evaluations using SWE-bench-Verified benchmark (comprising 500 real GitHub issues), recently proposed by OpenAI. The results demonstrate that Lingma SWE-GPT 72B successfully resolves 30.20% of the GitHub issues , marking a significant improvement in automatic issue resolution (22.76% relative improvement compared to Llama 3.1 405B), approaching the performance of closed-source models (31.80% issues of GPT-4o resolved). Notably, Lingma SWE-GPT 7B resolves 18.20% of the issues, surpassing the 17.20% resolution rate of Llama 3.1 70B, highlighting the potential for applying smaller models to ASE tasks.</t>
  </si>
  <si>
    <t>llm used for software improvement; input includes real-world code submission activities; mentions repository understanding, fault localization, patch generation; uses github issues as benchmark; dynamic interactions and iterative problem-solving in software development process imply source-code-related input</t>
  </si>
  <si>
    <t>historical context, code</t>
  </si>
  <si>
    <t>Detecting and Handling WoT Violations by Learning Physical Interactions from Device Logs | Proceedings of the ACM on Software Engineering</t>
  </si>
  <si>
    <t>https://dl.acm.org/doi/10.1145/3715743</t>
  </si>
  <si>
    <t>The Web of Things (WoT) system standardizes the integration of ubiquitous IoT devices in physical environments, enabling various software applications to automatically sense and regulate the physical environment. While providing convenience, the complex interactions among software applications and physical environment make the WoT system vulnerable to violations caused by improper actuator operations, which may cause undesirable or even harmful results, posing serious risks to user safety and security. In response to this critical concern, many previous efforts have be made. However, existing works primarily focus on analyzing software application behaviors, with insufficient consideration of the physical interactions, multi-source violations, and environmental dynamics in such ubiquitous software systems. As a result, they fail to comprehensively detect the impact of actuator operations on the dynamic environment, thus limiting their effectiveness. To address these limitations, we propose SysGuard, a violation detecting and handling approach. SysGuard employs the dynamic probabilistic graphical model (DPGM) to model the physical interactions as the physical interaction graph (PIG). In the offline phase, SysGuard takes device description models and history device logs as input to capture physical interactions by learning the PIG. In this process, a large language model (LLM) based causal analysis method is further introduced to filter out the device dependencies unrelated to physical interaction by analyzing the device interaction scenarios recorded in device logs. In the online phase, SysGuard processes user-customized violation rules, and monitors runtime device logs to predict violation states and generates handling policies by inferring the PIG. Evaluation on two real-world WoT systems shows that SysGuard significantly outperforms existing state-of-the-art works, achieving high performance in both violation detection and handling. It also confirms the runtime efficiency and scalability of SysGuard. Ablation experiment on our constructed dataset demonstrates that the LLM-based causal analysis significantly improves the performance of SysGuard, with the accuracy increasing in both violation detecting and handling.</t>
  </si>
  <si>
    <t>llm used for causal analysis of device interaction scenarios; no explicit mention of source-code-related input; input described as device description models and device logs (likely not source code); unclear if any code elements or code-related context given to llm</t>
  </si>
  <si>
    <t>KEENHash: Hashing Programs into Function-Aware Embeddings for Large-Scale Binary Code Similarity Analysis | Proceedings of the ACM on Software Engineering</t>
  </si>
  <si>
    <t>https://dl.acm.org/doi/10.1145/3728911</t>
  </si>
  <si>
    <t>Binary code similarity analysis (BCSA) is a crucial research area in many fields such as cybersecurity. Specifically, function-level diffing tools are the most widely used in BCSA: they perform function matching one by one for evaluating the similarity between binary programs. However, such methods need a high time complexity, making them unscalable in large-scale scenarios (e.g., 1/n-to-n search). Towards effective and efficient program-level BCSA, we propose KEENHash, a novel hashing approach that hashes binaries into program-level representations through large language model (LLM)-generated function embeddings. KEENHash condenses a binary into one compact and fixed-length program embedding using K-Means and Feature Hashing, allowing us to do effective and efficient large-scale program-level BCSA, surpassing the previous state-of-the-art methods. The experimental results show that KEENHash is at least 215 times faster than the state-of-the-art function matching tools while maintaining effectiveness. Furthermore, in a large-scale scenario with 5.3 billion similarity evaluations, KEENHash takes only 395.83 seconds while these tools will cost at least 56 days. We also evaluate KEENHash on the program clone search of large-scale BCSA across extensive datasets in 202,305 binaries. Compared with 4 state-of-the-art methods, KEENHash outperforms all of them by at least 23.16%, and displays remarkable superiority over them in the large-scale BCSA security scenario of malware detection.</t>
  </si>
  <si>
    <t>llm-generated function embeddings mentioned; unclear if input to llm includes source-code-related context or just binaries; no explicit mention of code snippets or code elements as input</t>
  </si>
  <si>
    <t>CRISPE: Semantic-Guided Execution Planning and Dynamic Reasoning for Enhancing Code Coverage Prediction | Proceedings of the ACM on Software Engineering</t>
  </si>
  <si>
    <t>https://dl.acm.org/doi/10.1145/3729401</t>
  </si>
  <si>
    <t>While LLMs excel in understanding source code and descriptive texts for tasks like code generation, code completion, etc., they exhibit weaknesses in predicting dynamic program behavior, such as code coverage and runtime error detection, which typically require program execution. Aiming to advance the capability of LLMs in reasoning and predicting the program behavior at runtime, we present CRISPE (short for Coverage Rationalization and Intelligent Selection ProcedurE), a novel approach for code coverage prediction. CRISPE guides an LLM in simulating program execution via an execution plan based on two key factors: (1) program semantics of each statement type, and (2) the observation of the set of covered statements at the current “execution” step relative to all feasible code coverage options. We formulate code coverage prediction as a process of semantic-guided execution-based planning, where feasible coverage options are utilized to assess whether the LLM is heading in the correct reasoning. We enhance the traditional generative task with the retrieval-based framework on feasible options of code coverage. Our experimental results show that CRISPE achieves high accuracy in coverage prediction in terms of both exact-match and statement-match coverage metrics, improving over the baselines. We also show that with semantic-guiding and dynamic reasoning from CRISPE, the LLM generates more correct planning steps. To demonstrate CRISPE’s usefulness, we used it in the downstream task of statically detecting runtime error(s) in incomplete code snippets with the given inputs.</t>
  </si>
  <si>
    <t>llm used for code coverage prediction; input includes program semantics and covered statements; semantic-guided execution planning implies source-code-related input; retrieval-based framework on feasible coverage options suggests code-related context</t>
  </si>
  <si>
    <t>code, dynamic/runtime context, retrieval-based context</t>
  </si>
  <si>
    <t>Automated Unit Test Refactoring | Proceedings of the ACM on Software Engineering</t>
  </si>
  <si>
    <t>https://dl.acm.org/doi/10.1145/3715750</t>
  </si>
  <si>
    <t>Test smells arise from poor design practices and insufficient domain knowledge, which can lower the quality of test code and make it harder to maintain and update. Manually refactoring of test smells is time-consuming and error-prone, highlighting the necessity for automated approaches. Current rule-based refactoring methods often struggle in scenarios not covered by predefined rules and lack the flexibility needed to handle diverse cases effectively. In this paper, we propose a novel approach called UTRefactor, a context-enhanced, LLM-based framework for automatic test refactoring in Java projects. UTRefactor extracts relevant context from test code and leverages an external knowledge base that includes test smell definitions, descriptions, and DSL-based refactoring rules. By simulating the manual refactoring process through a chain-of-thought approach, UTRefactor guides the LLM to eliminate test smells in a step-by-step process, ensuring both accuracy and consistency throughout the refactoring. Additionally, we implement a checkpoint mechanism to facilitate comprehensive refactoring, particularly when multiple smells are present. We evaluate UTRefactor on 879 tests from six open-source Java projects, reducing the number of test smells from 2,375 to 265, achieving an 89% reduction. UTRefactor outperforms direct LLM-based refactoring methods by 61.82% in smell elimination and significantly surpasses the performance of a rule-based test smell refactoring tool. Our results demonstrate the effectiveness of UTRefactor in enhancing test code quality while minimizing manual involvement.</t>
  </si>
  <si>
    <t>llm-based approach; input includes test code context; uses external knowledge base with test smell definitions and refactoring rules; refactoring guided by chain-of-thought on code context; evaluated on java test code</t>
  </si>
  <si>
    <t>tests, documentation/specifications, retrieval-based context</t>
  </si>
  <si>
    <t>MLLM-Based UI2Code Automation Guided by UI Layout Information | Proceedings of the ACM on Software Engineering</t>
  </si>
  <si>
    <t>https://dl.acm.org/doi/10.1145/3728925</t>
  </si>
  <si>
    <t>Converting user interfaces into code (UI2Code) is a crucial step in website development, which is time-consuming and labor-intensive. The automation of UI2Code is essential to streamline this task, beneficial for improving the development efficiency. There exist deep learning-based methods for the task; however, they heavily rely on a large amount of labeled training data and struggle with generalizing to real-world, unseen web page designs. The advent of Multimodal Large Language Models (MLLMs) presents potential for alleviating the issue, but they are difficult to comprehend the complex layouts in UIs and generate the accurate code with layout preserved. To address these issues, we propose LayoutCoder, a novel MLLM-based framework generating UI code from real-world webpage images, which includes three key modules: (1) Element Relation Construction, which aims at capturing UI layout by identifying and grouping components with similar structures; (2) UI Layout Parsing, which aims at generating UI layout trees for guiding the subsequent code generation process; and (3) Layout-Guided Code Fusion, which aims at producing the accurate code with layout preserved. For evaluation, we build a new benchmark dataset which involves 350 real-world websites named Snap2Code, divided into seen and unseen parts for mitigating the data leakage issue, besides the popular dataset Design2Code. Extensive evaluation shows the superior performance of LayoutCoder over the state-of-the-art approaches. Compared with the best-performing baseline, LayoutCoder improves 10.14% in the BLEU score and 3.95% in the CLIP score on average across all datasets.</t>
  </si>
  <si>
    <t>llm generates code from ui images; no indication of source-code-related input given to llm; input is webpage images not code or code-related context</t>
  </si>
  <si>
    <t>Unlocking Low Frequency Syscalls in Kernel Fuzzing with Dependency-Based RAG | Proceedings of the ACM on Software Engineering</t>
  </si>
  <si>
    <t>https://dl.acm.org/doi/10.1145/3728913</t>
  </si>
  <si>
    <t>Most coverage-guided kernel fuzzers test operating system kernels based on syscall sequence synthesis. However, there are still syscalls rarely or not covered (called low frequency syscalls, LFS) in a period of fuzzing, meaning the relevant code branches remain unexplored. This is due to the complex dependencies of the LFS and mutation uncertainty, which makes it difficult for fuzzers to generate corresponding syscall sequences. Since many kernel fuzzers can dynamically learn syscall dependencies from the current corpus based on the choice table mechanism, providing comprehensive and high-quality seeds could help fuzzers cover LFS. However, constructing such seeds relies heavily on expert experience to resolve the syscall dependencies. In this paper, we propose SyzGPT, the first kernel fuzzing framework to automatically generate effective seeds for LFS via Large Language Model (LLM). We leverage a dependency-based retrieval-augmented generation (DRAG) method to unlock the potential of LLM and design a series of steps to improve the effectiveness of the generated seeds. First, SyzGPT automatically extracts syscall dependencies from the existing documentation via LLM. Second, SyzGPT retrieves programs from the fuzzing corpus based on the dependencies to construct adaptive context for LLM. Last, SyzGPT periodically generates and repairs seeds with feedback to enrich the fuzzing corpus for LFS. We propose a novel set of evaluation metrics for seed generation in kernel domain. Our evaluation shows that SyzGPT can generate seeds with a high valid rate of 87.84% and can be extended to offline and fine-tuned LLMs. Compared to seven state-of-the-art kernel fuzzers, SyzGPT improves code coverage by 17.73%, LFS coverage by 58.00%, and vulnerability detection by 323.22% on average. Besides, SyzGPT independently discovered 26 unknown kernel bugs (10 are LFS-related), with 11 confirmed.</t>
  </si>
  <si>
    <t>uses llm for syscall dependency extraction; retrieves programs from fuzzing corpus based on dependencies as context; context includes syscall dependencies and retrieved programs (code snippets); llm input includes source-code-related context for seed generation</t>
  </si>
  <si>
    <t>retrieval-based context, code, documentation/specifications</t>
  </si>
  <si>
    <t>Enhanced Prompting Framework for Code Summarization with Large Language Models | Proceedings of the ACM on Software Engineering</t>
  </si>
  <si>
    <t>https://dl.acm.org/doi/10.1145/3728949</t>
  </si>
  <si>
    <t>Code summarization is essential for enhancing the efficiency of software development, enabling developers to swiftly comprehend and maintain software projects. Recent efforts utilizing large language models for generating precise code summaries have shown promising performance, primarily due to their advanced generative capabilities. LLMs that employ continuous prompting techniques can explore a broader problem space, potentially unlocking greater capabilities. However, they also present specific challenges, particularly in aligning with task-specific situations—a strength of discrete prompts. Additionally, the inherent differences between programming languages and natural languages can complicate comprehension for LLMs, impacting the accuracy and relevance of the summaries in complex programming scenarios. These challenges may result in outputs that do not align with actual task needs, underscoring the necessity for further research to enhance the effectiveness of LLMs in code summarization. To overcome these limitations, we combine the strengths of the two approaches described above and introduce EP4CS—an Enhanced Prompting framework for Code Summarization with Large Language Models. Firstly, we design Mapper, which undergoes pre-training on &amp;lt;Code, Knowledge&amp;gt; pairs and facilitates the optimization and updating of prompt vectors based on the outputs of LLMs. Additionally, we develop a Struct-Agent that enables LLMs to more accurately interpret the complex code by in-depth analysis of the programming language’s syntax and structure. Experimental results indicate that, compared to existing baseline methods, our enhanced prompting learning framework significantly improves performance while maintaining the same parameter scale. Specifically, when evaluated on Java using StarCoderBase 1 B , EP4CS achieved score improvements of 6.59% on BLEU, 7.06% on METEOR, and 4.43% on ROUGE-L, while also demonstrating strong robustness. And it’s closer to real-world scenarios in terms of semantic metrics SentenceBERT. The results from the human evaluation and case studies show that EP4CS surpasses the baseline methods, producing higher-quality and more relevant summaries.</t>
  </si>
  <si>
    <t>uses llm for code summarization; input involves complex code and programming language syntax; mentions pre-training on &lt;code, knowledge&gt; pairs; struct-agent analyzes code structure; input clearly source-code-related</t>
  </si>
  <si>
    <t>code, structural expansion</t>
  </si>
  <si>
    <t>Walls Have Ears: Demystifying Notification Listener Usage in Android Apps | Proceedings of the ACM on Software Engineering</t>
  </si>
  <si>
    <t>https://dl.acm.org/doi/10.1145/3728898</t>
  </si>
  <si>
    <t>The Notification Listener Service (NLS) in Android allows third-party apps to monitor and process device notifications, enabling powerful features but also introducing security and privacy risks. Despite the special permission required to access NLS, it has been recurrently exploited by malicious actors. However, there is a lack of systematic investigation into NLS usage patterns and their security implications. In this paper, we propose NLRadar, a hybrid approach combining static analysis and LLM to examine NLS usage in Android apps. We apply NLRadar to a large scale of apps, including both malware and regular apps, to demystify NLS usage and to uncover abuses. Our analysis reveals that NLS is heavily abused, with interesting discoveries such as apps insecurely storing social media messages, exploiting NLS for destructive competition or SMS credential stealing, and leveraging NLS to spread promotional messages or even malicious links. We also find undisclosed changes in NLS usage through app updates and inadequate disclosure in privacy policies. Our findings emphasize the need for more rigorous vetting of NLS usage and better developer education on responsible NLS practices.</t>
  </si>
  <si>
    <t>llm used in hybrid approach with static analysis; unclear if llm input includes source-code-related context or only metadata/notifications; no explicit mention of code or code-related artifacts given to llm</t>
  </si>
  <si>
    <t>Validating Network Protocol Parsers with Traceable RFC Document Interpretation | Proceedings of the ACM on Software Engineering</t>
  </si>
  <si>
    <t>https://dl.acm.org/doi/10.1145/3728955</t>
  </si>
  <si>
    <t>Validating the correctness of network protocol implementations is highly challenging due to the oracle and traceability problems. The former determines when a protocol implementation can be considered buggy, especially when the bugs do not cause any observable symptoms. The latter allows developers to understand how an implementation violates the protocol specification, thereby facilitating bug fixes. Unlike existing works that rarely take both problems into account, this work considers both and provides an effective solution using recent advances in large language models (LLMs). Our key observation is that network protocols are often released with structured specification documents, a.k.a. RFC documents, which can be systematically translated to formal protocol message specifications via LLMs. Such specifications, which may contain errors due to the hallucination of LLMs, are used as a quasi-oracle to validate protocol parsers, while the validation results in return gradually refine the oracle. Since the oracle is derived from the document, any bugs we find in a protocol implementation can be traced back to the document, thus addressing the traceability problem. We have extensively evaluated our approach using nine network protocols and their implementations written in C, Python, and Go. The results show that our approach outperforms the state-of-the-art and has detected 69 bugs, with 36 confirmed. The project also demonstrates the potential for fully automating software validation based on natural language specifications, a process previously considered predominantly manual due to the need to understand specification documents and derive expected outputs for test inputs.</t>
  </si>
  <si>
    <t>llm translates rfc documents to formal protocol message specifications; specifications used as quasi-oracle to validate protocol parsers; validation results refine oracle; protocol implementations in c, python, go; traceability links bugs to document; llm input includes structured specification documents and formal protocol message specs (code-related)</t>
  </si>
  <si>
    <t>documentation/specifications, code</t>
  </si>
  <si>
    <t>Extended Reality Cybersickness Assessment via User Review Analysis | Proceedings of the ACM on Software Engineering</t>
  </si>
  <si>
    <t>https://dl.acm.org/doi/10.1145/3728933</t>
  </si>
  <si>
    <t>In recent years, the extended reality (XR) software ecosystem has emerged as the next ubiquitous computing platform, as they provide users with immersive interactive experiences. However, XR ecosystem suffers from cybersickness problems, which would greatly affect user comfort and safety, leading to symptoms like headaches, disorientation, etc. That makes effective cybersickness assessment a timely and important question. The state-of-the-art methods of assessing the cybersickness of XR software typically monitor the biological metrics of users, during XR usage, which rely heavily on manual playtesting,sufferring from limited scalability issue. User reviews on XR app stores are informative for developers to learn the cybersickness ratings of their apps and the reasons behind. Nevertheless, the large number of user reviews can hardly be analyzed by developers manually, and most current automatic user review analysis methods can only provide coarse-grained or abstract results, such as extracting several high-level key topic groups discussed by reviews. Recent advancements in LLMs may bring new opportunities. However, directly leveraging LLMs for evaluating XR cybersickness is challenging because LLMs perform poorly on a large number of short texts, and their context window is limited. To address these challenges, we introduce XRCare, a comprehensive framework designed to automate the assessment of cybersickness and root cause reasoning for XR apps by resorting to fine-grained user review analysis. XRCare mainly includes three phases: (1) Insight pool construction, when XRCare collects the cybersickness analyzing chains and corresponding analyzing results from domain experts; (2) Reasoning graph construction, when XRCare dynamically extracts, categorizes, and maintains the reasons from user reviews that make users feel cybersickness on a self-evolving hierarchical graph; and (3) Multi-agent deductive cybersickness reasoning, which utilizes a multi-agent system to simulate diverse user demographics for analyzing and rating the intensity of cybersickness, as well as the causes of cybersickness. This structured approach allows XRCare to systematically identify, categorize, and address instances of cybersickness. For experiments, we construct a large-scale dataset consisting of 685,111 user reviews from 9,667 XR apps. Our evaluation shows that XRCare enhances the F1-score by 20.63% over the best-performing baseline and by 32.27% on average across all baselines, while also offering more accurate and detailed interpretability insights.</t>
  </si>
  <si>
    <t>llm used for user review text analysis; no mention of source code or code-related input; focus on natural language user reviews about xr apps; no code elements or code context given to llm</t>
  </si>
  <si>
    <t>Multi-modal Traffic Scenario Generation for Autonomous Driving System Testing | Proceedings of the ACM on Software Engineering</t>
  </si>
  <si>
    <t>https://dl.acm.org/doi/10.1145/3729348</t>
  </si>
  <si>
    <t>Autonomous driving systems (ADS) require extensive testing and validation before deployment. However, it is tedious and time-consuming to construct traffic scenarios for ADS testing. In this paper, we propose TrafficComposer, a multi-modal traffic scenario construction approach for ADS testing. TrafficComposer takes as input a natural language (NL) description of a desired traffic scenario and a complementary traffic scene image. Then, it generates the corresponding traffic scenario in a simulator, such as CARLA and LGSVL. Specifically, TrafficComposer integrates high-level dynamic information about the traffic scenario from the NL description and intricate details about the surrounding vehicles, pedestrians, and the road network from the image. The information from the two modalities is complementary to each other and helps generate high-quality traffic scenarios for ADS testing. On a benchmark of 120 traffic scenarios, TrafficComposer achieves 97.0% accuracy, outperforming the best-performing baseline by 7.3%. Both direct testing and fuzz testing experiments on six ADSs prove the bug detection capabilities of the traffic scenarios generated by TrafficComposer. These scenarios can directly discover 37 bugs and help two fuzzing methods find 33%–124% more bugs serving as initial seeds.</t>
  </si>
  <si>
    <t>llm usage not explicitly mentioned; input is natural language description and image; no indication of source-code-related input to llm; focus on scenario generation for autonomous driving testing</t>
  </si>
  <si>
    <t>CKTyper: Enhancing Type Inference for Java Code Snippets by Leveraging Crowdsourcing Knowledge in Stack Overflow | Proceedings of the ACM on Software Engineering</t>
  </si>
  <si>
    <t>https://dl.acm.org/doi/10.1145/3715724</t>
  </si>
  <si>
    <t>Code snippets are widely used in technical forums to demonstrate solutions to programming problems. They can be leveraged by developers to accelerate problem-solving. However, code snippets often lack concrete types of the APIs used in them, which impedes their understanding and resue. To enhance the description of a code snippet, a number of approaches are proposed to infer the types of APIs. Although existing approaches can achieve good performance, their performance is limited by ignoring other information outside the input code snippet (e.g., the descriptions of similar code snippets) that could potentially improve the performance. In this paper, we propose a novel type inference approach, named CKTyper, by leveraging crowdsourcing knowledge in technical posts. The key idea is to generate a relevant context for a target code snippet from the posts containing similar code snippets and then employ the context to promote the type inference with large language models (e.g., ChatGPT). More specifically, we build a crowdsourcing knowledge base (CKB) by extracting code snippets from a large set of posts and index the CKB using Lucene. An API type dictionary is also built from a set of API libraries. Given a code snippet to be inferred, we first retrieve a list of similar code snippets from the indexed CKB. Then, we generate a crowdsourcing knowledge context (CKC) by extracting and summarizing useful content (e.g., API-related sentences) in the posts that contain the similar code snippets. The CKC is subsequently used to improve the type inference of ChatGPT on the input code snippet. The hallucination of ChatGPT is eliminated by employing the API type dictionary. Evaluation results on two open-source datasets demonstrate the effectiveness and efficiency of CKTyper. CKTyper achieves the optimal precision/recall of 97.80% and 95.54% on both datasets, respectively, significantly outperforming three state-of-the-art baselines and ChatGPT.</t>
  </si>
  <si>
    <t>uses chatgpt llm; input includes code snippets; retrieval of similar code snippets from crowdsourced knowledge base; uses retrieved code-related context to improve type inference; input to llm is code snippet plus related code context from posts</t>
  </si>
  <si>
    <t>code,retrieval-based context,natural language</t>
  </si>
  <si>
    <t>HornBro: Homotopy-Like Method for Automated Quantum Program Repair | Proceedings of the ACM on Software Engineering</t>
  </si>
  <si>
    <t>https://dl.acm.org/doi/10.1145/3715751</t>
  </si>
  <si>
    <t>Quantum programs provide exponential speedups compared to classical programs in certain areas, but they also inevitably encounter logical faults. Automatically repairing quantum programs is much more challenging than repairing classical programs due to the non-replicability of data, the vast search space of program inputs, and the new programming paradigm. Existing works based on semantic-based or learning-based program repair techniques are fundamentally limited in repairing efficiency and effectiveness. In this work, we propose HornBro, an efficient framework for automated quantum program repair. The key insight of HornBro lies in the homotopy-like method, which iteratively switches between the classical and quantum parts. This approach allows the repair tasks to be efficiently offloaded to the most suitable platforms, enabling a progressive convergence toward the correct program. We start by designing an implication assertion pragma to enable rigorous specifications of quantum program behavior, which helps to generate a quantum test suite automatically. This suite leverages the orthonormal bases of quantum programs to accommodate different encoding schemes. Given a fixed number of test cases, it allows the maximum input coverage of potential counter-example candidates. Then, we develop a Clifford approximation method with an SMT-based search to transform the patch localization program into a symbolic reasoning problem. Finally, we offload the computationally intensive repair of gate parameters to quantum hardware by leveraging the differentiability of quantum gates. Experiments suggest that HornBro increases the repair success rate by more than 62.5% compared to the existing repair techniques, supporting more types of quantum bugs. It also achieves 35.7× speedup in the repair and 99.9% gate reduction of the patch.</t>
  </si>
  <si>
    <t>no explicit mention of llm or large language model; automated repair framework described but no clear indication of llm usage; input includes formal specifications and test suites but unclear if llm processes these; quantum program repair context may use symbolic reasoning and hardware offloading rather than llm</t>
  </si>
  <si>
    <t>documentation/specifications, tests</t>
  </si>
  <si>
    <t>S-Eval: Towards Automated and Comprehensive Safety Evaluation for Large Language Models | Proceedings of the ACM on Software Engineering</t>
  </si>
  <si>
    <t>https://dl.acm.org/doi/10.1145/3728971</t>
  </si>
  <si>
    <t>Generative large language models (LLMs) have revolutionized natural language processing with their transformative and emergent capabilities. However, recent evidence indicates that LLMs can produce harmful content that violates social norms, raising significant concerns regarding the safety and ethical ramifications of deploying these advanced models. Thus, it is both critical and imperative to perform a rigorous and comprehensive safety evaluation of LLMs before deployment. Despite this need, owing to the extensiveness of LLM generation space, it still lacks a unified and standardized risk taxonomy to systematically reflect the LLM content safety, as well as automated safety assessment techniques to explore the potential risks efficiently. To bridge the striking gap, we propose S-Eval, a novel LLM-based automated Safety Evaluation framework with a newly defined comprehensive risk taxonomy. S-Eval incorporates two key components, i.e., an expert testing LLM M t and a novel safety critique LLM M c . The expert testing LLM M t is responsible for automatically generating test cases in accordance with the proposed risk management (including 8 risk dimensions and a total of 102 subdivided risks). The safety critique LLM M c can provide quantitative and explainable safety evaluations for better risk awareness of LLMs. In contrast to prior works, S-Eval differs in significant ways: (i) efficient – we construct a multi-dimensional and open-ended benchmark comprising 220,000 test cases across 102 risks utilizing M t and conduct safety evaluations for 21 influential LLMs via M c on our benchmark. The entire process is fully automated and requires no human involvement. (ii) effective – extensive validations show S-Eval facilitates a more thorough assessment and better perception of potential LLM risks, and M c not only accurately quantifies the risks of LLMs but also provides explainable and in-depth insights into their safety, surpassing comparable models such as LLaMA-Guard-2. (iii) adaptive – S-Eval can be flexibly configured and adapted to the rapid evolution of LLMs and accompanying new safety threats, test generation methods and safety critique methods thanks to the LLM-based architecture. We further study the impact of hyper-parameters and language environments on model safety, which may lead to promising directions for future research. S-Eval has been deployed in our industrial partner for the automated safety evaluation of multiple LLMs serving millions of users, demonstrating its effectiveness in real-world scenarios.</t>
  </si>
  <si>
    <t>llms used for safety evaluation of generated text content; no mention of source-code-related input; focus on harmful content and social norms violations; input likely natural language prompts or test cases, not code</t>
  </si>
  <si>
    <t>CoverUp: Effective High Coverage Test Generation for Python | Proceedings of the ACM on Software Engineering</t>
  </si>
  <si>
    <t>https://dl.acm.org/doi/10.1145/3729398</t>
  </si>
  <si>
    <t>Testing is an essential part of software development. Test generation tools attempt to automate the otherwise labor-intensive task of test creation, but generating high-coverage tests remains challenging. This paper proposes CoverUp, a novel approach to driving the generation of high-coverage Python regression tests. CoverUp combines coverage analysis, code context, and feedback in prompts that iteratively guide the LLM to generate tests that improve line and branch coverage. We evaluate our prototype CoverUp implementation across a benchmark of challenging code derived from open-source Python projects and show that CoverUp substantially improves on the state of the art. Compared to CodaMosa, a hybrid search/LLM-based test generator, CoverUp achieves a per-module median line+branch coverage of 80% (vs. 47%). Compared to MuTAP, a mutation- and LLM-based test generator, CoverUp achieves an overall line+branch coverage of 89% (vs. 77%). We also demonstrate that CoverUp’s performance stems not only from the LLM used but from the combined effectiveness of its components.</t>
  </si>
  <si>
    <t>llm used for test generation; input includes coverage analysis and code context; iterative prompts guide test generation improving line and branch coverage; coverage data is dynamic/runtime context; code context implies source code input</t>
  </si>
  <si>
    <t>Blended Analysis for Predictive Execution | Proceedings of the ACM on Software Engineering</t>
  </si>
  <si>
    <t>https://dl.acm.org/doi/10.1145/3729402</t>
  </si>
  <si>
    <t>Although Large Language Models (LLMs) are highly proficient in understanding source code and descriptive texts, they have limitations in reasoning on dynamic program behaviors, such as execution trace and code coverage prediction, and runtime error prediction, which usually require actual program execution. To advance the ability of LLMs in predicting dynamic behaviors, we leverage the strengths of both approaches, Program Analysis (PA) and LLM, in building PredEx, a predictive executor for Python. Our principle is a blended analysis between PA and LLM to use PA to guide the LLM in predicting execution traces. We break down the task of predictive execution into smaller sub-tasks and leverage the deterministic nature when an execution order can be deterministically decided. When it is not certain, we use predictive backward slicing per variable, i.e., slicing the prior trace to only the parts that affect each variable separately breaks up the valuation prediction into significantly simpler problems. Our empirical evaluation on real-world datasets shows that PredEx achieves 31.5–47.1% relatively higher accuracy in predicting full execution traces than the state-of-the-art models. It also produces 8.6–53.7% more correct execution trace prefixes than those baselines. In predicting next executed statements, its relative improvement over the baselines is 15.7–102.3%. Finally, we show PredEx’s usefulness in two tasks: static code coverage analysis and static prediction of run-time errors for (in)complete code.</t>
  </si>
  <si>
    <t>uses llm for predicting execution traces; input includes program analysis guidance; uses predictive backward slicing (program slices) as input; input includes execution traces and static code coverage data; source-code-related context given to llm</t>
  </si>
  <si>
    <t>graph-based expansion, static analysis output, dynamic/runtime context</t>
  </si>
  <si>
    <t>Calibration of Large Language Models on Code Summarization | Proceedings of the ACM on Software Engineering</t>
  </si>
  <si>
    <t>https://dl.acm.org/doi/10.1145/3729400</t>
  </si>
  <si>
    <t>A brief, fluent, and relevant summary can be helpful during program comprehension; however, such a summary does require significant human effort to produce. Often, good summaries are unavailable in software projects, which makes maintenance more difficult. There has been a considerable body of research into automated AI-based methods, using Large Language models (LLMs), to generate summaries of code; there also has been quite a bit of work on ways to measure the performance of such summarization methods, with special attention paid to how closely these AI-generated summaries resemble a summary a human might have produced. Measures such as BERTScore and BLEU have been suggested and evaluated with human-subject studies. However, LLM-generated summaries can be inaccurate, incomplete, etc: generally, too dissimilar to one that a good developer might write. Given an LLM-generated code summary, how can a user rationally judge if a summary is sufficiently good and reliable? Given just some input source code, and an LLM-generated summary, existing approaches can help judge brevity, fluency and relevance of the summary; however, it’s difficult to gauge whether an LLM-generated summary sufficiently resembles what a human might produce, without a “golden” human-produced summary to compare against. Prior research indicates that human-produced summaries are generally preferred by human-raters, so we explore this issue in this paper. We study this resemblance question as a calibration problem: given just the code &amp;amp; the summary from an LLM, can we compute a confidence measure, that provides a reliable indication of whether the summary sufficiently resembles what a human would have produced in this situation? We examine this question using several LLMs, for several languages, and in several different settings. Our investigation suggests approaches to provide reliable predictions of the likelihood that an LLM-generated summary would sufficiently resemble a summary a human might write for the same code.</t>
  </si>
  <si>
    <t>llm used for code summarization; input includes source code and generated summary; focus on resemblance of llm summary to human summary; calibration based on code and summary input</t>
  </si>
  <si>
    <t>code, natural language</t>
  </si>
  <si>
    <t>Integrating Large Language Models and Reinforcement Learning for Non-linear Reasoning | Proceedings of the ACM on Software Engineering</t>
  </si>
  <si>
    <t>https://dl.acm.org/doi/10.1145/3715761</t>
  </si>
  <si>
    <t>Large Language Models (LLMs) were shown to struggle with long-term planning, which may be caused by the limited way in which they explore the space of possible solutions. We propose an architecture where a Reinforcement Learning (RL) Agent guides an LLM's space exploration: (1) the Agent has access to domain-specific information, and can therefore make decisions about the quality of candidate solutions based on specific and relevant metrics, which were not explicitly considered by the LLM's training objective; (2) the LLM can focus on generating immediate next steps, without the need for long-term planning. We allow non-linear reasoning by exploring alternative paths and backtracking. We evaluate this architecture on the program equivalence task, and compare it against Chain of Thought (CoT) and Tree of Thoughts (ToT). We assess both the downstream task, denoting the binary classification, and the intermediate reasoning steps. Our approach compares positively against CoT and ToT.</t>
  </si>
  <si>
    <t>llm used; task involves program equivalence which implies code reasoning; abstract does not explicitly state llm input includes source code or code snippets; no clear mention of code elements or code-related context given to llm</t>
  </si>
  <si>
    <t>QTRAN: Extending Metamorphic-Oracle Based Logical Bug Detection Techniques for Multiple-DBMS Dialect Support | Proceedings of the ACM on Software Engineering</t>
  </si>
  <si>
    <t>https://dl.acm.org/doi/10.1145/3728908</t>
  </si>
  <si>
    <t>Metamorphic testing is a widely used method to detect logical bugs in Database Management Systems (DBMSs), referred to herein as MOLT (Metamorphic-Oracle based Logical Bug Detection Technique). This technique involves constructing SQL statement pairs, including original and mutated queries, and assessing whether the execution results conform to predefined metamorphic relations to detect logical bugs. However, current MOLTs rely heavily on specific DBMS grammar to generate valid SQL statement pairs, which makes it challenging to adapt these techniques to various DBMSs with different grammatical structures. As a result, only a few popular DBMSs, such as PostgreSQL, MySQL, and MariaDB, are supported by existing MOLTs, with extensive manual effort required to expand to other DBMSs. Given that many DBMSs remain inadequately tested, there is a pressing need for a method that enables effortless extension of MOLTs across diverse DBMSs. In this paper, we propose QTRAN, a novel LLM-powered approach that automatically extends existing MOLTs to various DBMSs. Our key insight is to translate SQL statement pairs to target DBMSs for metamorphic testing from existing MOLTs using LLMs. To address the challenges of LLMs’ limited understanding of dialect differences and metamorphic mechanisms, we propose a two-phase approach comprising the transfer and mutation phases. QTRAN tackles these challenges by drawing inspiration from the developer’s process of creating a MOLT, which includes understanding the grammar of the target DBMS to generate original queries and employing a mutator for customized mutations. The transfer phase is designed to identify potential dialects and leverage information from SQL documents to enhance query retrieval, enabling LLMs to translate original queries across different DBMSs accurately. During the mutation phase, we gather SQL statement pairs from existing MOLTs to fine-tune the pretrained model, tailoring it specifically for mutation tasks. Then we employ the customized LLM to mutate the translated original queries, preserving the defined relationships necessary for metamorphic testing. We implement our approach as a tool and apply it to extend four state-of-the-art MOLTs for eight DBMSs: MySQL, MariaDB, TiDB, PostgreSQL, SQLite, MonetDB, DuckDB, and ClickHouse. The evaluation results show that over 99% of the SQL statement pairs transferred by QTRAN satisfy the metamorphic relations required for testing. Furthermore, we have detected 24 logical bugs among these DBMSs, with 16 confirmed as unique and previously unknown bugs. We believe that the generality of QTRAN can significantly enhance the reliability of DBMSs.</t>
  </si>
  <si>
    <t>llm used to translate and mutate sql queries; sql queries are source-code-related input; input includes original and mutated sql statements; fine-tuning on sql statement pairs; metamorphic testing relies on sql code correctness</t>
  </si>
  <si>
    <t>LLM4SZZ: Enhancing SZZ Algorithm with Context-Enhanced Assessment on Large Language Models | Proceedings of the ACM on Software Engineering</t>
  </si>
  <si>
    <t>https://dl.acm.org/doi/10.1145/3728885</t>
  </si>
  <si>
    <t>The SZZ algorithm is the dominant technique for identifying bug-inducing commits and serves as a foundation for many software engineering studies, such as bug prediction and static code analysis, thereby enhancing software quality and facilitating better maintenance practices. Researchers have proposed many variants to enhance the SZZalgorithm’s performance since its introduction. The majority of them rely on static techniques or heuristic assumptions, making them easy to implement, but their performance improvements are often limited. Recently, a deep learning-based SZZ algorithm has been introduced to enhance the original SZZ algorithm. However, it requires complex preprocessing and is restricted to a single programming language. Additionally, while it enhances precision, it sacrifices recall. Furthermore, most of variants overlook crucial information, such as commit messages and patch context, and are limited to bug-fixing commits involving deleted lines. The emergence of large language models (LLMs) offers an opportunity to address these drawbacks. In this study, we investigate the strengths and limitations of LLMs and propose LLM4SZZ, which employs two approaches (i.e., rank-based identification and context-enhanced identification) to handle different types of bug-fixing commits. We determine which approach to adopt based on the LLM’s ability to comprehend the bug and identify whether the bug is present in a commit. The context-enhanced identification provides the LLM with more context and requires it to find the bug-inducing commit among a set of candidate commits. In rank-based identification, we ask the LLM to select buggy statements from the bug-fixing commit and rank them based on their relevance to the root cause. Experimental results show that LLM4SZZ outperforms all baselines across three datasets, improving F1-score by 6.9% to 16.0% without significantly sacrificing recall. Additionally, LLM4SZZ can identify many bug-inducing commits that the baselines fail to detect, accounting for 7.8%, 7.4% and 2.5% of the total bug-inducing commits across three datasets, respectively.</t>
  </si>
  <si>
    <t>uses llm; llm input includes commit messages and patch context; commit messages and patch context are source-code-related historical context; addresses bug-inducing commits in code history</t>
  </si>
  <si>
    <t>historical context, natural language</t>
  </si>
  <si>
    <t>COFFE: A Code Efficiency Benchmark for Code Generation | Proceedings of the ACM on Software Engineering</t>
  </si>
  <si>
    <t>https://dl.acm.org/doi/10.1145/3715727</t>
  </si>
  <si>
    <t>Code generation has largely improved development efficiency in the era of large language models (LLMs). With the ability to follow instructions, current LLMs can be prompted to generate code solutions given detailed descriptions in natural language. Many research efforts are being devoted to improving the correctness of LLM-generated code, and many benchmarks are proposed to evaluate the correctness comprehensively. Despite the focus on correctness, the time efficiency of LLM-generated code solutions is under-explored. Current correctness benchmarks are not suitable for time efficiency evaluation since their test cases cannot well distinguish the time efficiency of different code solutions. Besides, the current execution time measurement is not stable and comprehensive, threatening the validity of the time efficiency evaluation. To address the challenges in the time efficiency evaluation of code generation, we propose COFFE, a code generation benchmark for evaluating the time efficiency of LLM-generated code solutions. COFFE contains 398 and 358 problems for function-level and file-level code generation, respectively. To improve the distinguishability, we design a novel stressful test case generation approach with contracts and two new formats of test cases to improve the accuracy of generation. For the time evaluation metric, we propose efficienct@k based on CPU instruction count to ensure a stable and solid comparison between different solutions. We evaluate 14 popular LLMs on COFFE and identify four findings. Based on the findings, we draw some implications for LLM researchers and software practitioners to facilitate future research and usage of LLMs in code generation.</t>
  </si>
  <si>
    <t>llms evaluated on code generation tasks; benchmark includes contracts and test cases which might be input; unclear if llms receive source-code-related input or only natural language descriptions; abstract does not specify code snippets or structural context given to llms</t>
  </si>
  <si>
    <t>natural language, documentation/specifications</t>
  </si>
  <si>
    <t>Automatically Fixing Dependency Breaking Changes | Proceedings of the ACM on Software Engineering</t>
  </si>
  <si>
    <t>https://dl.acm.org/doi/10.1145/3729366</t>
  </si>
  <si>
    <t>Breaking changes in dependencies are a common challenge in software development, requiring manual intervention to resolve. This study examines how well LLM automate the repair of breaking changes caused by dependency updates in Java projects. Although earlier methods have mostly concentrated on detecting breaking changes or investigating their impact, they have not been able to completely automate the repair process. We introduce and compare two new approaches: an agentic system that combines automated tool usage with LLM, and a recursive zero-shot approach, employing iterative prompt refinement. Our experimental framework assesses the repair success of both approaches, using the BUMP dataset of curated breaking changes. We also investigate the impact of variables such as dependency popularity and prompt configuration on repair outcomes. Our results demonstrate a substantial difference in test suite success rates, with the agentic approach achieving a repair success rate of up to 23%, while the zero-shot prompting approach achieved a repair success rate of up to 19%. We show that automated program repair of breaking dependencies with LLMs is feasible and can be optimised to achieve better repair outcomes.</t>
  </si>
  <si>
    <t>llm used for automated repair of dependency breaking changes; input likely includes dependency-related files or code snippets to fix breaking changes; mentions prompt refinement and agentic system combining automated tool usage with llm; repair success measured on curated breaking changes dataset; dependency updates imply source-code-related context given to llm</t>
  </si>
  <si>
    <t>code, graph-based expansion</t>
  </si>
  <si>
    <t>A Large-Scale Empirical Study on Fine-Tuning Large Language Models for Unit Testing | Proceedings of the ACM on Software Engineering</t>
  </si>
  <si>
    <t>https://dl.acm.org/doi/10.1145/3728951</t>
  </si>
  <si>
    <t>Unit testing plays a pivotal role in software development, improving software quality and reliability. However, generating effective test cases manually is time-consuming, prompting interest in unit testing research. Recently, Large Language Models (LLMs) have shown potential in various unit testing tasks, including test generation, assertion generation, and test evolution, but existing studies are limited in scope and lack a systematic evaluation of the effectiveness of LLMs. To bridge this gap, we present a large-scale empirical study on fine-tuning LLMs for unit testing. Our study involves three unit testing tasks, five benchmarks, eight evaluation metrics, and 37 popular LLMs across various architectures and sizes, consuming over 3,000 NVIDIA A100 GPU hours. We focus on three key research questions: (1) the performance of LLMs compared to state-of-the-art methods, (2) the impact of different factors on LLM performance, and (3) the effectiveness of fine-tuning versus prompt engineering. Our findings reveal that LLMs outperform existing state-of-the-art approaches on all three unit testing tasks across nearly all metrics, highlighting the potential of fine-tuning LLMs in unit testing tasks. Furthermore, large-scale, decoder-only models achieve the best results across tasks, while encoder-decoder models perform better under the same parameter scale. Additionally, the comparison of the performance between fine-tuning and prompt engineering approaches reveals the considerable potential capability of the prompt engineering approach in unit testing tasks. We then discuss the concerned issues on the test generation task, including data leakage issues, bug detection capabilities, and metrics comparisons. Finally, we further pinpoint carious practical guidelines for LLM-based approaches to unit testing tasks in the near future. Overall, our work demonstrates the promising future of fine-tuning LLMs on unit testing tasks and reduces the manual efforts of unit testing experts in practical scenarios.</t>
  </si>
  <si>
    <t>llms used for unit testing tasks; unit test generation implies code input; fine-tuning on unit testing tasks requires source code context; mentions test generation, assertion generation; large-scale empirical study on llm fine-tuning for unit testing</t>
  </si>
  <si>
    <t>The First Prompt Counts the Most! An Evaluation of Large Language Models on Iterative Example-Based Code Generation | Proceedings of the ACM on Software Engineering</t>
  </si>
  <si>
    <t>https://dl.acm.org/doi/10.1145/3728947</t>
  </si>
  <si>
    <t>The capabilities of Large Language Models (LLMs) in code generation have been extensively studied, particularly for implementing target functionalities from natural-language descriptions. As an alternative to natural language, input-output (I/O) examples provide an accessible, unambiguous, and flexible way to describe functionalities. However, their inherent diversity, opaqueness, and incompleteness impose greater challenges for understanding and implementing the target requirements. Therefore, generating code from I/O examples (i.e., example-based code generation) provides a new perspective, allowing us to additionally evaluate LLMs’ capability to infer target functionalities from limited information and to process new-form requirements. However, related research about LLMs in example-based code generation remains largely unexplored. To fill this gap, this paper presents the first comprehensive study on example-based code generation using LLMs. To address the incorrectness caused by the incompleteness of I/O examples, we adopt an iterative evaluation framework and formalize the objective of example-based code generation as two sequential sub-objectives: generating code conforming to the given examples and generating code that successfully implements the target functionalities from (iteratively) given examples. We assess six state-of-the-art LLMs using a new benchmark of 172 diverse target functionalities (derived from HumanEval and CodeHunt). The results demonstrate that when requirements are described using iterative I/O examples rather than natural language, the LLMs’ score decreases by over 60%, indicating that example-based code generation remains challenging for the evaluated LLMs. Notably, the vast majority (even over 95%) of successfully implemented functionalities are achieved in the first round of the iterations, suggesting that the LLMs struggle to effectively utilize the iteratively supplemented requirements. Furthermore, we find that combining I/O examples with even imprecise and fragmental natural language descriptions greatly improves LLM performance, and the selection of initial I/O examples can also influence the score, suggesting opportunities for prompt optimization. These findings highlight the importance of early prompts during interactions and offer critical insights and implications for enhancing LLM-based code generation.</t>
  </si>
  <si>
    <t>llms generate code from i/o examples and natural language descriptions; no indication that existing source code or code snippets are given as input; input is examples and nl specs, not source-code-related context</t>
  </si>
  <si>
    <t>Hallucination Detection in Large Language Models with Metamorphic Relations | Proceedings of the ACM on Software Engineering</t>
  </si>
  <si>
    <t>https://dl.acm.org/doi/10.1145/3715735</t>
  </si>
  <si>
    <t>Large Language Models (LLMs) are prone to hallucinations, e.g., factually incorrect information, in their responses. These hallucinations present challenges for LLM-based applications that demand high factual accuracy. Existing hallucination detection methods primarily depend on external resources, which can suffer from issues such as low availability, incomplete coverage, privacy concerns, high latency, low reliability, and poor scalability. There are also methods depending on output probabilities, which are often inaccessible for closed-source LLMs like GPT models. This paper presents MetaQA, a self-contained hallucination detection approach that leverages metamorphic relation and prompt mutation. Unlike existing methods, MetaQA operates without any external resources and is compatible with both open-source and closed-source LLMs. MetaQA is based on the hypothesis that if an LLM’s response is a hallucination, the designed metamorphic relations will be violated. We compare MetaQA with the state-of-the-art zero-resource hallucination detection method, SelfCheckGPT, across multiple datasets, and on two open-source and two closed-source LLMs. Our results reveal that MetaQA outperforms SelfCheckGPT in terms of precision, recall, and f1 score. For the four LLMs we study, MetaQA outperforms SelfCheckGPT with a superiority margin ranging from 0.041 - 0.113 (for precision), 0.143 - 0.430 (for recall), and 0.154 - 0.368 (for F1-score). For instance, with Mistral-7B, MetaQA achieves an average F1-score of 0.435, compared to SelfCheckGPT’s F1-score of 0.205, representing an improvement rate of 112.2%. MetaQA also demonstrates superiority across all different categories of questions.</t>
  </si>
  <si>
    <t>llm used for hallucination detection; no mention of source-code-related input; input context unclear but appears to be natural language questions; no code or code-related context indicated</t>
  </si>
  <si>
    <t>Clause2Inv: A Generate-Combine-Check Framework for Loop Invariant Inference | Proceedings of the ACM on Software Engineering</t>
  </si>
  <si>
    <t>https://dl.acm.org/doi/10.1145/3728920</t>
  </si>
  <si>
    <t>Loop invariant inference is a fundamental, yet challenging, problem in program verification. Recent work adopts the guess-and-check framework, where candidate loop invariants are iteratively generated in the guess step and verified in the check step. A major challenge of this general framework is to produce high-quality candidate invariants in each iteration so that the inference procedure can converge quickly. Empirically, we observe that existing approaches may struggle with guessing the complete invariant due to the complexity of logical connectives, but usually, all the clauses of the correct loop invariant have already appeared in the previous guesses. This motivates us to refine the guess-and-check framework, resulting in a generate-combine-check framework, where the loop invariant inference task is divided into clause generation and clause combination. Specifically, we propose a novel loop invariant inference approach under the new framework, which consists of an LLM-based clause generator and a counterexample-driven clause combinator. As the clause generator, leverages LLMs to generate a multitude of clauses; as the clause combinator, leverages counterexamples from the previous rounds to convert generated clauses into invariants. Our experiments show that significantly outperforms existing loop invariant inference approaches. For example, solved 312 (out of 316) linear invariant inference tasks and 44 (out of 50) nonlinear invariant inference tasks, which is at least 93 and 16 more than the existing baselines, respectively. By design, the generate-combine-check framework is flexible to accommodate various existing approaches which are currently under the guess-and-check framework by splitting the guessed candidate invariants into clauses. The evaluation shows that our approach can, with minor adaptation, improve existing loop invariant inference approaches in both effectiveness and efficiency. For example, Code2Inv which solved 210 linear problems with an average solving time of 137.6 seconds can be improved to solve 252 problems with an average solving time of 17.8 seconds.</t>
  </si>
  <si>
    <t>llm used as clause generator for loop invariant inference; input involves clauses of loop invariants which are formal specifications related to code; loop invariants are static analysis outputs related to source code verification; framework splits guessed invariants into clauses indicating use of code-related logical elements as input</t>
  </si>
  <si>
    <t>static analysis output</t>
  </si>
  <si>
    <t>LogBase: A Large-Scale Benchmark for Semantic Log Parsing | Proceedings of the ACM on Software Engineering</t>
  </si>
  <si>
    <t>https://dl.acm.org/doi/10.1145/3728969</t>
  </si>
  <si>
    <t>Logs generated by large-scale software systems contain a huge amount of useful information. As the first step of automated log analysis, log parsing has been extensively studied. General log parsing techniques focus on identifying static templates from raw logs, but overlook the more important semantics implied in dynamic log parameters. With the popularity of Artificial Intelligence for IT Operations (AIOps), traditional log parsing methods no longer meet the requirements of various downstream tasks. Researchers are now exploring the next generation of log parsing techniques, i.e., semantic log parsing, to identify both log templates and semantics in log parameters. However, the absence of semantic annotations in existing datasets hinders the training and evaluation of semantic log parsers, thereby stalling the progress of semantic log parsing. To fill this gap and advance the field of semantic log parsing, we construct LogBase, the first semantic log parsing benchmark dataset. LogBase consists of logs from 130 popular open-source projects, containing 85,300 semantically annotated log templates, surpassing existing datasets in both log source diversity and template richness. To build Logbase, we develop the framework GenLog for constructing semantic log parsing datasets. GenLog mines log template-parameter-context triplets from popular open-source repositories on GitHub, and uses chain-of-thought (CoT) techniques with large language models (LLMs) to generate high-quality logs. Meanwhile, GenLog employs human feedback to improve the quality of the generated data and ensure its reliability. GenLog is highly automated and cost-effective, enabling researchers to easily and efficiently construct semantic log parsing datasets. Furthermore, we also design a set of comprehensive evaluation metrics for LogBase, including general log parser metrics and the metrics specifically for semantic log parsers and LLM-based parsers. With LogBase, we extensively evaluate 15 existing log parsers, revealing their true performance in complex scenarios. We believe that this work provides researchers with valuable data, reliable tools, and insightful findings to support and guide the future research of semantic log parsing.</t>
  </si>
  <si>
    <t>llm used with chain-of-thought for log generation; input context described as log template-parameter-context triplets mined from repos; unclear if source-code elements or code-related context explicitly given to llm; focus on logs rather than code itself</t>
  </si>
  <si>
    <t>Identifying Multi-parameter Constraint Errors in Python Data Science Library API Documentation | Proceedings of the ACM on Software Engineering</t>
  </si>
  <si>
    <t>https://dl.acm.org/doi/10.1145/3728945</t>
  </si>
  <si>
    <t>Modern AI- and Data-intensive software systems rely heavily on data science and machine learning libraries that provide essential algorithmic implementations and computational frameworks. These libraries expose complex APIs whose correct usage has to follow constraints among multiple interdependent parameters. Developers using these APIs are expected to learn about the constraints through the provided documentation and any discrepancy may lead to unexpected behaviors. However, maintaining correct and consistent multi-parameter constraints in API documentation remains a significant challenge for API compatibility and reliability. To address this challenge, we propose MPChecker for detecting inconsistencies between code and documentation, specifically focusing on multi-parameter constraints. MPChecker identifies these constraints at the code level by exploring execution paths through symbolic execution and further extracts corresponding constraints from documentation using large language models (LLMs). We propose a customized fuzzy constraint logic to reconcile the unpredictability of LLM outputs and detect logical inconsistencies between the code and documentation constraints. We collected and constructed two datasets from four popular data science libraries and evaluated MPChecker on them. Our tool identified 117 of 126 inconsistent constraints, achieving a recall of 92.8% and demonstrating its effectiveness at detecting inconsistency issues. We further reported 14 detected inconsistency issues to the library developers, who have confirmed 11 issues at the time of writing.</t>
  </si>
  <si>
    <t>llm used to extract constraints from documentation; documentation is api documentation (source-code-related); code constraints extracted via symbolic execution (code context); llm input includes api documentation linked to code constraints; focus on multi-parameter constraints in code and docs</t>
  </si>
  <si>
    <t>code, documentation/specifications</t>
  </si>
  <si>
    <t>DiSCo: Towards Decompiling EVM Bytecode to Source Code using Large Language Models | Proceedings of the ACM on Software Engineering</t>
  </si>
  <si>
    <t>https://dl.acm.org/doi/10.1145/3729373</t>
  </si>
  <si>
    <t>Understanding the Ethereum smart contract bytecode is essential for ensuring cryptoeconomics security. However, existing decompilers primarily convert bytecode into pseudocode, which is not easily comprehensible for general users, potentially leading to misunderstanding of contract behavior and increased vulnerability to scams or exploits. In this paper, we propose DiSCo, the first LLMs-based EVM decompilation pipeline, which aims to enable LLMs to understand the opaque bytecode and lift it into smart contract code. DiSCo introduces three core technologies. First, a logic-invariant intermediate representation is proposed to reproject the low-level bytecode into high-level abstracted units. The second technique involves semantic enhancement based on a novel type-aware graph model to infer stripped variables during compilation, enhancing the lifting effect. The third technology is a flexible method incorporating code specifications to construct LLM-comprehensible prompts for source code generation. Extensive experiments illustrate that our generated code guarantees a high compilability rate at 75%, with differential fuzzing pass rate averaging at 50%. Manual validation results further indicate that the generated solidity contracts significantly outperforms baseline methods in tasks such as code comprehension and attack reproduction.</t>
  </si>
  <si>
    <t>llm used for decompilation; input includes evm bytecode; uses intermediate representation and type-aware graph model (static analysis output); incorporates code specifications in prompts (documentation/specifications)</t>
  </si>
  <si>
    <t>static analysis output, documentation/specifications</t>
  </si>
  <si>
    <t>REACCEPT: Automated Co-evolution of Production and Test Code Based on Dynamic Validation and Large Language Models | Proceedings of the ACM on Software Engineering</t>
  </si>
  <si>
    <t>https://dl.acm.org/doi/10.1145/3728930</t>
  </si>
  <si>
    <t>Synchronizing production and test code, known as PT co-evolution, is critical for software quality. Given the significant manual effort involved, researchers have tried automating PT co-evolution using predefined heuristics and machine learning models. However, existing solutions are still incomplete. Most approaches only detect and flag obsolete test cases, leaving developers to manually update them. Meanwhile, existing solutions may suffer from low accuracy, especially when applied to real-world software projects. In this paper, we propose ReAccept, a novel approach leveraging large language models (LLMs), retrievalaugmented generation (RAG), and dynamic validation to fully automate PT co-evolution with high accuracy. ReAccept employs an experience-guided approach to generate prompt templates for the identification and subsequent update processes. After updating a test case, ReAccept performs dynamic validation by checking syntax, verifying semantics, and assessing test coverage. If the validation fails, ReAccept leverages the error messages to iteratively refine the patch. To evaluate ReAccept's effectiveness, we conducted extensive experiments with a dataset of 537 Java projects and compared ReAccept's performance with several stateof-the-art methods. The evaluation results show that ReAccept achieved an update accuracy of 60.16% on the correctly identified obsolete test code, surpassing the state-of-the-art technique CEPROT by 90%. These findings demonstrate that ReAccept can effectively maintain test code, improve overall software quality, and significantly reduce maintenance effort.</t>
  </si>
  <si>
    <t>uses llm for pt co-evolution; input includes obsolete test code and production code for update; dynamic validation uses syntax, semantics, coverage data; retrieval-augmented generation implies retrieved code snippets; input clearly source-code-related</t>
  </si>
  <si>
    <t>code, tests, dynamic/runtime context, retrieval-based context</t>
  </si>
  <si>
    <t>ChatDBG: Augmenting Debugging with Large Language Models | Proceedings of the ACM on Software Engineering</t>
  </si>
  <si>
    <t>https://dl.acm.org/doi/10.1145/3729355</t>
  </si>
  <si>
    <t>Debugging is a critical but challenging task for programmers. This paper proposes ChatDBG, an AI-powered debugging assistant. ChatDBG integrates large language models (LLMs) to significantly enhance the capabilities and user-friendliness of conventional debuggers. ChatDBG lets programmers engage in a collaborative dialogue with the debugger, allowing them to pose complex questions about program state, perform root cause analysis for crashes or assertion failures, and explore open-ended queries like "why is x null?". To handle these queries, ChatDBG grants the LLM autonomy to "take the wheel": it can act as an independent agent capable of querying and controlling the debugger to navigate through stacks and inspect program state. It then reports its findings and yields back control to the programmer. By leveraging the real-world knowledge embedded in LLMs, ChatDBG can diagnose issues identifiable only through the use of domain-specific reasoning. Our ChatDBG prototype integrates with standard debuggers including LLDB and GDB for native code and Pdb for Python. Our evaluation across a diverse set of code, including C/C++ code with known bugs and a suite of Python code including standalone scripts and Jupyter notebooks, demonstrates that ChatDBG can successfully analyze root causes, explain bugs, and generate accurate fixes for a wide range of real-world errors. For the Python programs, a single query led to an actionable bug fix 67% of the time; one additional follow-up query increased the success rate to 85%. ChatDBG has seen rapid uptake; it has already been downloaded more than 75,000 times.</t>
  </si>
  <si>
    <t>uses llm as debugging assistant; llm queries and controls debugger; inspects program state and stacks; input includes runtime values and stack traces; prototype integrates with debuggers for native and python code; evaluates on real code with bugs; llm diagnoses root causes using program state</t>
  </si>
  <si>
    <t>dynamic/runtime context</t>
  </si>
  <si>
    <t>VerLog: Enhancing Release Note Generation for Android Apps using Large Language Models | Proceedings of the ACM on Software Engineering</t>
  </si>
  <si>
    <t>https://dl.acm.org/doi/10.1145/3728961</t>
  </si>
  <si>
    <t>Release notes are essential documents that communicate the details of software updates to users and developers, yet their generation remains a time-consuming and error-prone process. In this paper, we present VerLog, a novel technique that enhances the generation of software release notes using Large Language Models (LLMs). VerLog leverages few-shot in-context learning with adaptive prompting to facilitate the graph reasoning capabilities of LLMs, enabling them to accurately interpret and document the semantic information of code changes. Additionally, VerLog incorporates multi-granularity information, including fine-grained code modifications and high-level non-code artifacts, to guide the generation process and ensure comprehensive, accurate, and readable release notes. We applied VerLog to the 42 releases of 248 unique Android applications and conducted extensive evaluations. Our results demonstrate that VerLog significantly (up to 18%–21% higher precision, recall, and F1) outperforms state-of-the-art baselines in terms of completeness, accuracy, readability, and overall quality of the generated release notes, in both controlled experiments with high-quality reference release notes and in-the-wild evaluations.</t>
  </si>
  <si>
    <t>uses llm for release note generation; input includes fine-grained code modifications; includes high-level non-code artifacts; code changes imply source-code-related input; adaptive prompting for graph reasoning on code changes</t>
  </si>
  <si>
    <t>code, graph-based expansion, historical context</t>
  </si>
  <si>
    <t>Intention-Based GUI Test Migration for Mobile Apps using Large Language Models | Proceedings of the ACM on Software Engineering</t>
  </si>
  <si>
    <t>https://dl.acm.org/doi/10.1145/3728978</t>
  </si>
  <si>
    <t>Graphical User Interface (GUI) testing is one of the primary quality assurance methods for mobile apps. Manually constructing high-quality test cases for GUI testing is costly and labor-intensive, leading to the development of various automated approaches that migrate test cases from a source app to a target app. Existing approaches predominantly treat this test migration task as a widget-matching problem, which performs well when the interaction logic between apps remains consistent. However, they struggle with variations in interaction logic for specific functionalities, a common scenario across different apps. To address this limitation, a novel approach named ITeM is introduced in this paper for the test migration task. Unlike existing works that model the problem as a widget-matching task, ITeM seeks a novel pathway by adopting a two-stage framework with the comprehension and reasoning capability of Large Language Models: first, a transition-aware mechanism for generating test intentions; and second, a dynamic reasoning-based mechanism for fulfilling these intentions. This approach maintains effectiveness regardless of variations across the source and target apps' interaction logic. Experimental results on 35 real-world Android apps across 280 test migration tasks demonstrate the superior effectiveness and efficiency of ITeM compared to state-of-the-art approaches.</t>
  </si>
  <si>
    <t>llm used for test migration; input likely gui test cases or app interaction data; unclear if source-code-related input given to llm; no explicit mention of code elements or code-derived context as input</t>
  </si>
  <si>
    <t>Enhancing Vulnerability Detection via Inter-procedural Semantic Completion | Proceedings of the ACM on Software Engineering</t>
  </si>
  <si>
    <t>https://dl.acm.org/doi/10.1145/3728912</t>
  </si>
  <si>
    <t>Inspired by advances in deep learning, numerous learning-based approaches for vulnerability detection have emerged, primarily operating at the function level for scalability. However, this design choice has a critical limitation: many vulnerabilities span multiple functions, causing function-level approaches to lose the semantics of called functions and fail to capture true vulnerability patterns. To address this issue, we propose VulnSC, a novel framework designed to enhance learning-based approaches by complementing inter-procedural semantics. VulnSC retrieves the source code of called functions for datasets and leverages large language models (LLMs) with well-designed prompts to generate summaries for these functions. The datasets, enhanced with these summaries, are fed into neural networks for improved vulnerability detection. VulnSC is the first general framework to integrate inter-procedural semantics into existing learning-based approaches for vulnerability detection while maintaining scalability. We evaluate VulnSC on four state-of-the-art learning-based approaches using two widely used datasets, and our experimental results demonstrate that VulnSC significantly enhances detection performance with minimal additional computational overhead.</t>
  </si>
  <si>
    <t>llm used to generate summaries of called functions; input includes source code of called functions; inter-procedural semantic completion involves code context</t>
  </si>
  <si>
    <t>Enhancing Web Accessibility: Automated Detection of Issues with Generative AI | Proceedings of the ACM on Software Engineering</t>
  </si>
  <si>
    <t>https://dl.acm.org/doi/10.1145/3729371</t>
  </si>
  <si>
    <t>Websites are integral to people’s daily lives, with billions in use today. However, due to limited awareness of accessibility and its guidelines, developers often release web apps that are inaccessible to people with disabilities, who make up around 16% of the global population. To ensure a baseline of accessibility, software engineers rely on automated checkers that assess a webpage’s compliance based on predefined rules. Unfortunately, these tools typically cover only a small subset of accessibility guidelines and often overlook violations that require a semantic understanding of the webpage. The advent of generative AI, known for its ability to comprehend textual and visual content, has created new possibilities for detecting accessibility violations. We began by studying the most widely used guideline, WCAG, to determine the testable success criteria that generative AI could address. This led to the development of an automated tool called GenA11y, which extracts elements from a page related to each success criterion and inputs them into an LLM prompted to detect accessibility issues on the web. Evaluations of GenA11y showed its effectiveness, with a precision of 94.5% and a recall of 87.61%. Additionally, when tested on real websites, GenA11y identified an average of eight more types of accessibility violations than the combination of existing tools.</t>
  </si>
  <si>
    <t>llm used for accessibility issue detection; input is webpage elements related to wcag criteria; unclear if webpage elements include source-code-related context or just ui elements; no explicit mention of code snippets or code structure given to llm</t>
  </si>
  <si>
    <t>Error Delayed Is Not Error Handled: Understanding and Fixing Propagated Error-Handling Bugs | Proceedings of the ACM on Software Engineering</t>
  </si>
  <si>
    <t>https://dl.acm.org/doi/10.1145/3729384</t>
  </si>
  <si>
    <t>Error handling is critical for software reliability. In software systems, error handling may be delayed to other functions. Such propagated error handling (PEH) could easily be missed and lead to bugs. Our research reveals that PEH bugs are prevalent in software systems and, on average, take 44.1 days to fully address. Existing approaches have primarily focused on the error-handling bug within individual functions, which makes it difficult to fully address PEH bugs. In this paper, we conducted the first in-depth study on PEH bugs in 11 mature software systems, examining how errors propagate and how they should be handled. We introduce EH-Fixer, an LLM-based tool for automated program repair specifically designed to address PEH bugs. For each PEH bug, EH-Fixer constructs its propagation path, and repairs them through retrieval-augmented generation. To assess the performance of our approach, we collected 89 historical PEH bugs from the Linux Kernel as well as 9 widely used applications. The experimental results show that EH-Fixer can fix 83.1% (74/89) of PEH bugs.</t>
  </si>
  <si>
    <t>llm-based tool eh-fixer for automated program repair; constructs propagation path for each bug; uses retrieval-augmented generation implying retrieval of code snippets or related code context; addresses propagated error handling bugs in code</t>
  </si>
  <si>
    <t>retrieval-based context, graph-based expansion, code</t>
  </si>
  <si>
    <t>AlphaTrans: A Neuro-Symbolic Compositional Approach for Repository-Level Code Translation and Validation | Proceedings of the ACM on Software Engineering</t>
  </si>
  <si>
    <t>https://dl.acm.org/doi/10.1145/3729379</t>
  </si>
  <si>
    <t>Code translation transforms programs from one programming language (PL) to another. One prominent use case is application modernization to enhance maintainability and reliability. Several rule-based transpilers have been designed to automate code translation between different pairs of PLs. However, the rules can become obsolete as the PLs evolve and cannot generalize to other PLs. Recent studies have explored the automation of code translation using Large Language Models (LLMs). One key observation is that such techniques may work well for crafted benchmarks but fail to generalize to the scale and complexity of real-world projects with inter- and intra-class dependencies, custom types, PL-specific features, etc. We propose AlphaTrans, a neuro-symbolic approach to automate repository-level code translation. AlphaTrans translates both source and test code, and employs multiple levels of validation to ensure the translation preserves the functionality of the source program. To break down the problem for LLMs, AlphaTrans leverages program analysis to decompose the program into fragments and translates them in the reverse call order . We leveraged AlphaTrans to translate ten real-world open-source projects consisting of ⟨836, 8575, 2719⟩ (application and test) classes, (application and test) methods, and unit tests. AlphaTrans breaks down these projects into 17874 fragments and translates the entire repository. 96.40% of the translated fragments are syntactically correct, and AlphaTrans validates the translations’ runtime behavior and functional correctness for 27.03% and 25.14% of the application method fragments. On average, integrated translation and validation takes 34 hours (min=3, max=121) to translate a project, showing its scalability in practice. For the syntactically or semantically incorrect translations, AlphaTrans generates a report including existing translation, stack trace, test errors, or assertion failures. We provided these artifacts to two developers to fix the translation bugs in four projects. They fixed the issues in 20.1 hours on average (5.5 hours for the smallest and 34 hours for the largest project) and achieved all passing tests. Without AlphaTrans, translating and validating such big projects could take weeks, if not months.</t>
  </si>
  <si>
    <t>llm used for code translation; input includes program fragments; uses program analysis to decompose code; translates source and test code; validates runtime behavior and functional correctness; input clearly source-code-related</t>
  </si>
  <si>
    <t>code, graph-based expansion, tests, static analysis output</t>
  </si>
  <si>
    <t>Detecting and Reducing the Factual Hallucinations of Large Language Models with Metamorphic Testing | Proceedings of the ACM on Software Engineering</t>
  </si>
  <si>
    <t>https://dl.acm.org/doi/10.1145/3715784</t>
  </si>
  <si>
    <t>Question answering (QA) is a fundamental task of large language models (LLMs), which requires LLMs to automatically answer human-posed questions in natural language. However, LLMs are known to distort facts and make non-factual statements (i.e., hallucinations) when dealing with QA tasks, which may affect the deployment of LLMs in real-life situations. In this work, we propose DrHall, a framework for detecting and reducing the factual hallucinations of black-box LLMs with metamorphic testing (MT). We believe that hallucinated answers are unstable. Therefore, when LLMs hallucinate, they are more likely to produce different answers if we use metamorphic testing to make LLMs re-execute the same task with different execution paths, which motivates the design of DrHall. The effectiveness of DrHall is evaluated empirically on three datasets, including a self-built dataset of natural language questions: FactHalluQA, as well as two datasets of programming questions: Refactory and LeetCode. The evaluation results confirm that DrHall can consistently outperform the state-of-the-art baselines, obtaining an average F1 score of over 0.856 for hallucination detection. For hallucination correction, DrHall can also outperform the state-of-the-art baselines, with an average hallucination correction rate of over 53%. We hope that our work can enhance the reliability of LLMs and provide new insights for the research of LLM hallucination mitigation.</t>
  </si>
  <si>
    <t>llm used for question answering; datasets include programming questions; unclear if source-code-related input given to llm or only natural language questions; no explicit mention of code snippets or code context as input</t>
  </si>
  <si>
    <t>Porting Software Libraries to OpenHarmony: Transitioning from TypeScript or JavaScript to ArkTS</t>
  </si>
  <si>
    <t>https://dl.acm.org/doi/10.1145/3728941</t>
  </si>
  <si>
    <t>OpenHarmony emerges as a potent force in the mobile app domain, poised to stand alongside established industry giants. ArkTS is its main language, enhancing TypeScript (TS) and JavaScript (JS) with strict typing for improved performance. Developers are encouraged to port popular TS/JS libraries to OpenHarmony, supported by detailed guidelines. However, this requires a deep understanding of ArkTS syntax, following porting specifications, and making manual changes. An automated solution is crucial to streamline this process and foster a robust software ecosystem. As a new programming language, ArkTS currently lacks essential analysis tools for automated analysis and porting of software libraries. However, the rise of Large Language Models (LLMs) shows promise for effectively addressing automated porting tasks. There are two challenges in using LLMs to automate the porting of TS/JS libraries to OpenHarmony: (1) LLMs have limited exposure to ArkTS code, making it difficult for them to grasp the syntactical differences between ArkTS and JS/TS, as well as the various adaptation scenarios. (2) Project-level code adaptation often involves correcting numerous syntax mismatches, which complicates matters for LLMs as they must handle the interactions between different mismatches and interdependent code. In response, we introduce ArkAdapter, a project-level automatic code adaptation approach. ArkAdapter addresses Challenge 1 by establishing an adaptation knowledge repository for ArkTS syntax comprehension. It expands a collection of real code adaptation examples based on expert experience across various scenarios, improving the adaptation capabilities of LLMs through few-shot learning. ArkAdapter overcomes Challenge 2 based on an adaptation priority strategy by considering both the dependency structure and the granularity of syntax-mismatching code. This strategy helps prevent interference among various syntax mismatches and their interdependent code. Evaluation shows ArkAdapter achieves high precision (86.84</t>
  </si>
  <si>
    <t>llm used for automated porting; adaptation knowledge repository includes real code adaptation examples; few-shot learning with code examples; project-level code adaptation involves syntax mismatches in code; llm input includes source-code-related context (code snippets/examples)</t>
  </si>
  <si>
    <t>ClassEval-T: Evaluating Large Language Models in Class-Level Code Translation | Proceedings of the ACM on Software Engineering</t>
  </si>
  <si>
    <t>https://dl.acm.org/doi/10.1145/3728940</t>
  </si>
  <si>
    <t>In recent years, Large Language Models (LLMs) have dramatically advanced the performance of automated code translation, making their computational accuracy score reach up to over 80% on many previous benchmarks. However, most code samples in these benchmarks are short, standalone, statement/method-level, and algorithmic, which is not aligned with practical coding tasks. Therefore, it is still unknown the actual capability of LLMs in translating code samples written for daily development. To achieve this, we construct a class-level code translation benchmark, ClassEval-T, and make the first attempt to extensively assess recent LLMs' performance on class-level code translation. ClassEval-T is extended from ClassEval, a well-known class-level Python code generation benchmark consisting of multiple practical coding topics, such as database operation and game design, and diverse contextual dependencies (e.g., fields, methods, and libraries). It cost us 360 person-hours to accomplish the manual migration to Java and C++ with complete code samples and associated test suites. Subsequently, we design three translation strategies (i.e., holistic, min-dependency, and standalone) for class-level code translations and evaluate eight recent LLMs of commercial, general, and code kinds in diverse families and sizes on ClassEval-T. Experimental results demonstrate a remarkable performance drop compared with the most widely studied method-level code translation benchmark, and obvious discrepancies among LLMs appear, showing the effectiveness of ClassEval-T in measuring recent LLMs. Afterwards, we further discuss the usage scenarios for diverse translation strategies and LLMs' ability to dependency awareness when translating class samples. Finally, 1,243 failure cases made by the best-performing LLM under test are thoroughly analyzed and categorized in this paper for practical guidance and future enlightenment.</t>
  </si>
  <si>
    <t>llms evaluated on class-level code translation; input includes complete class code samples; test suites also included; translation strategies consider dependencies; clear source-code-related input to llms</t>
  </si>
  <si>
    <t>OmniGIRL: A Multilingual and Multimodal Benchmark for GitHub Issue Resolution | Proceedings of the ACM on Software Engineering</t>
  </si>
  <si>
    <t>https://dl.acm.org/doi/10.1145/3728871</t>
  </si>
  <si>
    <t>The GitHub issue resolution task aims to resolve issues reported in repositories automatically. With advances in large language models (LLMs), this task has gained increasing attention, and several benchmarks are proposed to evaluate the issue resolution ability of LLMs. However, existing benchmarks have three main limitations. First, current benchmarks focus on a single programming language, limiting the evaluation of issues from repositories across different languages. Second, they usually cover a narrow range of domains, which may fail to represent the diversity of real-world issues. Third, existing benchmarks rely solely on textual information in issue descriptions, overlooking multimodal information such as images in issues. In this paper, we propose OmniGIRL, a GitHub Issue ResoLution benchmark that is multilingual, multimodal, and multi-domain. OmniGIRL includes 959 task instances, which are collected from repositories across four programming languages (i.e., Python, JavaScript, TypeScript, and Java) and eight different domains. Our evaluation shows that current LLMs show limited performances on OmniGIRL. Notably, the best-performing model, GPT-4o, resolves only 8.6% of the issues. Besides, we find that current LLMs struggle to resolve issues requiring understanding images. The best performance is achieved by Claude-3.5-Sonnet, which resolves only 10.5% of the issues with image information. Finally, we analyze the reasons behind current LLMs’ failure on OmniGIRL, providing insights for future improvements.</t>
  </si>
  <si>
    <t>llms evaluated on github issue resolution; issues from repos in multiple programming languages; issues likely contain source-code-related context as input; multimodal includes images but code context implied; benchmark targets code-related issue resolution</t>
  </si>
  <si>
    <t>historical context, natural language, code</t>
  </si>
  <si>
    <t>Code Red! On the Harmfulness of Applying Off-the-Shelf Large Language Models to Programming Tasks | Proceedings of the ACM on Software Engineering</t>
  </si>
  <si>
    <t>https://dl.acm.org/doi/10.1145/3729380</t>
  </si>
  <si>
    <t>Nowadays, developers increasingly rely on solutions powered by Large Language Models (LLM) to assist them with their coding tasks. This makes it crucial to align these tools with human values to prevent malicious misuse. In this paper, we propose a comprehensive framework for assessing the potential harmfulness of LLMs within the software engineering domain. We begin by developing a taxonomy of potentially harmful software engineering scenarios and subsequently, create a dataset of prompts based on this taxonomy. To systematically assess the responses, we design and validate an automatic evaluator that classifies the outputs of a variety of LLMs both open-source and closed-source models, as well as general-purpose and code-specific LLMs. Furthermore, we investigate the impact of models' size, architecture family, and alignment strategies on their tendency to generate harmful content. % Results The results show significant disparities in the alignment of various LLMs for harmlessness. We find that some models and model families, such as Openhermes, are more harmful than others and that code-specific models do not perform better than their general-purpose counterparts. Notably, some fine-tuned models perform significantly worse than their base-models due to their design choices. On the other side, we find that larger models tend to be more helpful and are less likely to respond with harmful information. These results highlight the importance of targeted alignment strategies tailored to the unique challenges of software engineering tasks and provide a foundation for future work in this critical area.</t>
  </si>
  <si>
    <t>llms evaluated on programming tasks; harmfulness assessed on responses to prompts; no explicit mention of source-code-related input in prompts; focus on taxonomy of harmful scenarios but input content unclear</t>
  </si>
  <si>
    <t>IRepair: An Intent-Aware Approach to Repair Data-Driven Errors in Large Language Models | Proceedings of the ACM on Software Engineering</t>
  </si>
  <si>
    <t>https://dl.acm.org/doi/10.1145/3715775</t>
  </si>
  <si>
    <t>Not a day goes by without hearing about the impressive feats of large language models (LLMs), and equally, not a day passes without hearing about their challenges. LLMs are notoriously vulnerable to biases in their dataset, leading to issues such as toxicity, harmful responses, and factual inaccuracies. While domain-adaptive training has been employed to mitigate these issues, these techniques often address all model parameters indiscriminately during the repair process, resulting in poor repair quality and reduced model versatility. In this paper, drawing inspiration from fault localization via program slicing, we introduce a novel dynamic slicing-based intent-aware LLM repair strategy, IRepair. This approach selectively targets the most error-prone sections of the model for repair. Specifically, we propose dynamically slicing the model’s most sensitive layers that require immediate attention, concentrating repair efforts on those areas. This method enables more effective repairs with potentially less impact on the model’s overall versatility by altering a smaller portion of the model. Furthermore, dynamic selection allows for a more nuanced and precise model repair compared to a fixed selection strategy. We evaluated our technique on three models from the GPT2 and GPT-Neo families, with parameters ranging from 800M to 1.6B, in a toxicity mitigation setup. Our results show that IRepair repairs errors 43.6% more effectively while causing 46% less disruption to general performance compared to the closest baseline, direct preference optimization. Our empirical analysis also reveals that errors are more concentrated in a smaller section of the model, with the top 20% of layers exhibiting 773% more error density than the remaining 80%. This highlights the need for selective repair. Additionally, we demonstrate that a dynamic selection approach is essential for addressing errors dispersed throughout the model, ensuring a robust and efficient repair.</t>
  </si>
  <si>
    <t>llm used for repair; input context unclear if includes source-code-related info; focus on model layers and dynamic slicing; no explicit mention of code or code-related input to llm</t>
  </si>
  <si>
    <t>Large Language Models for In-File Vulnerability Localization Can Be “Lost in the End” | Proceedings of the ACM on Software Engineering</t>
  </si>
  <si>
    <t>https://dl.acm.org/doi/10.1145/3715758</t>
  </si>
  <si>
    <t>Traditionally, software vulnerability detection research has focused on individual small functions due to earlier language processing technologies’ limitations in handling larger inputs. However, this function-level approach may miss bugs that span multiple functions and code blocks. Recent advancements in artificial intelligence have enabled processing of larger inputs, leading everyday software developers to increasingly rely on chat-based large language models (LLMs) like GPT-3.5 and GPT-4 to detect vulnerabilities across entire files, not just within functions. This new development practice requires researchers to urgently investigate whether commonly used LLMs can effectively analyze large file-sized inputs, in order to provide timely insights for software developers and engineers about the pros and cons of this emerging technological trend. Hence, the goal of this paper is to evaluate the effectiveness of several state-of-the-art chat-based LLMs, including the GPT models, in detecting in-file vulnerabilities. We conducted a costly investigation into how the performance of LLMs varies based on vulnerability type , input size , and vulnerability location within the file. To give enough statistical power (β ≥ .8) to our study, we could only focus on the three most common (as well as dangerous) vulnerabilities: XSS, SQL injection, and path traversal. Our findings indicate that the effectiveness of LLMs in detecting these vulnerabilities is strongly influenced by both the location of the vulnerability and the overall size of the input. Specifically, regardless of the vulnerability type, LLMs tend to significantly ( p &amp;lt; .05) underperform when detecting vulnerabilities located toward the end of larger files—a pattern we call the lost-in-the-end effect. Finally, to further support software developers and practitioners, we also explored the optimal input size for these LLMs and presented a simple strategy for identifying it, which can be applied to other models and vulnerability types. Eventually, we show how adjusting the input size can lead to significant improvements in LLM-based vulnerability detection, with an average recall increase of over 37% across all models.</t>
  </si>
  <si>
    <t>llms used for vulnerability detection; input is entire files; source-code-related input clearly stated; focus on code vulnerability localization</t>
  </si>
  <si>
    <t>Automated Test Transfer across Android Apps using Large Language Models | Proceedings of the ACM on Software Engineering</t>
  </si>
  <si>
    <t>https://dl.acm.org/doi/10.1145/3728975</t>
  </si>
  <si>
    <t>The pervasiveness of mobile apps in everyday life necessitates robust testing strategies to ensure quality and efficiency, especially through end-to-end usage-based tests for mobile apps' user interfaces (UIs). However, manually creating and maintaining such tests can be costly for developers. Since many apps share similar functionalities beneath diverse UIs, previous works have shown the possibility of transferring UI tests across different apps within the same domain, thereby eliminating the need for writing the tests manually. However, these methods have struggled to accommodate real-world variations, often facing limitations in scenarios where source and target apps are not very similar or fail to accurately transfer test oracles. This paper introduces an innovative technique, LLMigrate, which leverages Large Language Models (LLMs) to efficiently transfer usage-based UI tests across mobile apps. Our experimental evaluation shows LLMigrate can achieve a 97.5% success rate in automated test transfer, reducing the manual effort required to write tests from scratch by 91.1%. This represents an improvement of 9.1% in success rate and 38.2% in effort reduction compared to the best-performing prior technique, setting a new benchmark for automated test transfer.</t>
  </si>
  <si>
    <t>llm used for test transfer across android apps; unclear if source-code-related input given to llm; abstract mentions usage-based ui tests but no explicit mention of code or code elements as input; focus on ui tests might imply gui-level inputs rather than source code</t>
  </si>
  <si>
    <t>Towards Understanding Docker Build Faults in Practice: Symptoms, Root Causes, and Fix Patterns | Proceedings of the ACM on Software Engineering</t>
  </si>
  <si>
    <t>https://dl.acm.org/doi/10.1145/3715757</t>
  </si>
  <si>
    <t>Docker building is a critical component of containerization in modern software development, automating the process of packaging and converting sources into container images. It is not uncommon to find that Docker build faults (DBFs) occur frequently across Docker-based projects, inducing non-negligible costs in development activities. DBF resolution is a challenging problem and previous studies have demonstrated that developers spend non-trivial time in resolving encountered build faults. However, the characteristics of DBFs is still under-investigated, hindering practical solutions to build management in the Docker community. In this paper, to bridge this gap, we present a comprehensive study for understanding the real-world DBFs in practice. We collect and analyze a DBF dataset of 255 issues and 219 posts from GitHub, Stack Overflow, and Docker Forum. We investigate and construct characteristic taxonomies for the DBFs, including 15 symptoms, 23 root causes, and 35 fix patterns. Moreover, we study the fault distributions of symptoms and root causes, in terms of the different build types, i.e., Dockerfile builds and Docker-compose builds. Based on the results, we provide actionable implications and develop a knowledge-based application, which can potentially facilitate research and assist developers in improving the Docker build management.</t>
  </si>
  <si>
    <t>no mention of llm usage; focus on empirical study of docker build faults; no indication of llm input or code-related input; no source-code-related context given to any model</t>
  </si>
  <si>
    <t>Productively Deploying Emerging Models on Emerging Platforms: A Top-Down Approach for Testing and Debugging | Proceedings of the ACM on Software Engineering</t>
  </si>
  <si>
    <t>https://dl.acm.org/doi/10.1145/3728957</t>
  </si>
  <si>
    <t>While existing machine learning (ML) frameworks focus on established platforms, like running CUDA on server-grade GPUs, there have been growing demands to enable emerging AI applications in a broader set of scenarios, such as running Large Language Models (LLMs) within browsers and mobile phones. However, deploying emerging models on new platforms (such as Metal and WebGPU) presents significant software engineering challenges due to rapid model evolution and limited tooling and practices for these platforms. Previous practice for ML model deployment often follows a bottom-up fashion, where engineers first implement individual required operators and then put them together. However, this traditional development approach fails to meet the productivity requirements when deploying emerging ML applications, with the testing and debugging part as a bottleneck. To this end, we introduce TapML, a top-down approach designed to streamline model deployment on diverse platforms. While the traditional bottom-up approach requires crafting manual tests, TapML automatically creates high-quality, realistic test data through operator-wise test carving. Furthermore, TapML uses a migration-based strategy to gradually offload model implementation from the mature source platform to the target platform, minimizing the debugging scope of compound errors. TapML has been used as the default development method in the MLC-LLM project to deploy emerging ML models. Within 2 years, TapML has accelerated the deployment of 105 emerging models in 27 model architectures across 5 emerging platforms. We show that TapML effectively boosts developer productivity while ensuring the quality of deployed models. Furthermore, we summarize comprehensive case studies from our real-world development, offering best practices for developing emerging ML systems.</t>
  </si>
  <si>
    <t>llm mentioned indirectly as emerging models including llms; focus on deployment, testing, debugging; no explicit mention of llm receiving source-code-related input; top-down approach automates test data generation but unclear if llm input includes code elements or related context</t>
  </si>
  <si>
    <t>Uncovering API-Scope Misalignment in the App-in-App Ecosystem | Proceedings of the ACM on Software Engineering</t>
  </si>
  <si>
    <t>https://dl.acm.org/doi/10.1145/3728962</t>
  </si>
  <si>
    <t>The "app-in-app" paradigm is an emerging trend in mobile systems, where super applications (short for superApps) such as WeChat, Baidu, TikTok, enable external vendors to develop mini-programs (short for miniApps) on their platforms by providing privileged APIs. To facilitate management, superApps have devised their specific permission configuration (called scope) to grant the APIs access to specific capabilities and resources. Adhering to these scopes during API implementation is crucial for maintaining security; otherwise, the permission management of superApps can be bypassed—a vulnerability we refer to as API-scope misalignment. In this work, we conduct the first systematic study on the API-scope misalignment issues in the app-in-app ecosystems, uncovering root causes and security risks. More importantly, we developed an automatic tool called ScopeChecker to detect the API-scope misalignment in both superApps and miniApps. ScopeChecker extracts the standard API-scope mappings by integrating the Android permission mechanism into the functionalities of superApps. Then, LLM-based code generation is used to create executable API snippets as test cases. The execution results reflect the actual mappings of APIs to their scopes, which are compared with the standard API-scope mappings to identify misalignment. After that, ScopeChecker verifies the identified misalignment in miniApps by matching the misaligned APIs with a tailored method-oriented abstract syntax tree (MAST) of the target miniApp. ScopeChecker identified 38 misaligned APIs in top superApps with manual confirmation, outperforming the state-of-the-art miniApp-focused test methods. As a highlight, we received 11 positive responses from the superApp developers and CNVD, encompassing 9 vulnerability confirmations with rewards: 1 high-risk, 7 medium-risk, and 1 low-risk. To assess prevalence, ScopeChecker evaluated 42𝑘+ miniApps, and found 51% had API-scope misalignment, averaging 1.4 misaligned APIs each. At last, we illustrated 4 types of security threats raised by the API-scope misalignment by analyzing real-world exploitation cases.</t>
  </si>
  <si>
    <t>llm used for code generation; generates executable api snippets as test cases; input includes standard api-scope mappings integrated with android permission mechanism (likely code-related); uses method-oriented abstract syntax tree (mast) for matching misaligned apis in miniapps; source-code-related context given to llm</t>
  </si>
  <si>
    <t>TerzoN: Human-in-the-Loop Software Testing with a Composite Oracle</t>
  </si>
  <si>
    <t>https://dl.acm.org/doi/10.1145/3729359</t>
  </si>
  <si>
    <t>Software testing is difficult, tedious, and may consume 28%–50% of software engineering labor. Automatic test generators aim to ease this burden but have important trade-offs. Fuzzers use an implicit oracle that can detect obviously invalid results, but the oracle problem has no general solution, and an implicit oracle cannot automatically evaluate correctness. Test suite generators like EvoSuite use the program under test as the oracle and therefore cannot evaluate correctness. Property-based testing tools evaluate correctness, but users have difficulty coming up with properties to test and understanding whether their properties are correct. Consequently, practitioners create many test suites manually and often use an example-based oracle to tediously specify correct input and output examples. To help bridge the gaps among various oracle and tool types, we present the Composite Oracle, which organizes various oracle types into a hierarchy and renders a single test result per example execution. To understand the Composite Oracle’s practical properties, we built TerzoN, a test suite generator that includes a particular instantiation of the Composite Oracle. TerzoN displays all the test results in an integrated view composed from the results of three types of oracles and finds some types of test assertion inconsistencies that might otherwise lead to misleading test results. We evaluated TerzoN in a randomized controlled trial with 14 professional software engineers with a popular industry tool, fast-check, as the control. Participants using TerzoN elicited 72% more bugs (p &amp;lt; 0.01), accurately described more than twice the number of bugs (p &amp;lt; 0.01) and tested 16% more quickly (p &amp;lt; 0.05) relative to fast-check.</t>
  </si>
  <si>
    <t>no explicit mention of llm or large language model; focus on composite oracle and test generation; evaluation with professional engineers; no clear indication of llm usage or code input to llm</t>
  </si>
  <si>
    <t>AdverIntent-Agent: Adversarial Reasoning for Repair Based on Inferred Program Intent | Proceedings of the ACM on Software Engineering</t>
  </si>
  <si>
    <t>https://dl.acm.org/doi/10.1145/3728939</t>
  </si>
  <si>
    <t>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t>
  </si>
  <si>
    <t>llm used for patch generation; input includes faulty statements and inferred program intents; test agent generates adversarial test cases; input context includes code elements and tests; dynamic and precise llm prompts use source-code-related info</t>
  </si>
  <si>
    <t>code, tests, natural language</t>
  </si>
  <si>
    <t>Beyond Functional Correctness: Investigating Coding Style Inconsistencies in Large Language Models | Proceedings of the ACM on Software Engineering</t>
  </si>
  <si>
    <t>https://dl.acm.org/doi/10.1145/3715749</t>
  </si>
  <si>
    <t>Large language models (LLMs) have brought a paradigm shift to the field of code generation, offering the potential to enhance the software development process. However, previous research mainly focuses on the accuracy of code generation, while coding style differences between LLMs and human developers remain under-explored. In this paper, we empirically analyze the differences in coding style between the code generated by mainstream LLMs and the code written by human developers, and summarize coding style inconsistency taxonomy. Specifically, we first summarize the types of coding style inconsistencies by manually analyzing a large number of generation results. We then compare the code generated by LLMs with the code written by human programmers in terms of readability, conciseness, and robustness. The results reveal that LLMs and developers exhibit differences in coding style. Additionally, we study the possible causes of these inconsistencies and provide some solutions to alleviate the problem.</t>
  </si>
  <si>
    <t>llm used for code generation; focus on comparing generated code style with human code; unclear if llm input includes existing source code or only natural language prompts; no explicit mention of source-code-related input given to llm</t>
  </si>
  <si>
    <t>Less Is More: On the Importance of Data Quality for Unit Test Generation | Proceedings of the ACM on Software Engineering</t>
  </si>
  <si>
    <t>https://dl.acm.org/doi/10.1145/3715778</t>
  </si>
  <si>
    <t>Unit testing is crucial for software development and maintenance. Effective unit testing ensures and improves software quality, but writing unit tests is time-consuming and labor-intensive. Recent studies have proposed deep learning (DL) techniques or large language models (LLMs) to automate unit test generation. These models are usually trained or fine-tuned on large-scale datasets. Despite growing awareness of the importance of data quality, there has been limited research on the quality of datasets used for test generation. To bridge this gap, we systematically examine the impact of noise on the performance of learning-based test generation models. We first apply the open card sorting method to analyze the most popular and largest test generation dataset, Methods2Test, to categorize eight distinct types of noise. Further, we conduct detailed interviews with 17 domain experts to validate and assess the importance, reasonableness, and correctness of the noise taxonomy. Then, we propose CleanTest, an automated noise-cleaning framework designed to improve the quality of test generation datasets. CleanTest comprises three filters: a rule-based syntax filter, a rule-based relevance filter, and a model-based coverage filter. To evaluate its effectiveness, we apply CleanTest on two widely-used test generation datasets, i.e., Methods2Test and Atlas. Our findings indicate that 43.52% and 29.65% of datasets contain noise, highlighting its prevalence. Finally, we conduct comparative experiments using four LLMs (i.e., CodeBERT, AthenaTest, StarCoder, and CodeLlama7B) to assess the impact of noise on test generation performance. The results show that filtering noise positively influences the test generation ability of the models. Fine-tuning the four LLMs with the filtered Methods2Test dataset, on average, improves its performance by 67% in branch coverage, using the Defects4J benchmark. For the Atlas dataset, the four LLMs improve branch coverage by 39%. Additionally, filtering noise improves bug detection performance, resulting in a 21.42% increase in bugs detected by the generated tests.</t>
  </si>
  <si>
    <t>uses llms for test generation; fine-tunes llms on datasets containing method-level code; input includes method bodies from datasets; evaluates impact of noise filtering on code-based inputs</t>
  </si>
  <si>
    <t>Fairness Mediator: Neutralize Stereotype Associations to Mitigate Bias in Large Language Models | Proceedings of the ACM on Software Engineering</t>
  </si>
  <si>
    <t>https://dl.acm.org/doi/10.1145/3728881</t>
  </si>
  <si>
    <t>Large Language Models (LLMs) have demonstrated remarkable performance across diverse applications, yet they inadvertently absorb spurious correlations from training data, leading to stereotype associations between biased concepts and specific social groups. These associations perpetuate and even amplify harmful social biases, raising significant concerns about fairness, which is a crucial issue in software engineering. To mitigate such biases, prior studies have attempted to project model embeddings into unbiased spaces during inference. However, these approaches have shown limited effectiveness due to their weak alignment with downstream social biases. Inspired by the observation that concept cognition in LLMs is primarily represented through a linear associative memory mechanism, where key-value mapping occurs in the MLP layers, we posited that biased concepts and social groups are similarly encoded as entity (key) and information (value) pairs, which can be manipulated to promote fairer associations. To this end, we propose Fairness Mediator (FairMed), an effective and efficient bias mitigation framework that neutralizes stereotype associations. Our framework comprises two main components: a stereotype association prober and an adversarial debiasing neutralizer. The prober captures stereotype associations encoded within MLP layer activations by employing prompts centered around biased concepts (keys) to detect the emission probabilities for social groups (values). Subsequently, the adversarial debiasing neutralizer intervenes in MLP activations during inference to equalize the association probabilities among different social groups. Extensive experiments across nine protected attributes show that our FairMed significantly outperforms state-of-the-art methods in effectiveness, achieving average bias reductions of up to 84.42</t>
  </si>
  <si>
    <t>llm used for bias mitigation in mlp activations; no mention of source-code-related input; focus on social bias in language models; input is biased concepts and social groups, not code</t>
  </si>
  <si>
    <t>BinQuery: A Novel Framework for Natural Language-Based Binary Code Retrieval | Proceedings of the ACM on Software Engineering</t>
  </si>
  <si>
    <t>https://dl.acm.org/doi/10.1145/3728927</t>
  </si>
  <si>
    <t>Binary Function Retrieval (BFR) is crucial in reverse engineering for identifying specific functions in binary code, especially those associated with malicious behavior or vulnerabilities. Traditional BFR methods rely on heuristics, often lacking the efficiency and adaptability needed for large-scale or diverse binary analysis tasks. To address these challenges, we present BinQuery, a Natural Language-based BFR (NL-based BFR) framework that uses natural language queries to retrieve relevant binary functions with improved flexibility and precision. BinQuery introduces innovative techniques to bridge information gaps between binary code and natural language, achieves fine-grained alignment for enhanced retrieval accuracy, and leverages Large Language Models (LLMs) to refine queries and generate diverse descriptions. Our extensive experiments indicate that BinQuery surpasses current state-of-the-art methods, achieving a 42.55% increase in recall@1 and a 4× improvement in performance on comparable benchmarks.</t>
  </si>
  <si>
    <t>llm used to refine queries and generate descriptions; input described as natural language queries; unclear if binary code or code-related representations given as input to llm; no explicit mention of source-code-related input to llm</t>
  </si>
  <si>
    <t>Element-Based Automated DNN Repair with Fine-Tuned Masked Language Model | Proceedings of the ACM on Software Engineering</t>
  </si>
  <si>
    <t>https://dl.acm.org/doi/10.1145/3715716</t>
  </si>
  <si>
    <t>Deep Neural Networks (DNNs) are prevalent across a wide range of applications. Despite their success, the complexity and opaque nature of DNNs pose significant challenges in debugging and repairing DNN models, limiting their reliability and broader adoption. In this paper, we propose MLM4DNN, an element-based automated DNN repair method. Unlike previous techniques that focus on post-training adjustments or rely heavily on predefined bug patterns, MLM4DNN repairs DNNs by leveraging a fine-tuned Masked Language Model (MLM) to predict correct fixes for nine predefined key elements in DNNs. We construct a large-scale dataset by masking nine key elements from the correct DNN source code and then force the MLM to restore the correct elements to learn the deep semantics that ensure the normal functionalities of DNNs. Afterwards, a light-weight static analysis tool is designed to filter out low-quality patches to enhance the repair efficiency. We introduce a patch validation method specifically for DNN repair tasks, which consists of three evaluation metrics from different aspects to model the effectiveness of generated patches. We construct a benchmark, Benchmark APR 4 DNN , including 51 buggy DNN models and an evaluation tool that outputs the three metrics. We evaluate MLM4DNN against six baselines on Benchmark APR 4 DNN , and results show that MLM4DNN outperforms all state-of-the-art baselines, including two dynamic-based and four zero-shot learning-based methods. After applying the fine-tuned MLM design to several prevalent Large Language Models (LLMs), we consistently observe improved performance in DNN repair tasks compared to the original LLMs, which demonstrates the effectiveness of the method proposed in this paper.</t>
  </si>
  <si>
    <t>uses fine-tuned masked language model (mlm) for dnn repair; mlm predicts fixes for key elements in dnn source code; input involves masked key elements from dnn source code; static analysis used to filter patches; benchmark includes buggy dnn models (source code); llm input clearly source-code-related</t>
  </si>
  <si>
    <t>LlamaRestTest: Effective REST API Testing with Small Language Models | Proceedings of the ACM on Software Engineering</t>
  </si>
  <si>
    <t>https://dl.acm.org/doi/10.1145/3715737</t>
  </si>
  <si>
    <t>Modern web services rely heavily on REST APIs, typically documented using the OpenAPI specification. The widespread adoption of this standard has resulted in the development of many black-box testing tools that generate tests based on OpenAPI specifications. Although Large Language Models (LLMs) have shown promising test-generation abilities, their application to REST API testing remains mostly unexplored. We present LlamaRestTest, a novel approach that employs two custom LLMs-created by fine-tuning and quantizing the Llama3-8B model using mined datasets of REST API example values and inter-parameter dependencies-to generate realistic test inputs and uncover inter-parameter dependencies during the testing process by analyzing server responses. We evaluated LlamaRestTest on 12 real-world services (including popular services such as Spotify), comparing it against RESTGPT, a GPT-powered specification-enhancement tool, as well as several state-of-the-art REST API testing tools, including RESTler, MoRest, EvoMaster, and ARAT-RL. Our results demonstrate that fine-tuning enables smaller models to outperform much larger models in detecting actionable parameter-dependency rules and generating valid inputs for REST API testing. We also evaluated different tool configurations, ranging from the base Llama3-8B model to fine-tuned versions, and explored multiple quantization techniques, including 2-bit, 4-bit, and 8-bit integer formats. Our study shows that small language models can perform as well as, or better than, large language models in REST API testing, balancing effectiveness and efficiency. Furthermore, LlamaRestTest outperforms state-of-the-art REST API testing tools in code coverage achieved and internal server errors identified, even when those tools use RESTGPT-enhanced specifications. Finally, through an ablation study, we show that each component of LlamaRestTest contributes to its overall performance.</t>
  </si>
  <si>
    <t>llm fine-tuned on rest api example values and inter-parameter dependencies; input includes openapi specifications which are api documentation tied to code; testing involves generating valid inputs based on specification; comparison with other rest api testing tools; uses specification-enhancement tool restgpt; input context includes api documentation/specifications</t>
  </si>
  <si>
    <t>Zero-Shot Cross-Domain Code Search without Fine-Tuning | Proceedings of the ACM on Software Engineering</t>
  </si>
  <si>
    <t>https://dl.acm.org/doi/10.1145/3729357</t>
  </si>
  <si>
    <t>Code search is a crucial task in software engineering, aiming to retrieve code snippets that are semantically relevant to a natural language query. Recently, Pre-trained Language Models (PLMs) have shown remarkable success and are widely adopted for code search tasks. However, PLM-based methods often struggle in cross-domain scenarios. When applied to a new domain, they typically require extensive fine-tuning with substantial data. Even worse, the data scarcity problem in new domains often forces these methods to operate in a zero-shot setting, resulting in a significant decline in performance. RAPID, which generates synthetic data for model fine-tuning, is currently the only effective method for zero-shot cross-domain code search. Despite its effectiveness, RAPID demands substantial computational resources for fine-tuning and needs to maintain specialized models for each domain, underscoring the need for a zero-shot, fine-tuning-free approach for cross-domain code search. The key to tackling zero-shot cross-domain code search lies in bridging the gaps among domains. In this work, we propose to break the query-code matching process of code search into two simpler tasks: query-comment matching and code-code matching. We first conduct an empirical study to investigate the effectiveness of these two matching schemas in zero-shot cross-domain code search. Our findings highlight the strong complementarity among the three matching schemas, i.e., query-code, query-comment, and code-code matching. Based on the findings, we propose CodeBridge, a zero-shot, fine-tuning-free approach for cross-domain code search. Specifically, CodeBridge first employs zero-shot prompting to guide Large Language Models (LLMs) to generate a comment for each code snippet in the codebase and produce a code for each query. Subsequently, it encodes queries, code snippets, comments, and the generated code using PLMs and assesses similarities through three matching schemas: query-code, query-comment, and generated code-code. Lastly, CodeBridge leverages a sampling-based fusion approach that combines these three similarity scores to rank the final search outcomes. Experimental results show that our approach outperforms the state-of-the-art PLM-based code search approaches, i.e., CoCoSoDa and UniXcoder, by an average of 21.4% and 24.9% in MRR, respectively, across three datasets. Our approach also yields results that are better than or comparable to those of the zero-shot cross-domain code search approach RAPID, which requires costly fine-tuning.</t>
  </si>
  <si>
    <t>uses llm for zero-shot prompting; llm generates comments for code snippets and code for queries; input to llm includes code snippets and queries (source-code-related input); approach integrates multiple matching schemas involving code and comments</t>
  </si>
  <si>
    <t>code, documentation/specifications, natural language</t>
  </si>
  <si>
    <t>Statement-Level Adversarial Attack on Vulnerability Detection Models via Out-of-Distribution Features | Proceedings of the ACM on Software Engineering</t>
  </si>
  <si>
    <t>https://dl.acm.org/doi/10.1145/3729403</t>
  </si>
  <si>
    <t>Code vulnerability detection is crucial to ensure software security. Recent advancements, particularly with the emergence of Code Pre-Trained Models (CodePTMs) and Large Language Models (LLMs), have led to significant progress in this area. However, these models are easily susceptible to adversarial attacks, where even slight input modifications can lead the models to generate opposite results. Existing adversarial approaches, such as identifier replacement, code transformation, and dead code insertion, demonstrate promising performance but still face several limitations. First, the perturbations applied to the target code are relatively constrained (e.g., identifier replacement can only be applied to a small subset of tokens within the entire codebase). Second, the design of perturbed tokens lacks specificity in forcing the model to make incorrect predictions (e.g., they are generated by random selection or context-based prediction). Such limitations lead to the inefficiency and ineffectiveness of existing attacks. To address these issues, we propose SLODA (Statement-level OOD Features driven Adversarial Attack), which introduces two types of out-of-distribution (OOD) features: universal features via code deoptimization and label-specific features extracted from existing mispredicted and adversarial examples. These statement-level OOD features not only expand the perturbation scope, but can also significantly reduce the search space due to their inherently adversarial nature. Moreover, since the OOD features are extracted from existing code and the attack considers the context of the target code, they are more difficult to detect. Our extensive experiments across 15 models demonstrate that SLODA surpasses existing five state-of-the-art approaches in terms of the effectiveness, efficiency, and detection resistance. Furthermore, the adversarial examples generated by SLODA also exhibit promising performance to enhance model robustness.</t>
  </si>
  <si>
    <t>llm used for vulnerability detection; input includes code statements; adversarial attack modifies code input; statement-level features extracted from code; code context considered in attack</t>
  </si>
  <si>
    <t>Are Autonomous Web Agents Good Testers? | Proceedings of the ACM on Software Engineering</t>
  </si>
  <si>
    <t>https://dl.acm.org/doi/10.1145/3728879</t>
  </si>
  <si>
    <t>Despite advances in automated testing, manual testing remains prevalent due to the high maintenance demands associated with test script fragility—scripts often break with minor changes in application structure. Recent developments in Large Language Models (LLMs) offer a potential alternative by powering Autonomous Web Agents (AWAs) that can autonomously interact with applications. These agents may serve as Autonomous Test Agents (ATAs), potentially reducing the need for maintenance-heavy automated scripts by utilising natural language instructions similar to those used by human testers. This paper investigates the feasibility of adapting AWAs for natural language test case execution and how to evaluate them. We contribute with (1) a benchmark of three offline web applications, and a suite of 113 manual test cases, split between passing and failing cases, to evaluate and compare ATAs performance, (2) SeeAct-ATA and pinATA, two open-source ATA implementations capable of executing test steps, verifying assertions and giving verdicts, and (3) comparative experiments using our benchmark that quantifies our ATAs effectiveness. Finally we also proceed to a qualitative evaluation to identify the limitations of PinATA, our best performing implementation. Our findings reveal that our simple implementation, SeeAct-ATA, does not perform well compared to our more advanced PinATA implementation when executing test cases (50% performance improvement). However, while PinATA obtains around 60% of correct verdict and up to a promising 94% specificity, we identify several limitations that need to be addressed to develop more resilient and reliable ATAs, paving the way for robust, low maintenance test automation.</t>
  </si>
  <si>
    <t>llm used to power autonomous web agents; test cases given as input but unclear if test cases include source-code-related info or only natural language instructions; no explicit mention of code snippets or code elements as input to llm; focus on natural language test case execution; source-code-related input presence unclear</t>
  </si>
  <si>
    <t>natural language, tests, unspecified</t>
  </si>
  <si>
    <t>Standing on the Shoulders of Giants: Bug-Aware Automated GUI Testing via Retrieval Augmentation | Proceedings of the ACM on Software Engineering</t>
  </si>
  <si>
    <t>https://dl.acm.org/doi/10.1145/3715755</t>
  </si>
  <si>
    <t>In software development, similar apps often encounter similar bugs due to shared functionalities and implementation methods. However, current automated GUI testing methods mainly focus on generating test scripts to cover more pages by analyzing the internal structure of the app, without targeted exploration of paths that may trigger bugs, resulting in low efficiency in bug discovery. Considering that a large number of bug reports on open source platforms can provide external knowledge for testing, this paper proposes BugHunter, a novel bug-aware automated GUI testing approach that generates exploration paths guided by bug reports from similar apps, utilizing a combination of Large Language Models (LLMs) and Retrieval-Augmented Generation (RAG). Instead of focusing solely on coverage, BugHunter dynamically adapts the testing process to target bug paths, thereby increasing bug detection efficiency. BugHunter first builds a high-quality bug knowledge base from historical bug reports. Then it retrieves relevant reports from this large bug knowledge base using a two-stage retrieval process, and generates test paths based on similar apps’ bug reports. BugHunter also introduces a local and global path-planning mechanism to handle differences in functionality and UI design across apps, and the ambiguous behavior or missing steps in the online bug reports. We evaluate BugHunter on 121 bugs across 71 apps and compare its performance against 16 state-of-the-art baselines. BugHunter achieves 60% improvement in bug detection over the best baseline, with comparable or higher coverage against the baselines. Furthermore, BugHunter successfully detects 49 new crash bugs in real-world apps from Google Play, with 33 bugs fixed, 9 confirmed, and 7 pending feedback.</t>
  </si>
  <si>
    <t>llm used for gui testing path generation; input includes bug reports from similar apps; unclear if bug reports contain source-code-related info or only natural language; no explicit mention of code snippets or code elements given to llm; retrieval-augmented generation used but context type ambiguous between natural language bug reports or code-related artifacts</t>
  </si>
  <si>
    <t>ICSE</t>
  </si>
  <si>
    <t>SpecGen: Automated Generation of Formal Program Specifications via Large Language Models | IEEE Conference Publication1029962/</t>
  </si>
  <si>
    <t>https://ieeexplore.ieee.org/document/11029962/</t>
  </si>
  <si>
    <t>In the software development process, formal program specifications play a crucial role in various stages, including requirement analysis, software testing, and verification. However, manually crafting formal program specifications is rather difficult, making the job time-consuming and labor-intensive. Moreover, it is even more challenging to write specifications that correctly and comprehensively describe the semantics of complex programs. To reduce the burden on software developers, automated specification generation methods have emerged. However, existing methods usually rely on predefined templates or grammar, making them struggle to accurately describe the behavior and functionality of complex real-world programs. To tackle this challenge, we introduce SpecGen, a novel technique for formal program specification generation based on Large Language Models (LLMs). Our key insight is to overcome the limitations of existing methods by leveraging the code comprehension capability of LLMs. The process of SpecGen consists of two phases. The first phase employs a conversational approach that guides the LLM in generating appropriate specifications for a given program, aiming to utilize the ability of LLM to generate high-quality specifications. The second phase, designed for where the LLM fails to generate correct specifications, applies four mutation operators to the model-generated specifications and selects verifiable specifications from the mutated ones through a novel heuristic selection strategy by assigning different weights of variants in an efficient manner. We evaluate SpecGen on two datasets, including the SV-COMP Java category benchmark and a manually constructed dataset containing 120 programs. Experimental results demonstrate that SpecGen succeeds in generating verifiable specifications for 279 out of 385 programs, outperforming the existing LLM-based approaches and conventional specification generation tools like Houdini and Daikon. Further investigations on...</t>
  </si>
  <si>
    <t>llm used for generating formal program specifications; input includes given program code; mentions guiding llm to generate specifications for given program; implies source-code-related input to llm</t>
  </si>
  <si>
    <t>https://ieeexplore.ieee.org/document/11029747/</t>
  </si>
  <si>
    <t>WebAssembly (Wasm) runtimes execute Wasm programs, a popular low-level language for efficiently executing high-level languages in browsers, with broad applications across diverse domains. The correctness of those runtimes is critical for both functionality and security of Wasm execution, motivating testing approaches that target Wasm runtimes specifically. However, existing Wasm testing frameworks fail to generate test cases that effectively test all three phases of runtime, i.e., decoding, validation, and execution. To address this research gap, we propose a new differential testing framework for Wasm runtimes, which leverages knowledge from the Wasm language specification that prior techniques overlooked, enhancing comprehensive testing of runtime functionality. Specifically, we first use a large language model to extract that knowledge from the specification. We use that knowledge in the context of multiple novel mutation operators that generate test cases with diverse features to test all three runtime phases. We evaluate LWDIFF by applying it to eight Wasm runtimes. Compared with the state-of-the-art Wasm testers, LWDIFF achieves the highest branch coverage and identifies the largest number of bugs. In total, LWDIFF discovers 31 bugs across eight runtimes, all of which are confirmed, with 25 of them previously undiscovered.</t>
  </si>
  <si>
    <t>llm used to extract knowledge from wasm language specification; specification is formal documentation tied to code; input to llm is source-code-related documentation/specifications; testing framework uses this knowledge to generate test cases</t>
  </si>
  <si>
    <t>Can an LLM Find Its Way Around a Spreadsheet? | IEEE Conference Publication1029781/</t>
  </si>
  <si>
    <t>https://ieeexplore.ieee.org/document/11029781/</t>
  </si>
  <si>
    <t>Spreadsheets are routinely used in business and scientific contexts, and one of the most vexing challenges is performing data cleaning prior to analysis and evaluation. The ad-hoc and arbitrary nature of data cleaning problems, such as typos, inconsistent formatting, missing values, and a lack of standardization, often creates the need for highly specialized pipelines. We ask whether an LLM can find its way around a spreadsheet and how to support end-users in taking their free-form data processing requests to fruition. Just like RAG retrieves context to answer users' queries, we demonstrate how we can retrieve elements from a code library to compose data preprocessing pipelines. Through comprehensive experiments, we demonstrate the quality of our system and how it is able to continuously augment its vocabulary by saving new codes and pipelines back to the code library for future retrieval.</t>
  </si>
  <si>
    <t>llm used for composing data preprocessing pipelines; retrieves elements from code library as context; code snippets used as input for pipeline composition; continuous augmentation of code library implies code context given to llm</t>
  </si>
  <si>
    <t>retrieval-based context</t>
  </si>
  <si>
    <t>ROCODE: Integrating Backtracking Mechanism and Program Analysis in Large Language Models for Code Generation</t>
  </si>
  <si>
    <t>https://ieeexplore.ieee.org/document/11029868/</t>
  </si>
  <si>
    <t>Large language models (LLMs) have achieved impressive performance in code generation recently, offering programmers revolutionary assistance in software development. However, due to the auto-regressive nature of LLMs, they are susceptible to error accumulation during code generation. Once an error is produced, LLMs can merely continue to generate the subsequent code conditioned on it, given their inability to adjust previous outputs. Existing LLM-based approaches typically consider post-revising after code generation, leading to the challenging resolution of accumulated errors and the significant wastage of resources. Ideally, LLMs should rollback and resolve the occurred error in time during code generation, rather than proceed on the basis of the error and wait for post-revising after generation. In this paper, we propose Rocode,which integrates the backtracking mechanism and program analysis into LLMs for code generation. Specifically, we employ program analysis to perform incremental error detection during the generation process. When an error is detected, the backtracking mechanism is triggered to priming rollback strategies and constraint regeneration, thereby eliminating the error early and ensuring continued generation on the correct basis. Experiments on multiple code generation benchmarks show that ROCODE can significantly reduce the errors generated by LLMs, with a compilation pass rate of 99.1 %. The test pass rate is relatively improved by up to 23.8% compared to the best baseline approach. Compared to the post-revising baseline, the token cost is reduced by 19.3%. Moreover, our approach is model-agnostic and achieves consistent improvements across nine representative LLMs.</t>
  </si>
  <si>
    <t>llm used for code generation; integrates program analysis for incremental error detection; backtracking triggered on error detection; implies static analysis outputs used as input context to llm; aims to correct errors during generation rather than post-revision</t>
  </si>
  <si>
    <t xml:space="preserve"> Rango: Adaptive Retrieval-Augmented Proving for Automated Software Verification</t>
  </si>
  <si>
    <t>https://ieeexplore.ieee.org/document/11029818/</t>
  </si>
  <si>
    <t>Formal verification using proof assistants, such as Coq, enables the creation of high-quality software. However, the verification process requires significant expertise and manual effort to write proofs. Recent work has explored automating proof synthesis using machine learning and large language models (LLMs). This work has shown that identifying relevant premises, such as lemmas and definitions, can aid synthesis. We present Rango, a fully automated proof synthesis tool for Coq that automatically identifies relevant premises and also similar proofs from the current project and uses them during synthesis. Rango uses retrieval augmentation at every step of the proof to automatically determine which proofs and premises to include in the context of its fine-tuned LLM. In this way, Rango adapts to the project and to the evolving state of the proof. We create a new dataset, CoqStoq, of 2,226 open-source Coq projects and 196,929 theorems from GitHub, which includes both training data and a curated evaluation benchmark of well-maintained projects. On this benchmark, Rango synthesizes proofs for 32.0% of the theorems, which is 29% more theorems than the prior state-of-the-art tool Tactician. Our evaluation also shows that Rango adding relevant proofs to its context leads to a 47% increase in the number of theorems proven.</t>
  </si>
  <si>
    <t>uses llm for proof synthesis; llm input includes relevant premises such as lemmas and definitions; retrieval augmentation includes similar proofs and premises from current project; premises and proofs are source-code-related context</t>
  </si>
  <si>
    <t>code,retrieval-based context</t>
  </si>
  <si>
    <t>LLM-Agents Driven Automated Simulation Testing and Analysis of small Uncrewed Aerial Systems | IEEE Conference Publication</t>
  </si>
  <si>
    <t>https://ieeexplore.ieee.org/document/11029890/</t>
  </si>
  <si>
    <t>Thorough simulation testing is crucial for validating the correct behavior of small Uncrewed Aerial Systems (sUAS) across multiple scenarios, including adverse weather conditions (such as wind, and fog), diverse settings (hilly terrain, or urban areas), and varying mission profiles (surveillance, tracking). While various sUAS simulation tools exist to support developers, the entire process of creating, executing, and analyzing simulation tests remains a largely manual and cumbersome task. Developers must identify test scenarios, set up the simulation environment, integrate the System under Test (SuT) with simulation tools, formulate mission plans, and collect and analyze results. These labor-intensive tasks limit the ability of developers to conduct exhaustive testing across a wide range of scenarios. To alleviate this problem, in this paper, we propose Autosimtest, a Large Language Model (LLM)-driven framework, where multiple LLM agents collaborate to support the sUAS simulation testing process. This includes: (1) creating test scenarios that subject the SuT to unique environmental contexts; (2) preparing the simulation environment as per the test scenario; (3) generating diverse sUAS missions for the SuT to execute; and (4) analyzing simulation results and providing an interactive analytics interface. Further, the design of the framework is flexible for creating and testing scenarios for a variety of sUAS use cases, simulation tools, and SuT input requirements. We evaluated our approach by (a) conducting simulation testing of PX4 and ArduPilot flight-controller-based SuTs, (b) analyzing the performance of each agent, and (c) gathering feedback from sUAS developers. Our findings indicate that Autosimtest significantly improves the efficiency and scope of the sUAS testing process, allowing for more comprehensive and varied scenario evaluations while reducing the manual effort.</t>
  </si>
  <si>
    <t>llm used to create test scenarios and analyze simulation results; unclear if llm input includes source-code-related context such as flight controller code or api; no explicit mention of code snippets or code-related inputs to llm; focus on simulation environment and mission plans rather than code</t>
  </si>
  <si>
    <t>Does GenAI Make Usability Testing Obsolete? | IEEE Conference Publication</t>
  </si>
  <si>
    <t>https://ieeexplore.ieee.org/document/11029918/</t>
  </si>
  <si>
    <t>Ensuring usability is crucial for the success of mobile apps. Usability issues can compromise user experience and negatively impact the perceived app quality. This paper presents UX-LLM, a novel tool powered by a Large Vision-Language Model that predicts usability issues in iOS apps. To evaluate the performance of UX-LLM, we predicted usability issues in two open-source apps of a medium complexity and asked two usability experts to assess the predictions. We also performed traditional usability testing and expert review for both apps and compared the results to those of UX-LLM. UX-LLM demonstrated precision ranging from 0.61 and 0.66 and recall between 0.35 and 0.38, indicating its ability to identify valid usability issues, yet failing to capture the majority of issues. Finally, we conducted a focus group with an app development team of a capstone project developing a transit app for visually impaired persons. The focus group expressed positive perceptions of UX-LLM as it identified unknown usability issues in their app. However, they also raised concerns about its integration into the development workflow, suggesting potential improvements. Our results show that UX-LLM cannot fully replace traditional usability evaluation methods but serves as a valuable supplement particularly for small teams with limited resources, to identify issues in less common user paths, due to its ability to inspect the source code.</t>
  </si>
  <si>
    <t>llm is a large vision-language model; predicts usability issues in ios apps; mentions ability to inspect source code but unclear if source code is input to llm or just inspected separately; no explicit mention of code snippets or code-related input given to llm</t>
  </si>
  <si>
    <t>Calibration and Correctness of Language Models for Code | IEEE Conference Publication</t>
  </si>
  <si>
    <t>https://ieeexplore.ieee.org/document/11029728/</t>
  </si>
  <si>
    <t>Machine learning models are widely used, but can also often be wrong. Users would benefit from a reliable indication of whether a given output from a given model should be trusted, so a rational decision can be made whether to use the output or not. For example, outputs can be associated with a confidence measure; if this confidence measure is strongly associated with likelihood of correctness, then the model is said to be well-calibrated. A well-calibrated confidence measure can serve as a basis for rational, graduated decision-making on how much review and care is needed when using generated code. Calibration has so far been studied in mostly non-generative (e.g., classification) settings, especially in software engineering. However, generated code can quite often be wrong: Given generated code, developers must decide whether to use directly, use after varying intensity of careful review, or discard model-generated code. Thus, calibration is vital in generative settings. We make several contributions. We develop a framework for evaluating the calibration of code-generating models. We consider several tasks, correctness criteria, datasets, and approaches, and find that, by and large, generative code models we test are not well-calibrated out of the box. We then show how calibration can be improved using standard methods, such as Platt scaling. Since Platt scaling relies on the prior availability of correctness data, we evaluate the applicability and generalizability of Platt scaling in software engineering, discuss settings where it has good potential for practical use, and settings where it does not. Our contributions will lead to better-calibrated decision-making in the current use of code generated by language models, and offers a framework for future research to further improve calibration methods for generative models in software engineering.</t>
  </si>
  <si>
    <t>discusses calibration of code-generating models; no explicit mention of input context type; unclear if models receive existing source code or generate from scratch; focus on confidence and correctness rather than input details</t>
  </si>
  <si>
    <t>An Empirical Study on Commit Message Generation Using LLMs via In-Context Learning | IEEE Conference Publication</t>
  </si>
  <si>
    <t>https://ieeexplore.ieee.org/document/11029897/</t>
  </si>
  <si>
    <t>Commit messages concisely describe code changes in natural language and are important for software maintenance. Several approaches have been proposed to automatically generate commit messages, but they still suffer from critical limitations, such as time-consuming training and poor generalization ability. To tackle these limitations, we propose to borrow the weapon of large language models (LLMs) and in-context learning (ICL). Our intuition is based on the fact that the training corpora of LLMs contain extensive code changes and their pairwise commit messages, which makes LLMs capture the knowledge about commits, while ICL can exploit the knowledge hidden in the LLMs and enable them to perform downstream tasks without model tuning. However, it remains unclear how well LLMs perform on commit message generation via ICL. In this paper, we conduct an empirical study to investigate the capability of LLMs to generate commit messages via ICL. Specifically, we first explore the impact of different settings on the performance of ICL-based commit message generation. We then compare ICL-based commit message generation with state-of-the-art approaches on a popular multilingual dataset and a new dataset we created to mitigate potential data leakage. The results show that ICL-based commit message generation significantly outperforms state-of-the-art approaches on subjective evaluation and achieves better generalization ability. We further analyze the root causes for LLM's underperformance and propose several implications, which shed light on future research directions for using LLMs to generate commit messages.</t>
  </si>
  <si>
    <t>uses llms; input includes code changes; commit messages describe code diffs; historical context from git commits; empirical study on commit message generation</t>
  </si>
  <si>
    <t>historical context</t>
  </si>
  <si>
    <t>Instruct or Interact? Exploring and Eliciting LLMs' Capability in Code Snippet Adaptation Through Prompt Engineering | IEEE Conference Publication</t>
  </si>
  <si>
    <t>https://ieeexplore.ieee.org/document/11029912/</t>
  </si>
  <si>
    <t>Code snippet adaptation is a fundamental activity in the software development process. Unlike code generation, code snippet adaptation is not a “free creation”, which requires developers to tailor a given code snippet in order to fit specific requirements and the code context. Recently, large language models (LLMs) have confirmed their effectiveness in the code generation task with promising results. However, their performance on code snippet adaptation, a reuse-oriented and context-dependent code change prediction task, is still unclear. To bridge this gap, we conduct an empirical study to investigate the performance and issues of LLMs on the adaptation task. We first evaluate the adaptation performances of three popular LLMs and compare them to the code generation task. Our result indicates that their adaptation ability is weaker than generation, with a nearly 15% decrease on pass@1 and more context-related errors. By manually inspecting 200 cases, we further investigate the causes of LLMs' sub-optimal performance, which can be classified into three categories, i.e., Unclear Requirement, Requirement Misalignment and Context Misapplication. Based on the above empirical research, we propose an interactive prompting approach to eliciting LLMs' ability on the adaptation task. Specifically, we enhance the prompt by enriching the context and decomposing the task, which alleviates context misapplication and improves requirement understanding. Besides, we enable LLMs' reflection by requiring them to interact with a human or a LLM counselor, compensating for unclear requirement. Our experimental result reveals that our approach greatly improve LLMs' adaptation performance. The best-performing Human-LLM interaction successfully solves 159 out of the 202 identified defects and improves the pass@1 and pass@5 by over 40% compared to the initial instruction-based prompt. Considering human efforts, we suggest multi-agent interaction as a trade-off, which can achieve comparable p...</t>
  </si>
  <si>
    <t>llm used for code snippet adaptation; input includes given code snippets to adapt; focus on context-dependent code change; prompt engineering enriches context; interactive prompting with human/llm interaction to improve adaptation</t>
  </si>
  <si>
    <t>Unseen Horizons: Unveiling the Real Capability of LLM Code Generation Beyond the Familiar</t>
  </si>
  <si>
    <t>https://ieeexplore.ieee.org/document/11029836/</t>
  </si>
  <si>
    <t>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t>
  </si>
  <si>
    <t>llms evaluated on obfuscated code and descriptions; input includes function descriptions and code; uses real-world project code as input; evaluates code generation with source code context</t>
  </si>
  <si>
    <t>LLM-Aided Automatic Modeling for Security Protocol Verification</t>
  </si>
  <si>
    <t>https://ieeexplore.ieee.org/document/11029741/</t>
  </si>
  <si>
    <t>Symbolic protocol analysis serves as a pivotal technique for protocol design, security analysis, and the safeguarding of information assets. Several modern tools such as Tamarin and ProVerif have been proven successful in modeling and verifying real-world protocols, including complex protocols like TLS 1.3 and 5G AKA. However, developing formal models for protocol verification is a non-trivial task, which hinders the wide adoption of these powerful tools in practical protocol analysis. In this work, we aim to bridge the gap by developing an automatic method for generating symbolic protocol models using Large Language Models (LLMs) from protocol descriptions in natural language document. Although LLMs are powerful in various code generation tasks, it is shown to be ineffective in generating symbolic models (according to our empirical study). Therefore, rather than applying LLMs naively, we carefully decompose the symbolic protocol modeling task into several stages so that a series of formal models are incrementally developed towards generating the final correct symbolic model. Specifically, we apply LLMs for semantic parsing, enable lightweight manual interaction for disambiguation, and develop algorithms to transform the intermediate models for final symbolic model generation. To ensure the correctness of the generated symbolic model, each stage is designed based on a formal execution model and the model transformations are proven sound. To the best of our knowledge, this is the first work aiming to generate symbolic models for protocol verification from natural language documents. We also introduce a benchmark for symbolic protocol model generation, with 18 real-world security protocol's text description and their corresponding symbolic models. We then demonstrate the potential of our tool, which successfully generated correct models of moderate scale in 10 out of 18 cases. Our tool is released at [1].</t>
  </si>
  <si>
    <t>llm used for symbolic protocol model generation from natural language protocol descriptions; no indication llm input includes source-code-related context; input is natural language documents describing protocols, not code or code-related artifacts</t>
  </si>
  <si>
    <t>Understanding the Effectiveness of Coverage Criteria for Large Language Models: A Special Angle from Jailbreak Attacks | IEEE Conference Publication</t>
  </si>
  <si>
    <t>https://ieeexplore.ieee.org/document/11029795/</t>
  </si>
  <si>
    <t>Large language models (LLMs) have revolutionized artificial intelligence, but their increasing deployment across critical domains has raised concerns about their abnormal behaviors when faced with malicious attacks. Such vulnerability alerts the widespread inadequacy of pre-release testing. In this paper, we conduct a comprehensive empirical study to evaluate the effectiveness of traditional coverage criteria in identifying such inadequacies, exemplified by the significant security concern of jailbreak attacks. Our study begins with a clustering analysis of the hidden states of LLMs, revealing that the embedded characteristics effectively distinguish between different query types. We then systematically evaluate the performance of these criteria across three key dimensions: criterion level, layer level, and token level. Our research uncovers significant differences in neuron coverage when LLMs process normal versus jailbreak queries, aligning with our clustering experiments. Leveraging these findings, we propose three practical applications of coverage criteria in the context of LLM security testing. Specifically, we develop a realtime jailbreak detection mechanism that achieves high accuracy (93.61 % on average) in classifying queries as normal or jailbreak. Furthermore, we explore the use of coverage levels to prioritize test cases, improving testing efficiency by focusing on high-risk interactions and removing redundant tests. Lastly, we introduce a coverage-guided approach for generating jailbreak attack examples, enabling systematic refinement of prompts to uncover vulnerabilities. This study improves our understanding of LLM security testing, enhances their safety, and provides a foundation for developing more robust AI applications.</t>
  </si>
  <si>
    <t>llm used for security testing and jailbreak detection; input appears to be natural language queries; no mention of source-code-related input or code context; focus on coverage criteria and hidden states of llms; no evidence of code or code-related artifacts given to llm</t>
  </si>
  <si>
    <t>Neurosymbolic Modular Refinement Type Inference | IEEE Conference Publication</t>
  </si>
  <si>
    <t>https://ieeexplore.ieee.org/document/11029908/</t>
  </si>
  <si>
    <t>Refinement types, a type-based generalization of Floyd-Hoare logics, are an expressive and modular means of statically ensuring a wide variety of correctness, safety, and security properties of software. However, their expressiveness and modularity means that to use them, a developer must laboriously annotate all the functions in their code with potentially complex type specifications that specify the contract for that function. We present LHC, a neurosymbolic agent that uses LLMs to automatically generate refinement type annotations for all the functions in an entire package or module, using the refinement type checker LiquidHaskell as an oracle to verify the correctness of the generated specifications. We curate a dataset of three Haskell packages where refinement types are used to enforce a variety of correctness properties from data structure invariants to low-level memory safety and use this dataset to evaluate LHC. Previously these packages required expert users several days to weeks to annotate with refinement types. Our evaluation shows that even when using relatively smaller models like the 3 billion parameter StarCoder LLM, by using fine-tuning and carefully chosen contexts, our neurosymbolic agent generates refinement types for up to 94% of the functions across entire libraries automatically in just a few hours, thereby showing that LLMs can drastically shrink the human effort needed to use formal verification.</t>
  </si>
  <si>
    <t>llm used to generate refinement type annotations; input includes entire package or module functions; uses liquid haskell type checker as oracle; source-code-related input includes function code and type info; neurosymbolic agent uses code context</t>
  </si>
  <si>
    <t>code, static analysis output, documentation/specifications</t>
  </si>
  <si>
    <t>Planning a Large Language Model for Static Detection of Runtime Errors in Code Snippets</t>
  </si>
  <si>
    <t>https://ieeexplore.ieee.org/document/11029953/</t>
  </si>
  <si>
    <t>Large Language Models (LLMs) have been excellent in generating and reasoning about source code and natural-language texts. They can recognize patterns, syntax, and semantics in code, making them effective in several software engineering tasks. However, they exhibit weaknesses in reasoning about the program execution. They primarily operate on static code representations, failing to capture the dynamic behavior and state changes that occur during program execution. In this paper, we advance the capabilities of LLMs in reasoning about dynamic program behaviors. We propose Orca, a novel approach that instructs an LLM to autonomously formulate a plan to navigate through a control flow graph (CFG) for predictive execution of (in)complete code snippets. It acts as a predictive interpreter to “execute” the code. In Orca, we guide the LLM to pause at the branching point, focusing on the state of the symbol tables for variables' values, thus minimizing error propagation in the LLM's computation. We instruct the LLM not to stop at each step in its execution plan, resulting the use of only one prompt for the entire predictive interpreter, thus much cost-saving. As a downstream task, we use Orca to statically identify any runtime errors for online code snippets. Early detection of runtime errors and defects in these snippets is crucial to prevent costly fixes later in the development cycle after they were adapted into a codebase. Our empirical evaluation showed that Orca is effective and improves over the state-of-the-art approaches in predicting the execution traces and in static detection of runtime errors.</t>
  </si>
  <si>
    <t>uses llm; llm receives control flow graph; uses symbol tables as input; static detection of runtime errors; source-code-related static analysis context</t>
  </si>
  <si>
    <t>LLMs Meet Library Evolution: Evaluating Deprecated API Usage in LLM-Based Code Completion | IEEE Conference Publication</t>
  </si>
  <si>
    <t>https://ieeexplore.ieee.org/document/11029774/</t>
  </si>
  <si>
    <t>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28,125 completion prompts. The study results reveal the status quo (i.e., API usage plausibility and deprecated usage rate) of deprecated API and replacing API usage in LLM-based code completion from the perspectives of model, prompt, and library, and indicate the root causes behind. Based on these findings, we propose two lightweight fixing approaches, REPLACEAPI and INSERTPROMPT, which can serve as baseline approaches for future research on mitigating deprecated API usage in LLM-based completion. Additionally, we provide implications for future research on integrating library evolution with LLM-driven software development.</t>
  </si>
  <si>
    <t>llms used for code completion; evaluation on deprecated api usage implies input includes api usage context; likely source-code-related prompts given to llms; study involves api mappings and completion prompts indicating code context</t>
  </si>
  <si>
    <t>LibreLog: Accurate and Efficient Unsupervised Log Parsing Using Open-Source Large Language Models</t>
  </si>
  <si>
    <t>https://ieeexplore.ieee.org/document/11029927/</t>
  </si>
  <si>
    <t>Log parsing is a critical step that transforms unstructured log data into structured formats, facilitating subsequent log-based analysis. Traditional syntax-based log parsers are efficient and effective, but they often experience decreased accuracy when processing logs that deviate from the predefined rules. Recently, large language models (LLM) based log parsers have shown superior parsing accuracy. However, existing LLM-based parsers face three main challenges: 1) time-consuming and labor-intensive manual labeling for fine-tuning or in-context learning, 2) increased parsing costs due to the vast volume of log data and limited context size of LLMs, and 3) privacy risks from using commercial models like ChatGPT with sensitive log information. To overcome these limitations, this paper introduces LibreLog, an unsupervised log parsing approach that leverages open-source LLMs (i.e., Llama3-8B) to enhance privacy and reduce operational costs while achieving state-of-the-art parsing accuracy. LibreLog first groups logs with similar static text but varying dynamic variables using a fixed-depth grouping tree. It then parses logs within these groups using three components: i) similarity scoring-based retrieval augmented generation: selects diverse logs within each group based on Jaccard similarity, helping the LLM distinguish between static text and dynamic variables; ii) self-reflection: iteratively query LLMs to refine log templates to improve parsing accuracy; and iii) log template memory: stores parsed templates to reduce LLM queries for improved parsing efficiency. Our evaluation on LogHub-2.0 shows that LibreLog achieves 25% higher parsing accuracy and processes logs 2.7 times faster compared to state-of-the-art LLM-based parsers. In short, LibreLog addresses privacy and cost concerns of using commercial LLMs while achieving state-of-the-arts parsing efficiency and accuracy.</t>
  </si>
  <si>
    <t>llm used for log parsing; input is unstructured log data not source code; no indication of source-code-related input; focus on logs not code</t>
  </si>
  <si>
    <t>SpecRover: Code Intent Extraction via LLMs | IEEE Conference Publication</t>
  </si>
  <si>
    <t>https://ieeexplore.ieee.org/document/11029735/</t>
  </si>
  <si>
    <t>Autonomous program improvement typically involves 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“signal” to be given to the developer, on when the suggested patches can be accepted with confidence. SpecRover also seeks to demonstrate the continued importance of specification inference in automated program repair, even as program repair technologies enter the LLM era.</t>
  </si>
  <si>
    <t>uses llm agent for program improvement; infers specification from project structure and behavior; input includes github issues linked to code; iterative code search implies code context given to llm; specification inference relates to code intent extraction</t>
  </si>
  <si>
    <t>historical context, retrieval-based context, documentation/specifications</t>
  </si>
  <si>
    <t>Unleashing the True Potential of Semantic-Based Log Parsing with Pre-Trained Language Models | IEEE Conference Publication</t>
  </si>
  <si>
    <t>https://ieeexplore.ieee.org/document/11029829/</t>
  </si>
  <si>
    <t>peer reviewedSoftware-intensive systems often produce console logs for troubleshooting purposes. Log parsing, which aims at parsing a log message into a specific log template, typically serves as the first step toward automated log analytics. To better comprehend the semantic information of log messages, many semantic-based log parsers have been proposed. These log parsers fine-tune a small pre-trained language model (PLM) such as RoBERTa on a few labelled log samples. With the increasing popularity of large language models (LLMs), some recent studies also propose to leverage LLMs such as ChatGPT through in-context learning for automated log parsing and obtain better results than previous semantic-based log parsers with small PLMs. In this paper, we show that semantic-based log parsers with small PLMs can actually achieve better or comparable performance to state-of-the-art LLM-based log parsing models while being more efficient and cost-effective. We propose Unleash, a novel semantic-based log parsing approach, which incorporates three enhancement methods to boost the performance of PLMs for log parsing, including (1) an entropy-based ranking method to select the most informative log samples; (2) a contrastive learning method to enhance the fine-tuning process; and (3) an inference optimization method to improve the log parsing performance. We evaluate Unleash on a set of large-scale, public log datasets and the experimental results show that Unleash is effective and efficient compared to state-of-the-art log parsers.</t>
  </si>
  <si>
    <t>llm used for log parsing; input is log messages not source code; no indication of source-code-related input; focus on logs as troubleshooting data; no code elements or code-related context mentioned</t>
  </si>
  <si>
    <t>NIODebugger: A Novel Approach to Repair Non-Idempotent-Outcome Tests with LLM-Based Agent | IEEE Conference Publication</t>
  </si>
  <si>
    <t>https://ieeexplore.ieee.org/document/11029812/</t>
  </si>
  <si>
    <t>Flaky tests, characterized by inconsistent results across repeated executions, present significant challenges in software testing, especially during regression testing. Recently, there has been emerging research interest in non-idempotentoutcome (NIO) flaky tests-tests that pass on the initial run but fail on subsequent executions within the same environment. Despite progress in utilizing Large Language Models (LLMs) to address flaky tests, existing methods have not tackled NIO flaky tests. The limited context window of LLMs restricts their ability to incorporate relevant source code beyond the test method itself, often overlooking crucial information needed to address state pollution, which is the root cause of NIO flakiness. This paper introduces NIODebugger, the first framework to utilize an LLM-based agent to repair flaky tests. NIODebugger features a three-phase design: detection, exploration, and fixing. In the detection phase, dynamic analysis collects stack traces and custom test execution logs from multiple test runs, which helps in understanding accumulative state pollution. During the exploration phase, the LLM-based agent provides instructions for extracting relevant source code associated with test flakiness. In the fixing phase, NIODebugger repairs the tests using the information gathered from the previous phases. NIODebugger can be integrated with multiple LLMs, achieving patching success rates ranging from 11.63% to 58.72%. Its best-performing variant, NIODebugger-GPT-4, successfully generated correct patches for 101 out of 172 previously unknown NIO tests across 20 largescale open-source projects. We submitted pull requests for all generated patches; 58 have been merged, only 1 was rejected, and the remaining 42 are pending. The Java implementation of NIODebugger is provided as a Maven plugin accessible at https://github.com/kaiyaok2/NIOInspector.</t>
  </si>
  <si>
    <t>uses llm-based agent; llm receives instructions to extract relevant source code; dynamic analysis collects stack traces and logs as input; repairs flaky tests using gathered code-related info; integration with multiple llms; source code context explicitly mentioned</t>
  </si>
  <si>
    <t>dynamic/runtime context, code</t>
  </si>
  <si>
    <t>Test Intention Guided LLM-Based Unit Test Generation | IEEE Conference Publication | IEEE Xplore</t>
  </si>
  <si>
    <t>https://ieeexplore.ieee.org/document/11029762/</t>
  </si>
  <si>
    <t>The emergence of Large Language Models (LLMs) has accelerated the progress of intelligent software engineering technologies, which brings promising possibilities for unit test generation. However, existing approaches for unit tests directly generated from Large Language Models (LLMs) often prove impractical due to their low coverage and insufficient mocking capabilities. This paper proposes IntUT, a novel approach that utilizes explicit test intentions (e.g., test inputs, mock behaviors, and expected results) to effectively guide the LLM to generate high-quality test cases. Our experimental results on three industry Java projects and live study demonstrate that prompting LLM with test intention can generate high-quality test cases for developers. Specifically, it achieves the improvements on branch coverage by 94 % and line coverage by 49 %. Finally, we obtain developers' feedback on using IntUT to generate cases for three new Java projects, achieving over 80 % line coverage and 30 % efficiency improvement on writing unit test cases.</t>
  </si>
  <si>
    <t>llm used for unit test generation; guided by explicit test intentions including test inputs and mock behaviors; test inputs count as source-code-related context; improves coverage indicating code-aware input</t>
  </si>
  <si>
    <t>Large Language Models for Safe Minimization</t>
  </si>
  <si>
    <t>https://ieeexplore.ieee.org/document/11029830/</t>
  </si>
  <si>
    <t>Several tasks in program analysis, verification, and testing are modeled as constraint solving problems, utilizing SMT solvers as the reasoning engine. In this work, we aim to investigate the reasoning capabilities of large language models (LLMs) toward reducing the size of an infeasible string constraint system by exploiting inter-constraint interactions such that the remaining ones are still unsatisfiable. We term this safe minimization. Motivated by preliminary observations of hallucination and error propagation in LLMs, we design SafeMin, a framework leveraging an LLM and SMT solver in tandem to ensure a safe and correct minimization. We test the applicability of our approach on string benchmarks from LeetCode in the computation of minimal unsatisfiable subsets (MUSes). We observed that SafeMin helps safely minimize 94.3% of these constraints, with an average minimization ratio of 98% relative to the MUSes. In addition, we assess SafeMin's capabilities in partially enumerating non-unique MUSes, which is baked into our approach via a “sample-and-enumerate” decoding strategy. Overall, we captured 42.1% more non-unique MUSes than without such LLM-based macro-reasoning. Finally, we demonstrate SafeMin's usefulness in detecting infeasible paths in programs.</t>
  </si>
  <si>
    <t>llm used for reasoning on string constraints; constraints derived from program analysis/testing; unclear if constraints include source-code-related input or only symbolic constraints; no explicit mention of code snippets or program elements given to llm; focus on constraint solving rather than direct code input</t>
  </si>
  <si>
    <t>Intention is All you Need: Refining your Code from your Intention | IEEE Conference Publication</t>
  </si>
  <si>
    <t>https://ieeexplore.ieee.org/document/11029878/</t>
  </si>
  <si>
    <t>Code refinement aims to enhance existing code by addressing issues, refactoring, and optimizing to improve quality and meet specific requirements. As software projects scale in size and complexity, the traditional iterative exchange between re-viewers and developers becomes increasingly burdensome. While recent deep learning techniques have been explored to accelerate this process, their performance remains limited, primarily due to challenges in accurately understanding reviewers' intents. This paper proposes an intention-based code refinement technique that enhances the conventional comment-to-code process by explicitly extracting reviewer intentions from the comments. Our approach consists of two key phases: Intention Extraction and Intention Guided Revision Generation. Intention Extraction categorizes comments using predefined templates, while Intention Guided Revision Generation employs large language models (LLMs) to generate revised code based on these defined intentions. Three categories with eight subcategories are designed for comment transformation, which is followed by a hybrid approach that combines rule-based and LLM-based classifiers for accurate classification. Extensive experiments with five LLMs (G PT 40, GPT3.5, DeepSeekV2, DeepSeek7B, CodeQwen7B) under different prompting settings demonstrate that our approach achieves 79 % accuracy in intention extraction and up to 66 % in code refinement generation. Our results highlight the potential of our approach in enhancing data quality and improving the efficiency of code refinement.</t>
  </si>
  <si>
    <t>uses llms for code refinement generation; input includes reviewer comments with extracted intentions guiding code revision; comments are source-code-related context as inline comments/documentation; llms generate revised code based on intentions extracted from comments</t>
  </si>
  <si>
    <t>documentation/specifications, natural language, code</t>
  </si>
  <si>
    <t>INTERTRANS: Leveraging Transitive Intermediate Translations to Enhance LLM-Based Code Translation | IEEE Conference Publication | IEEE Xplore</t>
  </si>
  <si>
    <t>https://ieeexplore.ieee.org/document/11029964/</t>
  </si>
  <si>
    <t>Code translation aims to convert a program from one programming language (PL) to another. This long-standing software engineering task is crucial for modernizing legacy systems, ensuring cross-platform compatibility, enhancing performance, and more. However, automating this process remains challenging due to many syntactic and semantic differences between PLs. Recent studies show that even advanced techniques such as large language models (LLMs), especially open-source LLMs, still struggle with the task. Currently, code LLMs are trained with source code from multiple programming languages, thus presenting multilingual capabilities. In this paper, we investigate whether such capabilities can be harnessed to enhance code translation. To achieve this goal, we introduce INTERTRANS, an LLM-based automated code translation approach that, in contrast to existing approaches, leverages intermediate translations to bridge the syntactic and semantic gaps between source and target PLs. INTERTRANS contains two stages. It first utilizes a novel Tree of Code Translation (ToCT) algorithm to plan transitive intermediate translation sequences between a given source and target PL, then validates them in a specific order. We evaluate INTERTRANS with three open LLMs on three benchmarks (i.e., CodeNet, HumanEval-X, and TransCoder) involving six PLs. Results show an absolute improvement of 18.3% to 43.3% in Computation Accuracy (CA) for INTERTRANS over Direct Translation with 10 attempts. The best-performing variant of INTERTRANS (with the Magicoder LLM) achieved an average CA of 87.3%-95.4% on three benchmarks.</t>
  </si>
  <si>
    <t>uses llm for code translation; input is source code in multiple programming languages; leverages intermediate translations of code; evaluates on code benchmarks; llm input includes code snippets or files for translation</t>
  </si>
  <si>
    <t>Are LLMs Correctly Integrated into Software Systems?</t>
  </si>
  <si>
    <t>https://ieeexplore.ieee.org/document/11029854/</t>
  </si>
  <si>
    <t>Large language models (LLMs) provide effective solutions in various application scenarios, with the support of retrieval-augmented generation (RAG). However, developers face challenges in integrating LLM and RAG into software systems, due to lacking interface specifications, various requirements from software context, and complicated system management. In this paper, we have conducted a comprehensive study of 100 open-source applications that incorporate LLMs with RAG support, and identified 18 defect patterns. Our study reveals that 77 % of these applications contain more than three types of integration defects that degrade software functionality, efficiency, and security. Guided by our study, we propose systematic guidelines for resolving these defects in software life cycle. We also construct an open-source defect library HYDRANGEA [1].</t>
  </si>
  <si>
    <t>llm mentioned with rag support; focus on integration defects in software systems; no explicit mention of llm receiving source-code-related input; study based on open-source applications but unclear if code given as input to llm</t>
  </si>
  <si>
    <t>An LLM-Based Agent-Oriented Approach for Automated Code Design Issue Localization</t>
  </si>
  <si>
    <t>https://ieeexplore.ieee.org/document/11029742/</t>
  </si>
  <si>
    <t xml:space="preserve">Maintaining software design quality is crucial for the long-term maintainability and evolution of systems. However, design issues such as poor modularity and excessive complexity often emerge as codebases grow. Developers rely on external tools, such as program analysis techniques, to identify such issues. This work leverages Large Language Models (LLMs) to develop an automated approach for analyzing and localizing design issues. Large language models have demonstrated significant performance on coding tasks, but directly leveraging them for design issue localization is challenging. Large codebases exceed typical LLM context windows, and program analysis tool outputs in non-textual modalities (e.g., graphs or interactive visualizations) are incompatible with LLMs' natural language inputs. To address these challenges, we propose LOCALIZEAGENT, a novel multi-agent framework for effective design issue localization. LOCALIZEAGENT integrates the specialized agents that (1) analyze code to identify potential code design issues, (2) transform program analysis outputs into abstraction-aware LLM-friendly natural language summaries, (3) generate context-aware prompts tailored to specific refactoring types, and (4) leverage LLMs to locate and rank the localized issues based on their relevance. Our evaluation using diverse real-world codebases demonstrates significant improvements over the baseline approaches, with LOCALIZEAGENT achieving </t>
  </si>
  <si>
    <t>uses llm for design issue localization; input includes program analysis outputs transformed into natural language summaries; analyzes code to identify design issues; llm input is context-aware prompts tailored to refactoring types based on code analysis; source-code-related context present via static analysis outputs and code analysis</t>
  </si>
  <si>
    <t>static analysis output, code, natural language</t>
  </si>
  <si>
    <t>Enhancing Code Generation via Bidirectional Comment-Level Mutual Grounding</t>
  </si>
  <si>
    <t>https://ieeexplore.ieee.org/document/11029958/</t>
  </si>
  <si>
    <t>Large Language Models (LLMs) have demonstrated unprecedented capability in code generation. However, LLM-generated code is still plagued with a wide range of functional errors, especially for complex programming tasks that LLMs have not seen before. Recent studies have shown that developers often struggle with inspecting and fixing incorrect code generated by LLMs, diminishing their productivity and trust in LLM-based code generation. Inspired by the mutual grounding theory in communication, we propose an interactive approach that leverages code comments as a medium for developers and LLMs to establish a shared understanding. Our approach facilitates iterative grounding by interleaving code generation, inline comment generation, and contextualized user feedback through editable comments to align generated code with developer intent. We evaluated our approach on two popular benchmarks and demonstrated that our approach significantly improved multiple state-of-the-art LLMs, e.g., 17.1% pass@1 improvement for code-davinci-002 on HumanEval. Furthermore, we conducted a user study with 12 participants in comparison to two baselines: (1) interacting with GitHub Copilot, and (2) interacting with a multi-step code generation paradigm called Multi-Turn Program Synthesis. Participants completed the given programming tasks 16.7% faster and with 10.5% improvement in task success rate when using our approach. Both results show that interactively refining code comments enables the collaborative establishment of mutual grounding, leading to more accurate code generation and higher developer confidence.</t>
  </si>
  <si>
    <t>llm used for code generation; input includes code comments as context; interactive refinement with inline comments; comments are source-code-related documentation; improves code generation with code-comment grounding</t>
  </si>
  <si>
    <t>From Bugs to Benefits: Improving User Stories by Leveraging Crowd Knowledge with CrUISE-AC | IEEE Conference Publication</t>
  </si>
  <si>
    <t>https://ieeexplore.ieee.org/document/11029950/</t>
  </si>
  <si>
    <t>Costs for resolving software defects increase exponentially in late stages. Incomplete or ambiguous requirements are one of the biggest sources for defects, since stakeholders might not be able to communicate their needs or fail to share their domain specific knowledge. Combined with insufficient developer experience, teams are prone to constructing incorrect or incomplete features. To prevent this, requirements engineering has to explore knowledge sources beyond stakeholder interviews. Publicly accessible issue trackers for systems within the same application domain hold essential information on identified weaknesses, edge cases, and potential error sources, all documented by actual users. Our research aims at (1) identifying, and (2) leveraging such issues to improve an agile requirements artifact known as a “user story”. We present CrUISE-AC (Crowd and User Informed Suggestion Engine for Acceptance Criteria) as a fully automated method that investigates issues and generates non-trivial additional acceptance criteria for a given user story by employing NLP techniques and an ensemble of LLMs. CrUISE-AC was evaluated by five independent experts in two distinct business domains. Our findings suggest that issue trackers hold valuable information pertinent to requirements engineering. Our evaluation shows that 80–82 % of the generated acceptance criteria add relevant requirements to the user stories. Limitations are the dependence on accessible input issues and the fact that we do not check generated criteria for being conflict-free or non-overlapping with criteria from other user stories.</t>
  </si>
  <si>
    <t>llm used for nlp on issue tracker data; input is natural language user stories and issue descriptions; no mention of source-code-related input to llm; focus on requirements engineering not code analysis or generation</t>
  </si>
  <si>
    <t>LiSSA: Toward Generic Traceability Link Recovery Through Retrieval-Augmented Generation | IEEE Conference Publication</t>
  </si>
  <si>
    <t>https://ieeexplore.ieee.org/document/11029919/</t>
  </si>
  <si>
    <t>There are a multitude of software artifacts which need to be handled during the development and maintenance of a software system. These artifacts interrelate in multiple, complex ways. Therefore, many software engineering tasks are enabled - and even empowered - by a clear understanding of artifact interrelationships and also by the continued advancement of techniques for automated artifact linking. However, current approaches in automatic Traceability Link Recovery (TLR) target mostly the links between specific sets of artifacts, such as those between requirements and code. Fortu-nately, recent advancements in Large Language Models (LLMs) can enable TLR approaches to achieve broad applicability. Still, it is a nontrivial problem how to provide the LLMs with the specific information needed to perform TLR. In this paper, we present LiSSA, a framework that har-nesses LLM performance and enhances them through Retrieval-Augmented Generation (RAG). We empirically evaluate LiSSA on three different TLR tasks, requirements to code, documentation to code, and architecture documentation to architecture models, and we compare our approach to state-of-the-art approaches. Our results show that the RAG-based approach can signifi-cantly outperform the state-of-the-art on the code-related tasks. However, further research is required to improve the performance of RAG-based approaches to be applicable in practice.</t>
  </si>
  <si>
    <t>llm used for traceability link recovery; input includes code-related artifacts (requirements to code, documentation to code, architecture models); retrieval-augmented generation implies retrieved code or documentation context; empirical evaluation on code-related tasks</t>
  </si>
  <si>
    <t>A Multi-Agent Approach for REST API Testing with Semantic Graphs and LLM-Driven Inputs</t>
  </si>
  <si>
    <t>https://ieeexplore.ieee.org/document/11029879/</t>
  </si>
  <si>
    <t>As modern web services increasingly rely on REST APIs, their thorough testing has become crucial. Furthermore, the advent of REST API documentation languages, such as the OpenAPI Specification, has led to the emergence of many black-box REST API testing tools. However, these tools often focus on individual test elements in isolation (e.g., APIs, parameters, values), resulting in lower coverage and less effectiveness in fault detection. To address these limitations, we present AutoRestTest, the first black-box tool to adopt a dependency-embedded multi-agent approach for REST API testing that integrates multi-agent reinforcement learning (MARL) with a semantic property dependency graph (SPDG) and Large Language Models (LLMs). Our approach treats REST API testing as a separable problem, where four agents-API, dependency, parameter, and value agents-collaborate to optimize API exploration. LLMs handle domain-specific value generation, the SPDG model simplifies the search space for dependencies using a similarity score between API operations, and MARL dynamically optimizes the agents' behavior. Our evaluation of AutoRestTest on 12 real-world REST services shows that it outperforms the four leading black-box REST API testing tools, including those assisted by RESTGPT (which generates realistic test inputs using LLMs), in terms of code coverage, operation coverage, and fault detection. Notably, AutoRestTest is the only tool able to trigger an internal server error in the Spotify service. Our ablation study illustrates that each component of AutoRestTest-the SPDG, the LLM, and the agent-learning mechanism-contributes to its overall effectiveness.</t>
  </si>
  <si>
    <t>llm used for domain-specific value generation in api testing; input includes openapi specification (api documentation language); api documentation counts as source-code-related input; semantic property dependency graph used to model dependencies; llm input tied to api documentation/specifications</t>
  </si>
  <si>
    <t>documentation/specifications, graph-based expansion</t>
  </si>
  <si>
    <t>Clozemaster: Fuzzing Rust Compiler by Harnessing Llms for Infilling Masked Real Programs | IEEE Conference Publication</t>
  </si>
  <si>
    <t>https://ieeexplore.ieee.org/document/11029729/</t>
  </si>
  <si>
    <t>Ensuring the reliability of the Rust compiler is of paramount importance, given increasing adoption of Rust for critical systems development, due to its emphasis on memory and thread safety. However, generating valid test programs for the Rust compiler poses significant challenges, given Rust's complex syntax and strict requirements. With the growing popularity of large language models (LLMs), much research in software testing has explored using LLMs to generate test cases. Still, directly using LLMs to generate Rust programs often results in a large number of invalid test cases. Existing studies have indicated that test cases triggering historical compiler bugs can assist in software testing. Our investigation into Rust compiler bug issues supports this observation. Inspired by existing work and our empirical research, we introduce a bracket-based masking and filling strategy called clozeMask. The clozeMask strategy involves extracting test code from historical issue reports, identifying and masking code snippets with specific structures, and using an LLM to fill in the masked portions for synthesizing new test programs. This approach harnesses the generative capabilities of LLMs while retaining the ability to trigger Rust compiler bugs. It enables comprehensive testing of the compiler's behavior, particularly exploring edge cases. We implemented our approach as a prototype ClozeMaster. ClozeMaster has identified 27 confirmed bugs for rustc and mrustc, of which 10 have been fixed by developers. Furthermore, our experimental results indicate that ClozeMaster outperforms existing fuzzers in terms of code coverage and effectiveness.</t>
  </si>
  <si>
    <t>uses llm for infilling masked code snippets; input includes masked code snippets extracted from historical issue reports; source-code-related input given to llm; focus on rust compiler test programs</t>
  </si>
  <si>
    <t>LLM Based Input Space Partitioning Testing for Library APIs | IEEE Conference Publication</t>
  </si>
  <si>
    <t>https://ieeexplore.ieee.org/document/11029822/</t>
  </si>
  <si>
    <t>Automated library APIs testing is difficult as it requires exploring a vast space of parameter inputs that may involve objects with complex data types. Existing search based approaches, with limited knowledge of relations between object states and program branches, often suffer from the low efficiency issue, i.e., tending to generate invalid inputs. Symbolic execution based approaches can effectively identify such relations, but fail to scale to large programs. In this work, we present an LLM-based input space partitioning testing approach, LISP, for library APIs. The approach lever-ages LLMs to understand the code of a library API under test and perform input space partitioning based on its understanding and rich common knowledge. Specifically, we provide the signature and code of the API under test to LLMs, with the expectation of obtaining a text description of each input space partition of the API under test. Then, we generate inputs through employing the generated text description to sample inputs from each partition, ultimately resulting in test suites that systematically explore the program behavior of the API. We evaluate LISP on more than 2,205 library API meth-ods taken from 10 popular open-source Java libraries (e.g., apache/commons-lang with 2.6k stars, guava with 48.8k stars on GitHub). Our experiment results show that LISP is effective in library API testing. It significantly outperforms state-of-the-art tool EvoSuite in terms of edge coverage. On average, LISP achieves 67.82 % branch coverage, surpassing EvoSuite by 1.21 times. In total, LISP triggers 404 exceptions or errors in the experiments, and discovers 13 previously unknown vulnerabilities during evaluation, which have been assigned CVE IDs.</t>
  </si>
  <si>
    <t>llm used for input space partitioning testing; llm given api signature and code as input; source-code-related input clearly provided; evaluation on java library apis</t>
  </si>
  <si>
    <t>TOGLL: Correct and Strong Test Oracle Generation with LLMS | IEEE Conference Publication</t>
  </si>
  <si>
    <t>https://ieeexplore.ieee.org/document/11029748/</t>
  </si>
  <si>
    <t>Test oracles play a crucial role in software testing, enabling effective bug detection. Despite initial promise, neural methods for automated test oracle generation often result in a large number of false positives and weaker test oracles. While LLMs have shown impressive effectiveness in various software engineering tasks, including code generation, test case creation, and bug fixing, there remains a notable absence of large-scale studies exploring their effectiveness in test oracle generation. The question of whether LLMs can address the challenges in effective oracle generation is both compelling and requires thorough investigation. In this research, we present the first comprehensive study to investigate the capabilities of LLMs in generating correct, diverse, and strong test oracles capable of effectively identifying a large number of unique bugs. To this end, we fine-tuned seven code LLMs using six distinct prompts on a large dataset consisting of 110 Java projects. Utilizing the most effective finetuned LLM and prompt pair, we introduce TOGLL, a novel LLM-based method for test oracle generation. To investigate the generalizability of TOGLL, we conduct studies on 25 unseen large-scale Java projects. Besides assessing the correctness, we also assess the diversity and strength of the generated oracles. We compare the results against EvoSuite and the state-of-the-art neural method, TOGA. Our findings reveal that TOGLL can produce 3.8 times more correct assertion oracles and 4.9 times more exception oracles than TOGA. Regarding bug detection effectiveness, TOGLL can detect 1,023 unique mutants that EvoSuite cannot, which is ten times more than what TOGA can detect. Additionally, TOGLL significantly outperforms TOGA in detecting real bugs from the Defects4J dataset.</t>
  </si>
  <si>
    <t>llm fine-tuned on java projects; test oracle generation implies input of code context; comparison with other code-based tools; large dataset of java projects used as input; focus on correctness and diversity of oracles suggests code input</t>
  </si>
  <si>
    <t>SOEN-101: Code Generation by Emulating Software Process Models Using Large Language Model Agents | IEEE Conference Publication</t>
  </si>
  <si>
    <t>https://ieeexplore.ieee.org/document/11029771/</t>
  </si>
  <si>
    <t>Software process models are essential to facilitate collaboration and communication among software teams to solve complex development tasks. Inspired by these software engineering practices, we present FlowGen - a code generation framework that emulates software process models based on multiple Large Language Model (LLM) agents. We emulate three process models, FlowGenWaterfall, FlowGenTDD, and FlowGenScrum, by assigning LLM agents to embody roles (i.e., requirement engineer, architect, developer, tester, and scrum master) that correspond to everyday development activities and organize their communication patterns. The agents work collaboratively using chain-of-thought and prompt composition with continuous self-refinement to improve the code quality. We use GPT3.5 as our underlying LLM and several baselines (RawGPT, CodeT, Reflexion) to evaluate code generation on four benchmarks: HumanEval, HumanEval-ET, MBPP, and MBPP-ET. Our findings show that FlowGenScrum excels compared to other process models, achieving a Pass@1 of 75.2, 65.5, 82.5, and 56.7 in HumanEval, HumanEval-ET, MBPP, and MBPP-ET, respectively (an average of 15% improvement over RawGPT). Compared with other state-of-the-art techniques, FlowGenScrum achieves a higher Pass@1 in MBPP compared to CodeT, with both outperforming Reflexion. Notably, integrating CodeT into FlowGenScrum resulted in statistically significant improvements, achieving the highest Pass@1 scores. Our analysis also reveals that the development activities impacted code smell and exception handling differently, with design and code review adding more exception handling and reducing code smells. Finally, FlowGen models maintain stable Pass@1 scores across GPT3.5 versions and temperature values, highlighting the effectiveness of software process models in enhancing the quality and stability of LLM-generated code.</t>
  </si>
  <si>
    <t>llm agents assigned software roles; collaborative code generation; evaluation on benchmarks; no explicit mention of input including existing source code or code snippets; unclear if llm receives source-code-related input or generates from scratch</t>
  </si>
  <si>
    <t>The Seeds of the Future Sprout from History: Fuzzing for Unveiling Vulnerabilities in Prospective Deep-Learning Libraries | IEEE Conference Publication</t>
  </si>
  <si>
    <t>https://ieeexplore.ieee.org/document/11029791/</t>
  </si>
  <si>
    <t>The widespread application of large language models (LLMs) underscores the importance of deep learning (DL) technologies that rely on foundational DL libraries such as PyTorch and TensorFlow. Despite their robust features, these libraries face challenges with scalability and adaptation to rapid advancements in the LLM community. In response, tech giants like Apple and Huawei are developing their own DL libraries to enhance performance, increase scalability, and safeguard intellectual property. Ensuring the security of these libraries is crucial, with fuzzing being a vital solution. However, existing fuzzing frameworks struggle with target flexibility, effectively testing bug-prone API sequences, and leveraging the limited available information in new libraries. To address these limitations, we propose FUTURE, the first universal fuzzing framework tailored for newly introduced and prospective DL libraries. FUTURE leverages historical bug information from existing libraries and fine-tunes LLMs for specialized code generation. This strategy helps identify bugs in new libraries and uses insights from these libraries to enhance security in existing ones, creating a cycle from history to future and back. To evaluate FUTURE's effectiveness, we conduct comprehensive evaluations on three newly introduced DL libraries. Evaluation results demonstrate that FUTURE significantly outperforms existing fuzzers in bug detection, success rate of bug reproduction, validity rate of code generation, and API coverage. Notably, FUTURE has detected 148 bugs across 452 targeted APIs, including 142 previously unknown bugs. Among these, 10 have been assigned CVE IDs. Additionally, FUTURE detects 7 bugs in PyTorch, demonstrating its ability to enhance security in existing libraries in reverse.</t>
  </si>
  <si>
    <t>llm fine-tuned for specialized code generation; uses historical bug info from existing libraries; targets api sequences in deep learning libraries; fuzzing framework for dl libraries implies code-related input to llm</t>
  </si>
  <si>
    <t>code, historical context</t>
  </si>
  <si>
    <t>Deep Learning-based Code Reviews: A Paradigm Shift or a Double-Edged Sword? | IEEE Conference Publication</t>
  </si>
  <si>
    <t>https://ieeexplore.ieee.org/document/11029823/</t>
  </si>
  <si>
    <t>Several techniques have been proposed to (partially) automate code review. Early support consisted in recommending the most suited reviewer for a given change or in prioritizing the review tasks. With the advent of deep learning in software engineering, the level of automation has been pushed to new heights, with approaches able to provide feedback on source code in natural language as a human reviewer would do. Also, recent work documented open source projects adopting Large Language Models (LLMs) as co-reviewers. Although the research in this field is very active, little is known about the actual impact of including automatically generated code reviews in the code review process. While there are many aspects worth investigating (e.g., is knowledge transfer between developers affected?), in this work we focus on three of them: (i) review quality, i.e., the reviewer's ability to identify issues in the code; (ii) review cost, i.e., the time spent reviewing the code; and (iii) reviewer's confidence, i.e., how confident is the reviewer about the provided feedback. We run a controlled experiment with 29 professional developers who reviewed different programs with/without the support of an automatically generated code review. During the experiment we monitored the reviewers' activities, for over 50 hours of recorded code reviews. We show that reviewers consider valid most of the issues automatically identified by the LLM and that the availability of an automated review as a starting point strongly influences their behavior: Reviewers tend to focus on the code locations indicated by the LLM rather than searching for additional issues in other parts of the code. The reviewers who started from an automated review identified a higher number of low-severity issues while, however, not identifying more high-severity issues as compared to a completely manual process. Finally, the automated support did not result in saved time and did not increase the reviewers' confidence.</t>
  </si>
  <si>
    <t>llm used as co-reviewer; provides feedback on source code; reviewers focus on code locations indicated by llm; implies llm input includes source code context</t>
  </si>
  <si>
    <t>An Exploratory Study of ML Sketches and Visual Code Assistants | IEEE Conference Publication</t>
  </si>
  <si>
    <t>https://ieeexplore.ieee.org/document/11029898/</t>
  </si>
  <si>
    <t>This paper explores the integration of Visual Code Assistants in Integrated Development Environments (IDEs). In Software Engineering, whiteboard sketching is often the initial step before coding, serving as a crucial collaboration tool for developers. Previous studies have investigated patterns in SE sketches and how they are used in practice, yet methods for directly using these sketches for code generation remain limited. The emergence of visually-equipped large language models presents an opportunity to bridge this gap, which is the focus of our research. In this paper, we built a first prototype of a Visual Code Assistant to get user feedback regarding in-IDE sketch-to-code tools. We conduct an experiment with 19 data scientists, most of whom regularly sketch as part of their job. We investigate developers' mental models by analyzing patterns commonly observed in their sketches when developing an ML workflow. Analysis indicates that diagrams were the preferred organizational component (52.6%), often accompanied by lists (42.1%) and numbered points (36.8%). Our tool converts their sketches into a Python notebook by querying an LLM. We use an LLM-as-judge setup to score the quality of the generated code, finding that even brief sketching can effectively generate useful code outlines. We also find a positive correlation between sketch time and the quality of the generated code. We conclude the study by conducting extensive interviews to assess the tool's usefulness, explore potential use cases, and understand developers' needs. As noted by participants, promising applications for these assistants include education, prototyping, and collaborative settings. Our findings signal promise for the next generation of Code Assistants to integrate visual information, both to improve code generation and to better leverage developers' existing sketching practices.</t>
  </si>
  <si>
    <t>llm used to generate code from sketches; sketches are visual diagrams, not source-code-related input; no indication llm receives code elements or related code context; input is visual sketches, not code or code metadata</t>
  </si>
  <si>
    <t>Licoeval: Evaluating LLMs on License Compliance in Code Generation | IEEE Conference Publication</t>
  </si>
  <si>
    <t>https://ieeexplore.ieee.org/document/11029777/</t>
  </si>
  <si>
    <t>Recent advances in Large Language Models (LLMs) have revolutionized code generation, leading to widespread adoption of AI coding tools by developers. However, LLMs can generate license-protected code without providing the necessary license information, leading to potential intellectual property violations during software production. This paper addresses the critical, yet underexplored, issue of license compliance in LLM-generated code by establishing a benchmark to evaluate the ability of LLMs to provide accurate license information for their generated code. To establish this benchmark, we conduct an empirical study to identify a reasonable standard for “striking similarity” that excludes the possibility of independent creation, indicating a copy relationship between the LLM output and certain opensource code. Based on this standard, we propose LiCoEval, to evaluate the license compliance capabilities of LLMs, i.e., the ability to provide accurate license or copyright information when they generate code with striking similarity to already existing copyrighted code. Using LiCoEval, we evaluate 14 popular LLMs, finding that even top-performing LLMs produce a non-negligible proportion (0.88 % to 2.01 %) of code strikingly similar to existing open-source implementations. Notably, most LLMs fail to provide accurate license information, particularly for code under copyleft licenses. These findings underscore the urgent need to enhance LLM compliance capabilities in code generation tasks. Our study provides a foundation for future research and development to improve license compliance in AIassisted software development, contributing to both the protection of open-source software copyrights and the mitigation of legal risks for LLM users.</t>
  </si>
  <si>
    <t>llms evaluated on license compliance for generated code; unclear if llms receive existing source-code-related input or generate code from scratch; no explicit mention of input context type; focus on output similarity and license info provision</t>
  </si>
  <si>
    <t>What Guides Our Choices? Modeling Developers' Trust and Behavioral Intentions Towards Genai | IEEE Conference Publication</t>
  </si>
  <si>
    <t>https://ieeexplore.ieee.org/document/11029764/</t>
  </si>
  <si>
    <t>Generative AI (genAI) tools, such as ChatGPT or Copilot, are advertised to improve developer productivity and are being integrated into software development. However, misaligned trust, skepticism, and usability concerns can impede the adoption of such tools. Research also indicates that AI can be exclusionary, failing to support diverse users adequately. One such aspect of diversity is cognitive diversity-variations in users' cognitive styles-that leads to divergence in perspectives and interaction styles. When an individual's cognitive style is unsupported, it creates barriers to technology adoption. Therefore, to understand how to effectively integrate genAI tools into software development, it is first important to model what factors affect developers' trust and intentions to adopt genAI tools in practice? We developed a theoretically grounded statistical model to (1) identify factors that influence developers' trust in genAI tools and (2) examine the relationship between developers' trust, cognitive styles, and their intentions to use these tools in their work. We surveyed software developers (</t>
  </si>
  <si>
    <t>uses genAI tools like chatgpt or copilot; unclear if llm input includes source-code-related context; focus on trust and behavioral intentions rather than technical usage details; no explicit mention of code input to llm</t>
  </si>
  <si>
    <t>Large Language Models as Configuration Validators | IEEE Conference Publication</t>
  </si>
  <si>
    <t>https://ieeexplore.ieee.org/document/11029850/</t>
  </si>
  <si>
    <t>Misconfigurations are major causes of software failures. Existing practices rely on developer-written rules or test cases to validate configuration values, which are expensive. Machine learning (ML) for configuration validation is considered a promising direction, but has been facing challenges such as the need of large-scale field data and system-specific models. Recent advances in Large Language Models (LLMs) show promise in addressing some of the long-lasting limitations of ML-based configuration validation. We present the first analysis on the feasibility and effectiveness of using LLMs for configuration validation. We empirically evaluate LLMs as configuration validators by developing a generic LLM-based configuration validation framework, named Ciri. Ciri employs effective prompt engineering with few-shot learning based on both valid configuration and misconfiguration data. Ciri checks outputs from LLMs when producing results, addressing hallucination and nondeterminism of LLMs. We evaluate Ciri's validation effectiveness on eight popular LLMs using configuration data of ten widely deployed open-source systems. Our analysis (1) confirms the potential of using LLMs for configuration validation, (2) explores design space of LLM-based validators like Ciri, and (3) reveals open challenges such as ineffectiveness in detecting certain types of misconfigurations and biases towards popular configuration parameters.</t>
  </si>
  <si>
    <t>llm used for configuration validation; input likely configuration data not explicitly code; no clear mention of source-code-related input; configuration parameters may be code-adjacent but not confirmed as code elements or structural expansions</t>
  </si>
  <si>
    <t>LLM Assistance for Memory Safety | IEEE Conference Publication</t>
  </si>
  <si>
    <t>https://ieeexplore.ieee.org/document/11029895/</t>
  </si>
  <si>
    <t>Memory safety violations in low-level code, written in languages like C, continues to remain one of the major sources of software vulnerabilities. One method of removing such violations by construction is to port C code to a safe C dialect. Such dialects rely on programmer-supplied annotations to guarantee safety with minimal runtime overhead. This porting, however, is a manual process that imposes significant burden on the programmer and, hence, there has been limited adoption of this technique. The task of porting not only requires inferring annotations, but may also need refactoring/rewriting of the code to make it amenable to such annotations. In this paper, we use Large Language Models (LLMs) towards addressing both these concerns. We show how to harness LLM capabilities to do complex code reasoning as well as rewriting of large codebases. We also present a novel framework for whole-program transformations that leverages lightweight static analysis to break the transformation into smaller steps that can be carried out effectively by an LLM. We implement our ideas in a tool called MSA that targets the CheckedC dialect. We evaluate MSA on several micro-benchmarks, as well as real-world code ranging up to 20K lines of code. We showcase superior performance compared to a vanilla LLM baseline, as well as demonstrate improvement over a state-of-the-art symbolic (non-LLM) technique.</t>
  </si>
  <si>
    <t>uses llm for code reasoning and rewriting; input includes large codebases; uses static analysis to guide llm transformations; targets checkedc dialect (code-related); evaluates on real-world code</t>
  </si>
  <si>
    <t>Combining Fine-Tuning and LLM-Based Agents for Intuitive Smart Contract Auditing with Justifications | IEEE Conference Publication</t>
  </si>
  <si>
    <t>https://ieeexplore.ieee.org/document/11029966/</t>
  </si>
  <si>
    <t>Smart contracts are decentralized applications built atop blockchains like Ethereum. Recent research has shown that large language models (LLMs) have potential in auditing smart contracts, but the state-of-the-art indicates that even GPT-4 can achieve only 30% precision (when both decision and justification are correct). This is likely because off-the-shelf LLMs were primarily pre-trained on a general text/code corpus and not fine-tuned on the specific domain of Solidity smart contract auditing. In this paper, we propose iAudit, a general framework that combines fine-tuning and LLM-based agents for intuitive smart contract auditing with justifications. Specifically, iAudit is inspired by the observation that expert human auditors first perceive what could be wrong and then perform a detailed analysis of the code to identify the cause. As such, iAudit employs a two-stage fine-tuning approach: it first tunes a Detector model to make decisions and then tunes a Reasoner model to generate causes of vulnerabilities. However, fine-tuning alone faces challenges in accurately identifying the optimal cause of a vulnerability. Therefore, we introduce two LLM-based agents, the Ranker and Critic, to iteratively select and debate the most suitable cause of vulnerability based on the output of the fine-tuned Reasoner model. To evaluate iAudit, we collected a balanced dataset with 1,734 positive and 1,810 negative samples to fine-tune iAudit. We then compared it with traditional fine-tuned models (CodeBERT, GraphCodeBERT, CodeT5, and UnixCoder) as well as prompt learning-based LLMs (GPT4, GPT-3.5, and CodeLlama-13b/34b). On a dataset of 263 real smart contract vulnerabilities, iAudit achieves an F1 score of 91.21% and an accuracy of 91.11%. The causes generated by iAudit achieved a consistency of about 38% compared to the ground truth causes.</t>
  </si>
  <si>
    <t>uses llm models (gpt4, gpt3.5, codellama); llms fine-tuned and used with smart contract code auditing; input involves solidity smart contract code; auditing requires source code context; two-stage fine-tuning on detector and reasoner models implies code input; vulnerability cause generation based on code analysis</t>
  </si>
  <si>
    <t>Prompt-to-SQL Injections in LLM-Integrated Web Applications: Risks and Defenses | IEEE Conference Publication</t>
  </si>
  <si>
    <t>https://ieeexplore.ieee.org/document/11029790/</t>
  </si>
  <si>
    <t>Large Language Models (LLMs) have found widespread applications in various domains, including web applications with chatbot interfaces.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In this paper, we present a comprehensive examination of prompt-to-SQL (P2SQL) injections targeting web applications based on frameworks such as LangChain and LlamaIndex. We characterize P2SQL injections, exploring their variants and impact on application security through multiple concrete examples. We evaluate seven state-of-the-art LLMs, demonstrating the risks of P2 SQL attacks across language models. By employing both manual and automated methods, we discovered P2SQL vulnerabilities in five real-world applications. Our findings indicate that LLMintegrated applications are highly susceptible to P2SQL injection attacks, warranting the adoption of robust defenses. To counter these attacks, we propose four effective defense techniques that can be integrated as extensions to the LangChain framework.</t>
  </si>
  <si>
    <t>llm used to translate user prompts into sql queries; focus on security of sql injections; no explicit mention of llm receiving source-code-related input; input described as user prompts, not code or code-related context; possible that sql queries count as code but unclear if given as input to llm</t>
  </si>
  <si>
    <t>natural language, unspecified</t>
  </si>
  <si>
    <t>Context Conquers Parameters: Outperforming Proprietary Llm in Commit Message Generation</t>
  </si>
  <si>
    <t>https://ieeexplore.ieee.org/document/11029724/</t>
  </si>
  <si>
    <t>Commit messages provide descriptions of the modifications made in a commit using natural language, making them crucial for software maintenance and evolution. Recent developments in Large Language Models (LLMs) have led to their use in generating high-quality commit messages, such as the Omniscient Message Generator (OMG). This method employs GPT-4 to produce state-of-the-art commit messages. However, the use of proprietary LLMs like GPT-4 in coding tasks raises privacy and sustainability concerns, which may hinder their industrial adoption. Considering that open-source LLMs have achieved competitive performance in developer tasks such as compiler validation, this study investigates whether they can be used to generate commit messages that are comparable with OMG. Our experiments show that an open-source LLM can generate commit messages comparable to those produced by OMG. In addition, through a series of contextual refinements, we propose OMEGA, a commit message generation approach that uses a 4-bit quantized 8B open-source LLM. OMEGA produces state-of-the-art commit messages, surpassing the performance of GPT-4 in practitioners' preference.</t>
  </si>
  <si>
    <t>llm used for commit message generation; input likely includes git diffs or code changes; commit messages describe code modifications; mentions contextual refinements implying source-code-related input</t>
  </si>
  <si>
    <t>Reasoning Runtime Behavior of a Program with LLM: How Far are We? | IEEE Conference Publication</t>
  </si>
  <si>
    <t>https://ieeexplore.ieee.org/document/11029885/</t>
  </si>
  <si>
    <t>Large language models for code (i.e., code LLMs) have shown strong code understanding and generation capabilities. To evaluate the capabilities of code LLMs in various aspects, many benchmarks have been proposed (e.g., HumanEval and ClassEval). Code reasoning is one of the most essential abilities of code LLMs (i.e., predicting code execution behaviors such as program output and execution path), but existing benchmarks for code reasoning are not sufficient. Typically, they focus on predicting the input and output of a program, ignoring the evaluation of the intermediate behavior during program execution, as well as the logical consistency (e.g., the model should not give the correct output if the prediction of execution path is wrong) when performing the reasoning. To address these problems, in this paper, we propose a framework, namely REval, for evaluating code reasoning abilities and consistency of code LLMs with program execution. We utilize existing code benchmarks and adapt them to new benchmarks within our framework. A large-scale empirical study is conducted and most LLMs show unsatisfactory performance on both Runtime Behavior Reasoning (i.e., an average accuracy of 44.4%) and Incremental Consistency Evaluation (i.e., an average IC score of 10.3). Evaluation results of current code LLMs reflect the urgent need for the community to strengthen the code reasoning capability of code LLMs. Our code, data and REval leaderboard are available at https://r-eval.github.io.</t>
  </si>
  <si>
    <t>uses code llms; evaluates code reasoning and runtime behavior; input involves program execution behavior prediction; likely given code snippets or program code as input; benchmarks adapted for evaluation</t>
  </si>
  <si>
    <t>Source Code Summarization in the Era of Large Language Models | IEEE Conference Publication</t>
  </si>
  <si>
    <t>https://ieeexplore.ieee.org/document/11029737/</t>
  </si>
  <si>
    <t>To support software developers in understanding and maintaining programs, various automatic (source) code summarization techniques have been proposed to generate a concise natural language summary (i.e., comment) for a given code snippet. Recently, the emergence of large language models (LLMs) has led to a great boost in the performance of coderelated tasks. In this paper, we undertake a systematic and comprehensive study on code summarization in the era of LLMs, which covers multiple aspects involved in the workflow of LLMbased code summarization. Specifically, we begin by examining prevalent automated evaluation methods for assessing the quality of summaries generated by LLMs and find that the results of the GPT-4 evaluation method are most closely aligned with human evaluation. Then, we explore the effectiveness of five prompting techniques (zero-shot, few-shot, chain-of-thought, critique, and expert) in adapting LLMs to code summarization tasks. Contrary to expectations, advanced prompting techniques may not outperform simple zero-shot prompting. Next, we investigate the impact of LLMs' model settings (including top_p and temperature parameters) on the quality of generated summaries. We find the impact of the two parameters on summary quality varies by the base LLM and programming language, but their impacts are similar. Moreover, we canvass LLMs' abilities to summarize code snippets in distinct types of programming languages. The results reveal that LLMs perform suboptimally when summarizing code written in logic programming languages compared to other language types (e.g., procedural and object-oriented programming languages). Finally, we unexpectedly find that CodeLlamaInstruct with 7B parameters can outperform advanced GPT-4 in generating summaries describing code design rationale and asserting code properties. We hope that our findings can provide a comprehensive understanding of code summarization in the era of LLMs.</t>
  </si>
  <si>
    <t>llm used for code summarization; input is code snippets; multiple programming languages mentioned; evaluation of summaries generated from code input; prompting techniques applied to code summarization</t>
  </si>
  <si>
    <t>Hyperion: Unveiling DApp Inconsistencies Using LLM and Dataflow-Guided Symbolic Execution | IEEE Conference Publication</t>
  </si>
  <si>
    <t>https://ieeexplore.ieee.org/document/11030227/</t>
  </si>
  <si>
    <t>The rapid advancement of blockchain platforms has significantly accelerated the growth of decentralized applications (DApps). Similar to traditional applications, DApps integrate front-end descriptions that showcase their features to attract users, and back-end smart contracts for executing their business logic. However, inconsistencies between the features promoted in front-end descriptions and those actually implemented in the contract can confuse users and undermine DApps's trustworthiness. In this paper, we first conducted an empirical study to identify seven types of inconsistencies, each exemplified by a real-world DApp. Furthermore, we introduce Hyperion, an approach designed to automatically identify inconsistencies between front-end descriptions and back-end code implementation in DApps. This method leverages a fine-tuned large language model LLaMA2 to analyze DApp descriptions and employs dataflow-guided symbolic execution for contract bytecode analysis. Finally, Hyperion reports the inconsistency based on predefined detection patterns. The experiment on our ground truth dataset consisting of 54 DApps shows that Hyperion reaches 84.06% overall recall and 92.06 % overall precision in reporting DApp inconsistencies. We also implement Hyperion to analyze 835 real-world DApps. The experimental results show that Hyperion discovers 459 real-world DApps containing at least one inconsistency.</t>
  </si>
  <si>
    <t>uses llm (llama2); llm analyzes dapp descriptions; symbolic execution uses dataflow-guided analysis (dataflow neighbors); input includes front-end descriptions and contract bytecode analysis; dataflow-guided symbolic execution implies source-code-related context given to llm or combined approach</t>
  </si>
  <si>
    <t>natural language, graph-based expansion, static analysis output</t>
  </si>
  <si>
    <t>RepairAgent: An Autonomous, LLM-Based Agent for Program Repair | IEEE Conference Publication</t>
  </si>
  <si>
    <t>https://ieeexplore.ieee.org/document/11029914/</t>
  </si>
  <si>
    <t>Automated program repair has emerged as a powerful technique to mitigate the impact of software bugs on system reliability and user experience. This paper introduces Repair 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 Agent freely interleaves gathering information about the bug, gathering repair ingredients, and validating fixes, while deciding which tools to invoke based on the gathered information and feedback from previous fix attempts. Key contributions that enable Repair 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 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t>
  </si>
  <si>
    <t>llm used as autonomous agent for program repair; interacts with tools to gather bug info and repair ingredients; evaluation on defects4j dataset implies source code context given; repairing bugs requires code input</t>
  </si>
  <si>
    <t>DesignRepair: Dual-Stream Design Guideline-Aware Frontend Repair with Large Language Models | IEEE Conference Publication</t>
  </si>
  <si>
    <t>https://ieeexplore.ieee.org/document/11030228/</t>
  </si>
  <si>
    <t>The rise of Large Language Models (LLMs) has streamlined frontend interface creation through tools like Vercel's v0, yet surfaced challenges in design quality (e.g., accessibility, and usability). Current solutions, often limited by their focus, generalisability, or data dependency, fall short in addressing these complexities. Moreover, none of them examine the quality of LLM-generated UI design. In this work, we introduce DesignRepair, a novel dual-stream design guideline-aware system to examine and repair the UI design quality issues from both code aspect and rendered page aspect. We utilised the mature and popular Material Design as our knowledge base to guide this process. Specifically, we first constructed a comprehensive knowledge base encoding Google's Material Design principles into low-level component knowledge base and high-level system design knowledge base. After that, DesignRepair employs a LLM for the extraction of key components and utilizes the Playwright tool for precise page analysis, aligning these with the established knowledge bases. Finally, we integrate Retrieval-Augmented Generation with state-of-the-art LLMs like GPT-4 to holistically refine and repair frontend code through a strategic divide and conquer approach. Our extensive evaluations validated the efficacy and utility of our approach, demonstrating significant enhancements in adherence to design guidelines, accessibility, and user experience metrics.</t>
  </si>
  <si>
    <t>llm used for frontend code extraction and repair; input includes code aspects and rendered page analysis; retrieval-augmented generation with code context; uses material design knowledge base to guide repair</t>
  </si>
  <si>
    <t>Aligning the Objective of LLM-Based Program Repair | IEEE Conference Publication</t>
  </si>
  <si>
    <t>https://ieeexplore.ieee.org/document/11029731/</t>
  </si>
  <si>
    <t>Large language models (LLMs) have achieved decent results on automated program repair (APR). However, the next token prediction training objective of decoder-only LLMs (e.g., GPT-4) is misaligned with the masked span prediction objective of current infilling-style methods, which impedes LLMs from fully leveraging pre-trained knowledge for program repair. In addition, while some LLMs can locate and repair bugs in certain functions using the related artifacts (e.g., test cases), existing methods still depend on statement-level fault localization methods to provide a list of buggy hunks for repair. This restriction hinders LLMs from exploring potential patches beyond the given locations. In this paper, we investigate a new approach to adapt LLMs to program repair. Our core insight is that LLM's APR capability can be greatly improved by simply aligning the output to their training objective and allowing them to refine the whole program without first identifying faulty statements. Based on this insight, we designed D4C, a straightforward prompting framework for APR. D4C can repair 180 bugs correctly in Defects4J, with each patch being sampled only 10 times. This surpasses the SOTA APR methods with perfect fault localization by 10 % and reduces the patch sampling number by 90 %. Our findings reveal that (1) objective alignment is crucial for fully exploiting LLM's pre-trained capability, and (2) replacing the traditional localize-buggy-hunks-then-repair workflow with direct debugging is more effective for LLM-based APR methods. Thus, we believe this paper introduces a new mindset for harnessing LLMs in APR.</t>
  </si>
  <si>
    <t>uses llm for automated program repair; input includes whole program for debugging; surpasses fault localization methods; source-code-related input clearly given</t>
  </si>
  <si>
    <t>The Fact Selection Problem in LLM-Based Program Repair | IEEE Conference Publication</t>
  </si>
  <si>
    <t>https://ieeexplore.ieee.org/document/11029841/</t>
  </si>
  <si>
    <t>Recent research has shown that incorporating bug-related facts, such as stack traces and GitHub issues, into prompts enhances the bug-fixing capabilities of large language models (LLMs). Considering the ever-increasing context window of these models, a critical question arises: what and how many facts should be included in prompts to maximise the chance of correctly fixing bugs? To answer this question, we conducted a large-scale study, employing over 19K prompts featuring various combinations of seven diverse facts to rectify 314 bugs from open -source Python projects within the BugsInPy benchmark. Our findings revealed that each fact, ranging from simple syntactic details like code context to semantic information previously unexplored in the context of LLMs such as angelic values, is beneficial. Specifically, each fact aids in fixing some bugs that would remain unresolved or only be fixed with a low success rate without it. Importantly, we discovered that the effectiveness of program repair prompts is non-monotonic over the number of used facts; using too many facts leads to subpar outcomes. These insights led us to define the fact selection problem: determining the optimal set of facts for inclusion in a prompt to maximise LLM's performance on a given task instance. We found that there is no one-size-fits-all set of facts for bug repair. Therefore, we developed a basic statistical model, named Maniple, which selects facts specific to a given bug to include in the prompt. This model significantly surpasses the performance of the best generic fact set. To underscore the significance of the fact selection problem, we benchmarked Maniple against the state-of-the-art zero-shot, non-conversational LLM-based bug repair methods. On our testing dataset of 157 bugs, Maniple repairs 88 bugs, 17% above the best configuration.</t>
  </si>
  <si>
    <t>uses llm for program repair; input includes bug-related facts; facts include stack traces (dynamic/runtime context), github issues (historical context), code context (code elements); source-code-related input present in prompts; empirical study on fact selection for llm input</t>
  </si>
  <si>
    <t>code,dynamic/runtime context,historical context</t>
  </si>
  <si>
    <t>Leveraging Large Language Models to Detect NPM Malicious Packages | IEEE Conference Publication</t>
  </si>
  <si>
    <t>https://ieeexplore.ieee.org/document/11029752/</t>
  </si>
  <si>
    <t>Existing malicious code detection techniques demand the integration of multiple tools to detect different malware patterns, often suffering from high misclassification rates. Therefore, malicious code detection techniques could be enhanced by adopting advanced, more automated approaches to achieve high accuracy and a low misclassification rate. The goal of this study is to aid security analysts in detecting malicious packages by empirically studying the effectiveness of Large Language Models (LLMs) in detecting malicious code. We present SocketAI, a malicious code review workflow to detect malicious code. To evaluate the effectiveness SocketAI, we leverage a benchmark dataset of 5,115npm packages, of which 2,180 packages have malicious code. We conducted a baseline comparison of GPT3 and GPT-4 models with the state-of-the-art CodeQL static analysis tool, using 39 custom CodeQL rules developed in prior research to detect malicious Javascript code. We also compare the effectiveness of static analysis as a pre-screener with SocketAI workflow, measuring the number of files that need to be analyzed and the associated costs. Additionally, we performed a qualitative study to understand the types of malicious packages detected or missed by our workflow. Our baseline comparison demonstrates a 16 % and 9 % improvement over static analysis in precision and F1 scores, respectively. GPT-4 achieves higher accuracy with 99% precision and 97% F1 scores, while GPT-3 offers a more cost-effective balance at 91 % precision and 94 % F1 scores. Prescreening files with a static analyzer reduces the number of files requiring LLM analysis by 77.9% and decreases costs by 60.9% for GPT-3 and 76.1% for GPT-4. Our qualitative analysis identified data theft, execution of arbitrary code, and suspicious domain categories as the top detected malicious packages.</t>
  </si>
  <si>
    <t>llm used for malicious code detection; input includes npm packages with malicious code; comparison with static analysis rules implies code input; source-code-related input likely entire files or code snippets</t>
  </si>
  <si>
    <t>Treefix: Enabling Execution with a Tree of Prefixes | IEEE Conference Publication</t>
  </si>
  <si>
    <t>https://ieeexplore.ieee.org/document/11029828/</t>
  </si>
  <si>
    <t>The ability to execute code is a prerequisite for various dynamic program analyses. Learning-guided execution has been proposed as an approach to enable the execution of arbitrary code snippets by letting a neural model predict likely values for any missing variables. Although state-of-the-art learning-guided execution approaches, such as LExecutor, can enable the execution of a relative high amount of code, they are limited to predicting a restricted set of possible values and do not use any feedback from previous executions to execute even more code. This paper presents Treefix, a novel learning-guided execution approach that leverages LLMs to iteratively create code prefixes that enable the execution of a given code snippet. The approach addresses the problem in a multi-step fashion, where each step uses feedback about the code snippet and its execution to instruct an LLM to improve a previously generated prefix. This process iteratively creates a tree of prefixes, a subset of which is returned to the user as prefixes that maximize the number of executed lines in the code snippet. In our experiments with two datasets of Python code snippets, Treefix achieves 25% and 7% more coverage relative to the current state of the art in learning-guided execution, covering a total of 84% and 82% of all lines in the code snippets.</t>
  </si>
  <si>
    <t>llm used to iteratively create and improve code prefixes; input includes code snippets and feedback from execution; source-code-related input clearly given to llm</t>
  </si>
  <si>
    <t>Decoding Secret Memorization in Code LLMs Through Token-Level Characterization</t>
  </si>
  <si>
    <t>https://ieeexplore.ieee.org/document/11029894/</t>
  </si>
  <si>
    <t>Code Large Language Models (LLMs) have demonstrated remarkable capabilities in generating, understanding, and manipulating programming code. However, their training process inadvertently leads to the memorization of sensitive information, posing severe privacy risks. Existing studies on memorization in LLMs primarily rely on prompt engineering techniques, which suffer from limitations such as widespread hallucination and inefficient extraction of the target sensitive information. In this paper, we present a novel approach to characterize real and fake secrets generated by Code LLMs based on token probabilities. We identify four key characteristics that differentiate genuine secrets from hallucinated ones, providing insights into distinguishing real and fake secrets. To overcome the limitations of existing works, we propose DESEC, a two-stage method that leverages token-level features derived from the identified characteristics to guide the token decoding process. DESEC consists of constructing an offline token scoring model using a proxy Code LLM and employing the scoring model to guide the decoding process by reassigning token likelihoods. Through extensive experiments on four state-of-the-art Code LLMs using a diverse dataset, we demonstrate the superior performance of DESEC in achieving a higher plausible rate and extracting more real secrets compared to existing baselines. Our findings highlight the effectiveness of our token-level approach in enabling an extensive assessment of the privacy leakage risks associated with Code LLMs.</t>
  </si>
  <si>
    <t>uses code llms; focuses on token-level decoding of code-related secrets; implies llm input includes code tokens; experiments on code llms with code datasets; addresses privacy leakage in code llms</t>
  </si>
  <si>
    <t>Boosting Static Resource Leak Detection via LLM-based Resource-Oriented Intention Inference | IEEE Conference Publication | IEEE Xplore</t>
  </si>
  <si>
    <t>https://ieeexplore.ieee.org/document/11029833/</t>
  </si>
  <si>
    <t>Resource leaks, caused by resources not being released after acquisition, often lead to performance issues and system crashes. Existing static detection techniques rely on mechanical matching of predefined resource acquisition/release APIs and null-checking conditions to find unreleased resources, suffering from both (1) false negatives caused by the incompleteness of predefined resource acquisition/release APIs and (2) false positives caused by the incompleteness of resource reachability validation identification. To overcome these challenges, we propose InferROI, a novel approach that leverages the exceptional code comprehension capability of large language models (LLMs) to directly infer resource-oriented intentions (acquisition, release, and reachability validation) in code. InferROI first prompts the LLM to infer involved intentions for a given code snippet, and then incorporates a two-stage static analysis approach to check control-flow paths for resource leak detection based on the inferred intentions. We evaluate the effectiveness of InferROI in both resource-oriented intention inference and resource leak detection. Experimental results on the DroidLeaks and JLeaks datasets demonstrate InferROI achieves promising bug detection rate (59.3% and 62.5%) and false alarm rate (18.6% and 19.5%). Compared to three industrial static detectors, InferROI detects 14~45 and 149~485 more bugs in DroidLeaks and JLeaks, respectively. When applied to real-world open-source projects, InferROI identifies 29 unknown resource leak bugs (verified by authors), with 7 of them being confirmed by developers. In addition, the results of an ablation study underscores the importance of combining LLM-based inference with static analysis. Finally, manual annotation indicated that InferROI achieved a precision of 74.6% and a recall of 81.8% in intention inference, covering more than 60% resource types involved in the datasets.</t>
  </si>
  <si>
    <t>llm used for code comprehension; llm infers resource-oriented intentions from code snippets; input to llm is code snippets; static analysis combined with llm inference; clear source-code-related input to llm</t>
  </si>
  <si>
    <t>Rug: Turbo Llm for Rust Unit Test Generation</t>
  </si>
  <si>
    <t>https://ieeexplore.ieee.org/document/11029738/</t>
  </si>
  <si>
    <t xml:space="preserve">Unit testing improves software quality by evaluating isolated sections of the program. This approach alleviates the need for comprehensive program-wide testing and confines the potential error scope within the software. However, unit test development is time-consuming, requiring developers to create appropriate test contexts and determine input values to cover different code regions. This problem is particularly pronounced in Rust due to its intricate type system, making traditional unit test generation tools ineffective in Rust projects. Recently, large language models (LLMs) have demonstrated their proficiency in understanding programming language and completing software engineering tasks. However, merely prompting LLMs with a basic prompt like “generate unit test for the following source code” often results in code with compilation errors. In addition, LLM-generated unit tests often have limited test coverage. To bridge this gap and harness the capabilities of LLM, we design and implement RUG, an end-to-end solution to automatically generate the unit test for Rust projects. To help LLM's generated test pass Rust strict compilation checks, RUG designs a semantic-aware bottom-up approach to divide the context construction problem into dependent sub-problems. It solves these sub-problems sequentially using an LLM and merges them to a complete context. To increase test coverage, RUG integrates coverage-guided fuzzing with LLM to prepare fuzzing harnesses. Applying RUG on 17 real-world Rust programs (average </t>
  </si>
  <si>
    <t>uses llm for rust unit test generation; llm input includes source code context for test generation; semantic-aware bottom-up approach divides context into subproblems with code context; integrates coverage-guided fuzzing with llm; clear source-code-related input to llm</t>
  </si>
  <si>
    <t>code, static analysis output, dynamic/runtime context, tests</t>
  </si>
  <si>
    <t>RustAssistant: Using LLMs to Fix Compilation Errors in Rust Code</t>
  </si>
  <si>
    <t>https://ieeexplore.ieee.org/document/11029935/</t>
  </si>
  <si>
    <t>The Rust programming language, with its safety guarantees, has established itself as a viable choice for low-level systems programming language over the traditional, unsafe alternatives like C/C++. These guarantees come from a strong ownership-based type system, as well as primitive support for features like closures, pattern matching, etc., that make the code more concise and amenable to reasoning. These unique Rust features also pose a steep learning curve for programmers. This paper presents a tool called RustAssistant that leverages the emergent capabilities of Large Language Models (LLMs) to automatically suggest fixes for Rust compilation errors. RustAssistant uses a careful combination of prompting techniques as well as iteration between an LLM and the Rust compiler to deliver high accuracy of fixes. RustAssistant is able to achieve an impressive peak accuracy of roughly 74% on real-world compilation errors in popular open-source Rust repositories. We also contribute a dataset of Rust compilation errors to enable further research.</t>
  </si>
  <si>
    <t>uses llm to fix rust compilation errors; interacts iteratively with rust compiler; likely uses code snippets or error-related code as input; dataset of rust compilation errors contributed; source-code-related input implied by compilation error context</t>
  </si>
  <si>
    <t>Your Fix Is My Exploit: Enabling Comprehensive DL Library API Fuzzing with Large Language Models | IEEE Conference Publication</t>
  </si>
  <si>
    <t>https://ieeexplore.ieee.org/document/11029835/</t>
  </si>
  <si>
    <t>Deep learning (DL) libraries are widely used to form the basis of various AI applications in computer vision, natural language processing, and software engineering domains. Despite their popularity, DL libraries are known to have vulnerabilities, such as buffer overflows, use-after-free, and integer overflows, that can be exploited to compromise the security or effectiveness of the underlying libraries. While traditional fuzzing techniques have been used to find bugs in software, they are not well-suited for DL libraries. In general, the complexity of DL libraries and the diversity of their APIs make it challenging to test them thoroughly. To date, mainstream DL libraries like TensorFlow and PyTorch have featured over 1,000 APIs, and the number of APIs is still growing. Fuzzing all these APIs is a daunting task, especially when considering the complexity of the input data and the diversity of the API usage patterns. Recent advances in large language models (LLMs) have illustrated the high potential of LLMs in understanding and synthesizing human-like code. Despite their high potential, we find that emerging LLM-based fuzzers are less optimal for DL library API fuzzing, given their lack of in-depth knowledge on API input edge cases and inefficiency in generating test inputs. In this paper, we propose DFuzz, a LLM-driven DL library fuzzing approach. We have two key insights: (1) With high reasoning ability, LLMs can replace human experts to reason edge cases (likely error-triggering inputs) from checks in an API's code, and transfer the extracted knowledge to test other (new or rarely-tested) APIs. (2) With high generation ability, LLMs can synthesize initial test programs with high accuracy that automates API testing. DFuzz provides LLMs with a novel 'white-box view' of DL library APIs, and therefore, can leverage LLMs' reasoning and generation abilities to achieve comprehensive fuzzing. Our experimental results on popular DL libraries demonstrate that DFuzz is able to cover more APIs than SOTA (LLM-based) fuzzers on TensorFlow and PyTorch, respectively. Moreover, DFuzz successfully detected 37 bugs, with 8 already fixed and 19 replicated by the developer but still under investigation.</t>
  </si>
  <si>
    <t>llm used for fuzzing dl library apis; llm given white-box view of api code; reasoning about api input edge cases from code checks; synthesizing test programs based on api code; source-code-related input clearly provided</t>
  </si>
  <si>
    <t>static analysis output, code</t>
  </si>
  <si>
    <t>Knowledge-Enhanced Program Repair for Data Science Code | IEEE Conference Publication</t>
  </si>
  <si>
    <t>https://ieeexplore.ieee.org/document/11029882/</t>
  </si>
  <si>
    <t>The BLAST programs are widely used tools for searching protein and DNA databases for sequence similarities. For protein comparisons, a variety of definitional, algorithmic and statistical refinements described here permits the execution time of the BLAST programs to be decreased substantially while enhancing their sensitivity to weak similarities. A new criterion for triggering the extension of word hits, combined with a new heuristic for generating gapped alignments, yields a gapped BLAST program that runs at approximately three times the speed of the original. In addition, a method is introduced for automatically combining statistically significant alignments produced by BLAST into a position-specific score matrix, and searching the database using this matrix. The resulting Position-Specific Iterated BLAST (PSI-BLAST) program runs at approximately the same speed per iteration as gapped BLAST, but in many cases is much more sensitive to weak but biologically relevant sequence similarities. PSI-BLAST is used to uncover several new and interesting members of the BRCT superfamily.</t>
  </si>
  <si>
    <t>no mention of llm or large language model; focus on bioinformatics algorithm improvements; no indication of source-code-related input to any llm; purely algorithmic and statistical refinements described</t>
  </si>
  <si>
    <t>ASE</t>
  </si>
  <si>
    <t>Proof Automation with Large Language Models | Proceedings of the 39th IEEE/ACM International Conference on Automated Software Engineering</t>
  </si>
  <si>
    <t>https://dl.acm.org/doi/10.1145/3691620.3695521</t>
  </si>
  <si>
    <t>Interactive theorem provers such as Coq are powerful tools to formally guarantee the correctness of software. However, using these tools requires significant manual effort and expertise. While Large Language Models (LLMs) have shown promise in automatically generating informal proofs in natural language, they are less effective at generating formal proofs in interactive theorem provers. In this paper, we conduct a formative study to identify common mistakes made by LLMs when asked to generate formal proofs. By analyzing 520 proof generation errors made by GPT-3.5, we found that GPT-3.5 often identified the correct high-level structure of a proof, but struggled to get the lower-level details correct. Based on this insight, we propose PALM, a novel generate-then-repair approach that first prompts an LLM to generate an initial proof and then leverages targeted symbolic methods to iteratively repair low-level problems. We evaluate PALM on a large dataset that includes more than 10K theorems. Our results show that PALM significantly outperforms other state-of-the-art approaches, successfully proving 76.6% to 180.4% more theorems. Moreover, PALM proves 1270 theorems beyond the reach of existing approaches. We also demonstrate the generalizability of PALM across different LLMs.</t>
  </si>
  <si>
    <t>llm used for formal proof generation in interactive theorem prover; proofs relate to formal software correctness; unclear if input includes source-code-related context or only theorem statements; no explicit mention of code elements or formal specs as input; possible formal specifications but not clearly stated</t>
  </si>
  <si>
    <t>Can Large Language Models Comprehend Code Stylometry? | Proceedings of the 39th IEEE/ACM International Conference on Automated Software Engineering</t>
  </si>
  <si>
    <t>https://dl.acm.org/doi/10.1145/3691620.3695370</t>
  </si>
  <si>
    <t>Code Authorship Attribution (CAA) has several applications such as copyright disputes, plagiarism detection and criminal prosecution. Existing studies mainly focused on CAA by proposing machine learning (ML) and Deep Learning (DL) based techniques. The main limitations of ML-based techniques are (a) manual feature engineering is required to train these models and (b) they are vulnerable to adversarial attack. In this study, we initially fine-tune five Large Language Models (LLMs) for CAA and evaluate their performance. Our results show that LLMs are robust and less vulnerable compared to existing techniques in CAA task.</t>
  </si>
  <si>
    <t>llms fine-tuned for code authorship attribution; task requires analyzing source code style; implies source code input to llms; focus on robustness against adversarial attacks on code</t>
  </si>
  <si>
    <t>WaDec: Decompiling WebAssembly Using Large Language Model | Proceedings of the 39th IEEE/ACM International Conference on Automated Software Engineering</t>
  </si>
  <si>
    <t>https://dl.acm.org/doi/10.1145/3691620.3695020</t>
  </si>
  <si>
    <t>WebAssembly (abbreviated Wasm) has emerged as a cornerstone of web development, offering a compact binary format that allows high-performance applications to run at near-native speeds in web browsers. Despite its advantages, Wasm's binary nature presents significant challenges for developers and researchers, particularly regarding readability when debugging or analyzing web applications. Therefore, effective decompilation becomes crucial. Unfortunately, traditional decompilers often struggle with producing readable outputs. While some large language model (LLM)-based decompilers have shown good compatibility with general binary files, they still face specific challenges when dealing with Wasm. In this paper, we introduce a novel approach, WaDec, which is the first use of a fine-tuned LLM to interpret and decompile Wasm binary code into a higher-level, more comprehensible source code representation. The LLM was meticulously fine-tuned using a specialized dataset of wat-c code snippets, employing self-supervised learning techniques. This enables WaDec to effectively decompile not only complete wat functions but also finer-grained wat code snippets. Our experiments demonstrate that WaDec markedly outperforms current state-of-the-art tools, offering substantial improvements across several metrics. It achieves a code inflation rate of only 3.34%, a dramatic 97% reduction compared to the state-of-the-art's 116.94%. Unlike the output of baselines that cannot be directly compiled or executed, WaDec maintains a recompilability rate of 52.11%, a re-execution rate of 43.55%, and an output consistency of 27.15%. Additionally, it significantly exceeds state-of-the-art performance in AST edit distance similarity by 185%, cyclomatic complexity by 8%, and cosine similarity by 41%, achieving an average code similarity above 50%. In summary, WaDec enhances understanding of the code's structure and execution flow, facilitating automated code analysis, optimization, and security auditing.</t>
  </si>
  <si>
    <t>llm fine-tuned on wat-c code snippets; input is wasm binary code decompiled into wat code; source-code-related input clearly given; focus on code decompilation and representation</t>
  </si>
  <si>
    <t>AutoDW: Automatic Data Wrangling Leveraging Large Language Models | Proceedings of the 39th IEEE/ACM International Conference on Automated Software Engineering</t>
  </si>
  <si>
    <t>https://dl.acm.org/doi/10.1145/3691620.3695267</t>
  </si>
  <si>
    <t>Data wrangling is a critical yet often labor-intensive process, essential for transforming raw data into formats suitable for downstream tasks such as machine learning or data analysis. Traditional data wrangling methods can be time-consuming, resource-intensive, and prone to errors, limiting the efficiency and effectiveness of subsequent downstream tasks. In this paper, we introduce AutoDW: an end-to-end solution for automatic data wrangling that leverages the power of Large Language Models (LLMs) to enhance automation and intelligence in data preparation. AutoDW distinguishes itself through several innovative features, including comprehensive automation that minimizes human intervention, the integration of LLMs to enable advanced data processing capabilities, and the generation of source code for the entire wrangling process, ensuring transparency and reproducibility. These advancements position AuoDW as a superior alternative to existing data wrangling tools, offering significant improvements in efficiency, accuracy, and flexibility. Through detailed performance evaluations, we demonstrate the effectiveness of AutoDW for data wrangling. We also discuss our experience and lessons learned from the industrial deployment of AutoDW, showcasing its potential to transform the landscape of automated data preparation.</t>
  </si>
  <si>
    <t>llm used for data wrangling automation; generates source code for wrangling process; unclear if llm input includes existing source-code-related context or only natural language data; no explicit mention of code snippets or code-related input to llm</t>
  </si>
  <si>
    <t>Efficient Detection of Toxic Prompts in Large Language Models | Proceedings of the 39th IEEE/ACM International Conference on Automated Software Engineering</t>
  </si>
  <si>
    <t>https://dl.acm.org/doi/10.1145/3691620.3695018</t>
  </si>
  <si>
    <t>Large language models (LLMs) like ChatGPT and Gemini have significantly advanced natural language processing, enabling various applications such as chatbots and automated content generation. However, these models can be exploited by malicious individuals who craft toxic prompts to elicit harmful or unethical responses. These individuals often employ jailbreaking techniques to bypass safety mechanisms, highlighting the need for robust toxic prompt detection methods. Existing detection techniques, both blackbox and whitebox, face challenges related to the diversity of toxic prompts, scalability, and computational efficiency. In response, we propose ToxicDetector, a lightweight greybox method designed to efficiently detect toxic prompts in LLMs. ToxicDetector leverages LLMs to create toxic concept prompts, uses embedding vectors to form feature vectors, and employs a Multi-Layer Perceptron (MLP) classifier for prompt classification. Our evaluation on various versions of the LLama models, Gemma-2, and multiple datasets demonstrates that ToxicDetector achieves a high accuracy of 96.39% and a low false positive rate of 2.00%, outperforming state-of-the-art methods. Additionally, ToxicDetector's processing time of 0.0780 seconds per prompt makes it highly suitable for real-time applications. ToxicDetector achieves high accuracy, efficiency, and scalability, making it a practical method for toxic prompt detection in LLMs.</t>
  </si>
  <si>
    <t>llm used for toxic prompt detection; input is natural language prompts; no mention of source code or code-related context; focus on harmful content detection not software engineering tasks</t>
  </si>
  <si>
    <t>Semantic-Enhanced Indirect Call Analysis with Large Language Models | Proceedings of the 39th IEEE/ACM International Conference on Automated Software Engineering</t>
  </si>
  <si>
    <t>https://dl.acm.org/doi/10.1145/3691620.3695016</t>
  </si>
  <si>
    <t>In contemporary software development, the widespread use of indirect calls to achieve dynamic features poses challenges in constructing precise control flow graphs (CFGs), which further impacts the performance of downstream static analysis tasks. To tackle this issue, various types of indirect call analyzers have been proposed. However, they do not fully leverage the semantic information of the program, limiting their effectiveness in real-world scenarios. To address these issues, this paper proposes Semantic-Enhanced Analysis (SEA), a new approach to enhance the effectiveness of indirect call analysis. Our fundamental insight is that for common programming practices, indirect calls often exhibit semantic similarity with their invoked targets. This semantic alignment serves as a supportive mechanism for static analysis techniques in filtering out false targets. Notably, contemporary large language models (LLMs) are trained on extensive code corpora, encompassing tasks such as code summarization, making them well-suited for semantic analysis. Specifically, SEA leverages LLMs to generate natural language summaries of both indirect calls and target functions from multiple perspectives. Through further analysis of these summaries, SEA can determine their suitability as caller-callee pairs. Experimental results demonstrate that SEA can significantly enhance existing static analysis methods by producing more precise target sets for indirect calls.</t>
  </si>
  <si>
    <t>llm used for semantic analysis of code; llm generates summaries of indirect calls and target functions; input includes code elements (indirect calls and target functions); enhances static analysis with code-related input</t>
  </si>
  <si>
    <t>RMCBench: Benchmarking Large Language Models' Resistance to Malicious Code | Proceedings of the 39th IEEE/ACM International Conference on Automated Software Engineering</t>
  </si>
  <si>
    <t>https://dl.acm.org/doi/10.1145/3691620.3695480</t>
  </si>
  <si>
    <t>The emergence of Large Language Models (LLMs) has significantly influenced\nvarious aspects of software development activities. Despite their benefits,\nLLMs also pose notable risks, including the potential to generate harmful\ncontent and being abused by malicious developers to create malicious code.\nSeveral previous studies have focused on the ability of LLMs to resist the\ngeneration of harmful content that violates human ethical standards, such as\nbiased or offensive content. However, there is no research evaluating the\nability of LLMs to resist malicious code generation. To fill this gap, we\npropose RMCBench, the first benchmark comprising 473 prompts designed to assess\nthe ability of LLMs to resist malicious code generation. This benchmark employs\ntwo scenarios: a text-to-code scenario, where LLMs are prompted with\ndescriptions to generate code, and a code-to-code scenario, where LLMs\ntranslate or complete existing malicious code. Based on RMCBench, we conduct an\nempirical study on 11 representative LLMs to assess their ability to resist\nmalicious code generation. Our findings indicate that current LLMs have a\nlimited ability to resist malicious code generation with an average refusal\nrate of 40.36% in text-to-code scenario and 11.52% in code-to-code scenario.\nThe average refusal rate of all LLMs in RMCBench is only 28.71%; ChatGPT-4 has\na refusal rate of only 35.73%. We also analyze the factors that affect LLMs'\nability to resist malicious code generation and provide implications for\ndevelopers to enhance model robustness.\n</t>
  </si>
  <si>
    <t>llms used; input includes existing malicious code in code-to-code scenario; source-code-related input present</t>
  </si>
  <si>
    <t>Semantic Sleuth: Identifying Ponzi Contracts via Large Language Models | Proceedings of the 39th IEEE/ACM International Conference on Automated Software Engineering</t>
  </si>
  <si>
    <t>https://dl.acm.org/doi/10.1145/3691620.3695055</t>
  </si>
  <si>
    <t>Smart contracts, self-executing agreements directly encoded in code, are fundamental to blockchain technology, especially in decentralized finance (DeFi) and Web3. However, the rise of Ponzi schemes in smart contracts poses significant risks, leading to substantial financial losses and eroding trust in blockchain systems. Existing detection methods, such as PonziGuard, depend on large amounts of labeled data and struggle to identify unseen Ponzi schemes, limiting their reliability and generalizability. In contrast, we introduce PonziSleuth, the first LLM-driven approach for detecting Ponzi smart contracts, which requires no labeled training data. PonziSleuth utilizes advanced language understanding capabilities of LLMs to analyze smart contract source code through a novel two-step zero-shot chain-of-thought prompting technique. Our extensive evaluation on benchmark datasets and real-world contracts demonstrates that PonziSleuth delivers comparable, and often superior, performance without the extensive data requirements, achieving a balanced detection accuracy of 96.06% with GPT-3.5-turbo, 93.91% with LLAMA3, and 94.27% with Mistral. In real-world detection, PonziSleuth successfully identified 15 new Ponzi schemes from 4,597 contracts verified by Etherscan in March 2024, with a false negative rate of 0% and a false positive rate of 0.29%. These results highlight PonziSleuth's capability to detect diverse and novel Ponzi schemes, marking a significant advancement in leveraging LLMs for enhancing blockchain security and mitigating financial scams.</t>
  </si>
  <si>
    <t>llm used for ponzi contract detection; input is smart contract source code; zero-shot chain-of-thought prompting on code; evaluation on real-world contracts; source-code-related input clearly indicated</t>
  </si>
  <si>
    <t>Attacks and Defenses for Large Language Models on Coding Tasks | Proceedings of the 39th IEEE/ACM International Conference on Automated Software Engineering</t>
  </si>
  <si>
    <t>https://dl.acm.org/doi/10.1145/3691620.3695297</t>
  </si>
  <si>
    <t>Modern large language models (LLMs), such as ChatGPT, have demonstrated impressive capabilities for coding tasks, including writing and reasoning about code. They improve upon previous neural network models of code, such as code2seq or seq2seq, that already demonstrated competitive results when performing tasks such as code summarization and identifying code vulnerabilities. However, these previous code models were shown vulnerable to adversarial examples, i.e., small syntactic perturbations designed to "fool" the models. In this paper, we first aim to study the transferability of adversarial examples, generated through white-box attacks on smaller code models, to LLMs. We also propose a new attack using an LLM to generate the perturbations. Further, we propose novel cost-effective techniques to defend LLMs against such adversaries via prompting, without incurring the cost of retraining. These prompt-based defenses involve modifying the prompt to include additional information, such as examples of adversarially perturbed code and explicit instructions for reversing adversarial perturbations. Our preliminary experiments show the effectiveness of the attacks and the proposed defenses on popular LLMs such as GPT-3.5 and GPT-4.</t>
  </si>
  <si>
    <t>llm used (gpt-3.5, gpt-4); input includes adversarially perturbed code examples; code snippets as input for attacks and defenses; source-code-related input given to llm via prompts</t>
  </si>
  <si>
    <t>On the Evaluation of Large Language Models in Unit Test Generation | Proceedings of the 39th IEEE/ACM International Conference on Automated Software Engineering</t>
  </si>
  <si>
    <t>https://dl.acm.org/doi/10.1145/3691620.3695529</t>
  </si>
  <si>
    <t>Unit testing is an essential activity in software development for verifying the correctness of software components. However, manually writing unit tests is challenging and time-consuming. The emergence of Large Language Models (LLMs) offers a new direction for automating unit test generation. Existing research primarily focuses on closed-source LLMs (e.g., ChatGPT and CodeX) with fixed prompting strategies, leaving the capabilities of advanced open-source LLMs with various prompting settings unexplored. Particularly, open-source LLMs offer advantages in data privacy protection and have demonstrated superior performance in some tasks. Moreover, effective prompting is crucial for maximizing LLMs' capabilities. In this paper, we conduct the first empirical study to fill this gap, based on 17 Java projects, five widely-used open-source LLMs with different structures and parameter sizes, and comprehensive evaluation metrics. Our findings highlight the significant influence of various prompt factors, show the performance of open-source LLMs compared to the commercial GPT-4 and the traditional Evosuite, and identify limitations in LLM-based unit test generation. We then derive a series of implications from our study to guide future research and practical use of LLM-based unit test generation.</t>
  </si>
  <si>
    <t>llms used for unit test generation; empirical study on open-source llms; input likely includes java project code context; comparison with evosuite and gpt-4; prompt factors influence performance; source-code-related input implied for test generation</t>
  </si>
  <si>
    <t>Demonstration-Free: Towards More Practical Log Parsing with Large Language Models | Proceedings of the 39th IEEE/ACM International Conference on Automated Software Engineering</t>
  </si>
  <si>
    <t>https://dl.acm.org/doi/10.1145/3691620.3694994</t>
  </si>
  <si>
    <t>Log parsing, the process of converting raw log messages into structured formats, is an important initial step for automated analysis of logs of large-scale software systems. Traditional log parsers often rely on heuristics or handcrafted features, which may not generalize well across diverse log sources or require extensive model tuning. Recently, some log parsers have utilized powerful generative capabilities of large language models (LLMs). However, they heavily rely on demonstration examples, resulting in substantial overhead in LLM invocations. To address these issues, we propose LogBatcher, a cost-effective LLM-based log parser that requires no training process or labeled data. To leverage latent characteristics of log data and reduce the overhead, we divide logs into several partitions through clustering. Then we perform a cache matching process to match logs with previously parsed log templates. Finally, we provide LLMs with better prompt context specialized for log parsing by batching a group of logs from each partition. We have conducted experiments on 16 public log datasets and the results show that LogBatcher is effective and efficient for log parsing.</t>
  </si>
  <si>
    <t>llm used for log parsing; input is raw log messages not source code; no indication of source-code-related input; focus on logs not code</t>
  </si>
  <si>
    <t>AgoneTest: Automated creation and assessment of Unit tests leveraging Large Language Models | Proceedings of the 39th IEEE/ACM International Conference on Automated Software Engineering</t>
  </si>
  <si>
    <t>https://dl.acm.org/doi/10.1145/3691620.3695318</t>
  </si>
  <si>
    <t>Software correctness is crucial, with unit testing playing an indispensable role in the software development lifecycle. However, creating unit tests is time-consuming and costly, underlining the need for automation. Leveraging Large Language Models (LLMs) for unit test generation is a promising solution, but existing studies focus on simple, small-scale scenarios, leaving a gap in understanding LLMs' performance in real-world applications, particularly regarding integration and assessment efficacy at scale. Here, we present AgoneTest, a system focused on automatically generating and evaluating complex class-level test suites. Our contributions include a scalable automated system, a newly developed dataset for rigorous evaluation, and a detailed methodology for test quality assessment.</t>
  </si>
  <si>
    <t>uses llm for unit test generation; focuses on complex class-level test suites; implies input of class-level code context for test generation and assessment; automated system for test quality assessment</t>
  </si>
  <si>
    <t>Towards Autonomous Testing Agents via Conversational Large Language Models | Proceedings of the 38th IEEE/ACM International Conference on Automated Software Engineering0148</t>
  </si>
  <si>
    <t>https://dl.acm.org/doi/10.1109/ASE56229.2023.00148</t>
  </si>
  <si>
    <t>Software testing is an important part of the development cycle, yet it requires specialized expertise and substantial developer effort to adequately test software. Recent discoveries of the capabilities of large language models (LLMs) suggest that they can be used as automated testing assistants, and thus provide helpful information and even drive the testing process. To highlight the potential of this technology, we present a taxonomy of LLM-based testing agents based on their level of autonomy, and describe how a greater level of autonomy can benefit developers in practice. An example use of LLMs as a testing assistant is provided to demonstrate how a conversational framework for testing can help developers. This also highlights how the often criticized 'hallucination' of LLMs can be beneficial for testing. We identify other tangible benefits that LLM-driven testing agents can bestow, and also discuss potential limitations.</t>
  </si>
  <si>
    <t>llm used as testing assistant; conversational framework mentioned; no explicit mention of source-code-related input; unclear if code or tests provided as input; focus on testing process and hallucination benefits</t>
  </si>
  <si>
    <t>GlitchProber: Advancing Effective Detection and Mitigation of Glitch Tokens in Large Language Models | Proceedings of the 39th IEEE/ACM International Conference on Automated Software Engineering</t>
  </si>
  <si>
    <t>https://dl.acm.org/doi/10.1145/3691620.3695060</t>
  </si>
  <si>
    <t>Large language models (LLMs) have achieved unprecedented success in the field of natural language processing. However, the black-box nature of their internal mechanisms has brought many concerns about their trustworthiness and interpretability. Recent research has discovered a class of abnormal tokens in the model's vocabulary space and named them "glitch tokens". Those tokens, once included in the input, may induce the model to produce incorrect, irrelevant, or even harmful results, drastically undermining the reliability and practicality of LLMs. In this work, we aim to enhance the understanding of glitch tokens and propose techniques for their detection and mitigation. We first reveal the characteristic features induced by glitch tokens on LLMs, which are evidenced by significant deviations in the distributions of attention patterns and dynamic information from intermediate model layers. Based on the insights, we develop GlitchProber, a tool for efficient glitch token detection and mitigation. GlitchProber utilizes small-scale sampling, principal component analysis for accelerated feature extraction, and a simple classifier for efficient vocabulary screening. Taking one step further, GlitchProber rectifies abnormal model intermediate layer values to mitigate the destructive effects of glitch tokens. Evaluated on five mainstream open-source LLMs, GlitchProber demonstrates higher efficiency, precision, and recall compared to existing approaches, with an average F1 score of 0.86 and an average repair rate of 50.06%. GlitchProber unveils a novel path to address the challenges posed by glitch tokens and inspires future research toward more robust and interpretable LLMs.</t>
  </si>
  <si>
    <t>uses llms; focuses on glitch tokens detection and mitigation; no explicit mention of source-code-related input; input type unclear from abstract; possibly natural language only</t>
  </si>
  <si>
    <t>Leveraging Large Language Model to Assist Detecting Rust Code Comment Inconsistency | Proceedings of the 39th IEEE/ACM International Conference on Automated Software Engineering</t>
  </si>
  <si>
    <t>https://dl.acm.org/doi/10.1145/3691620.3695010</t>
  </si>
  <si>
    <t>Rust is renowned for its robust memory safety capabilities, yet its distinctive memory management model poses substantial challenges in both writing and understanding programs. Within Rust source code, comments are employed to clearly delineate conditions that might cause panic behavior, thereby warning developers about potential hazards associated with specific operations. Therefore, comments are particularly crucial for documenting Rust's program logic and design. Nevertheless, as modern software frequently undergoes updates and modifications, maintaining the accuracy and relevance of these comments becomes a labor-intensive endeavor. In this paper, inspired by the remarkable capabilities of Large Language Models (LLMs) in understanding software programs, we propose a code-comment inconsistency detection tool, namely RustC4, that combines program analysis and LLM-driven techniques to identify inconsistencies in code comments. RustC4 leverages LLMs' ability to interpret natural language descriptions within code comments, facilitating the extraction of design constraints. Program analysis techniques are then employed to accurately verify the implementation of these constraints. To evaluate the effectiveness of RustC4, we construct a dataset from 12 large-scale real-world Rust projects. The experiment results demonstrate that RustC4 is effective in detecting 176 real inconsistent cases and 23 of them have been confirmed and fixed by developers by the time this paper was submitted.</t>
  </si>
  <si>
    <t>uses llm to interpret natural language in code comments; combines with program analysis to verify constraints; comments are source-code-related input; detects code-comment inconsistencies in rust projects</t>
  </si>
  <si>
    <t>Towards Understanding the Effectiveness of Large Language Models on Directed Test Input Generation | Proceedings of the 39th IEEE/ACM International Conference on Automated Software Engineering</t>
  </si>
  <si>
    <t>https://dl.acm.org/doi/10.1145/3691620.3695513</t>
  </si>
  <si>
    <t>Automatic testing has garnered significant attention and success over the past few decades. Techniques such as unit testing and coverage-guided fuzzing have revealed numerous critical software bugs and vulnerabilities. However, a long-standing, formidable challenge for existing techniques is how to achieve higher testing coverage. Constraint-based techniques, such as symbolic execution and concolic testing, have been well-explored and integrated into the existing approaches. With the popularity of Large Language Models (LLMs), recent research efforts to design tailored prompts to generate inputs that can reach more uncovered target branches. However, the effectiveness of using LLMs for generating such directed inputs and the comparison with the proven constraint-based solutions has not been systematically explored.To bridge this gap, we conduct the first systematic study on the mainstream LLMs and constraint-based tools for directed input generation with a comparative perspective. We find that LLMs such as ChatGPT are comparable to or even better than the constraint-based tools, succeeding in 43.40%-58.57% samples in our dataset. Meanwhile, there are also limitations for LLMs in specific scenarios such as sequential calculation, where constraint-based tools are in a position of strength. Based on these findings, we propose a simple yet effective method to combine these two types of tools and implement a prototype based on ChatGPT and constraint-based tools. Our evaluation shows that our approach can outperform the baselines by 1.4x to 2.3x relatively. We believe our study can provide novel insights into directed input generation using LLMs, and our findings are essential for future testing research.</t>
  </si>
  <si>
    <t>llm used for directed test input generation; unclear if llm input includes source-code-related context or only natural language prompts; no explicit mention of code snippets or code elements given to llm</t>
  </si>
  <si>
    <t>Effective Vulnerable Function Identification based on CVE Description Empowered by Large Language Models | Proceedings of the 39th IEEE/ACM International Conference on Automated Software Engineering</t>
  </si>
  <si>
    <t>https://dl.acm.org/doi/10.1145/3691620.3695013</t>
  </si>
  <si>
    <t>Open-source software (OSS) has profoundly transformed the software development paradigm by facilitating effortless code reuse. However, in recent years, there has been an alarming increase in disclosed vulnerabilities within OSS, posing significant security risks to downstream users. Therefore, analyzing existing vulnerabilities and precisely assessing their threats to downstream applications become pivotal. Plenty of efforts have been made recently towards this problem, such as vulnerability reachability analysis and vulnerability reproduction. The key to these tasks is identifying the vulnerable function (i.e., the function where the root cause of a vulnerability resides). However, public vulnerability datasets (e.g., NVD) rarely include this information as pinpointing the exact vulnerable functions remains to be a longstanding challenge. Existing methods mainly detect vulnerable functions based on vulnerability patches or Proof-of-Concept (PoC). However, such methods face significant limitations due to data availability and the requirement for extensive manual efforts, thus hindering scalability. To address this issue, we propose a novel approach VFFinder that localizes vulnerable functions based on Common Vulnerabilities and Exposures (CVE) descriptions and the corresponding source code utilizing Large Language Models (LLMs). Specifically, VFFinder adopts a customized in-context learning (ICL) approach based on CVE description patterns to enable LLM to extract key entities. It then performs priority matching with the source code to localize vulnerable functions. We assess the performance of VFFinder on 75 large open-source projects. The results demonstrate that VFFinder surpasses existing baselines significantly. Notably, the Top-1 and MRR metrics have been improved substantially, averaging 4.25X and 2.37X respectively. We also integrate VFFinder with Software Composition Analysis (SCA) tools, and the results show that our tool can reduce the false positive rates of existing SCA tools significantly.</t>
  </si>
  <si>
    <t>uses llm; llm input includes cve descriptions and corresponding source code; source code context used for vulnerable function localization; clear code-related input to llm</t>
  </si>
  <si>
    <t>JavaBench: A Benchmark of Object-Oriented Code Generation for Evaluating Large Language Models | Proceedings of the 39th IEEE/ACM International Conference on Automated Software Engineering</t>
  </si>
  <si>
    <t>https://dl.acm.org/doi/10.1145/3691620.3695470</t>
  </si>
  <si>
    <t>Code generation benchmarks such as HumanEval are widely adopted to evaluate LLMs’ capabilities. However, after consolidating the latest 24 benchmarks, we noticed three significant imbalances. First, imbalanced programming language. 95.8% of benchmarks involve Python, while only 5 benchmarks involve Java, resulting in an in- sufficient understanding of LLMs’ capability to generate Java code. Second, imbalanced code granularity. Function-/statement-level benchmarks account for over 83.3% of benchmarks. Only a mere hand- ful extends to class-/project-levels, and all are limited to Python. Third, lacking advanced features. Existing benchmarks primarily assess basic coding skills (e.g., variables, operators, and control struc- tures), while overlooking advanced Object-Oriented Programming (OOP) features (i.e., encapsulation, inheritance, and polymorphism). Considering the prevalence of these advanced features in real-world Java project development, constructing benchmarks to test LLMs on handling OOP features is necessary. To fill these gaps, we propose JavaBench, a project-level Java benchmark that exercises OOP features. It comprises four Java projects with 389 methods in 106 Java classes. The test coverage is up to 92%, and JavaBench is attested by 282 undergraduate students, reaching a 90.93/100 average score (i.e., pass rate against the test suite), ensuring the quality of documentation, code skeleton, and tests. To better evaluate LLM’s capability against JavaBench, we introduce a systematic evaluation design covering three context settings and five synthesis strategies at two granularities using three hierarchical metrics. Our extensive experiment yields several interesting findings. First, we noticed that regarding project-level Java programming, LLMs are far behind undergraduate stu- dents (no project can be correctly completed by any studied LLMs, and at most 41.17% Pass@5 in a more relaxed evaluation). Sec- ond, using method signature as prompt context may strike an ideal balance for project-level code generation. JavaBench is publicly available at https://github.com/java-bench/JavaBench. We also re- lease a leaderboard and invite model developers to participate and test their models against JavaBench at https://java-bench.github. io/leaderboard.html.</t>
  </si>
  <si>
    <t>llms evaluated on java code generation; method signatures used as prompt context; project-level code generation; code-related input given to llms</t>
  </si>
  <si>
    <t>Instructive Code Retriever: Learn from Large Language Model's Feedback for Code Intelligence Tasks | Proceedings of the 39th IEEE/ACM International Conference on Automated Software Engineering</t>
  </si>
  <si>
    <t>https://dl.acm.org/doi/10.1145/3691620.3694997</t>
  </si>
  <si>
    <t>Recent studies proposed to leverage large language models (LLMs) with In-Context Learning (ICL) to handle code intelligence tasks without fine-tuning. ICL employs task instructions and a set of examples as demonstrations to guide the model in generating accurate answers without updating its parameters. While ICL has proven effective for code intelligence tasks, its performance heavily relies on the selected examples. Previous work has achieved some success in using BM25 to retrieve examples for code intelligence tasks. However, existing approaches lack the ability to understand the semantic and structural information of queries, resulting in less helpful demonstrations. Moreover, they do not adapt well to the complex and dynamic nature of user queries in diverse domains. In this paper, we introduce a novel approach named Instructive Code Retriever (ICR), which is designed to retrieve examples that enhance model inference across various code intelligence tasks and datasets. We enable ICR to learn the semantic and structural information of the corpus by a tree-based loss function. To better understand the correlation between queries and examples, we incorporate the feedback from LLMs to guide the training of the retriever. Experimental results demonstrate that our retriever significantly outperforms state-of-the-art approaches. We evaluate our model's effectiveness on various tasks, i.e., code summarization, program synthesis, and bug fixing. Compared to previous state-of-the-art algorithms, our method achieved improvements of 50.0% and 90.0% in terms of BLEU-4 for two code summarization datasets, 74.6% CodeBLEU on program synthesis dataset, and increases of 3.6 and 3.2 BLEU-4 on two bug fixing datasets.</t>
  </si>
  <si>
    <t>uses llm with in-context learning; retrieves examples including code snippets for input; tasks include code summarization, synthesis, bug fixing; retrieval guided by llm feedback; input includes source-code-related context as examples</t>
  </si>
  <si>
    <t>retrieval-based context, code</t>
  </si>
  <si>
    <t>What Makes a High-Quality Training Dataset for Large Language Models: A Practitioners' Perspective | Proceedings of the 39th IEEE/ACM International Conference on Automated Software Engineering</t>
  </si>
  <si>
    <t>https://dl.acm.org/doi/10.1145/3691620.3695061</t>
  </si>
  <si>
    <t>Large Language Models (LLMs) have demonstrated remarkable performance in various application domains, largely due to their self-supervised pre-training on extensive high-quality text datasets. However, despite the importance of constructing such datasets, many leading LLMs lack documentation of their dataset construction and training procedures, leaving LLM practitioners with a limited understanding of what makes a high-quality training dataset for LLMs. To fill this gap, we initially identified 18 characteristics of high-quality LLM training datasets, as well as 10 potential data pre-processing methods and 6 data quality assessment methods, through detailed interviews with 13 experienced LLM professionals. We then surveyed 219 LLM practitioners from 23 countries across 5 continents. We asked our survey respondents to rate the importance of these characteristics, provide a rationale for their ratings, specify the key data pre-processing and data quality assessment methods they used, and highlight the challenges encountered during these processes. From our analysis, we identified 13 crucial characteristics of high-quality LLM datasets that receive a high rating, accompanied by key rationale provided by respondents. We also identified some widely-used data pre-processing and data quality assessment methods, along with 7 challenges encountered during these processes. Based on our findings, we discuss the implications for researchers and practitioners aiming to construct high-quality training datasets for optimizing LLMs.</t>
  </si>
  <si>
    <t>focuses on dataset quality for llm training; no explicit mention of llm usage with source code input; survey of practitioners about dataset characteristics; unclear if source-code-related input is part of training data or llm input</t>
  </si>
  <si>
    <t>Exploring Parameter-Efficient Fine-Tuning of Large Language Model on Automated Program Repair | Proceedings of the 39th IEEE/ACM International Conference on Automated Software Engineering</t>
  </si>
  <si>
    <t>https://dl.acm.org/doi/10.1145/3691620.3695066</t>
  </si>
  <si>
    <t>Automated Program Repair (APR) aims to fix bugs by generating patches. And existing work has demonstrated that "pre-training and fine-tuning" paradigm enables Large Language Models (LLMs) improve fixing capabilities on APR. However, existing work mainly focuses on Full-Model Fine-Tuning (FMFT) for APR and limited research has been conducted on the execution-based evaluation of Parameter-Efficient Fine-Tuning (PEFT) for APR. Comparing to FMFT, PEFT can reduce computing resource consumption without compromising performance and has been widely adopted to other software engineering tasks. To fill this gap, we enhance the existing APR dataset by employing prompt engineering to create an instruction dataset, APR-Instruction, at first. Secondly, we fine-tune four pre-trained LLMs using four different PEFT methods with APR-Instruction. The best fine-tuned model fixes 58% more bugs than the state-of-the-art LLM-based APR techniques. The results also show that (IA)3 improves the creativity of LLMs more effectively through fine-tuning and achieves the highest fixing capability compared to the other three PEFT methods. Thirdly, we explore the optimal configuration of PEFT hyperparameters, and assess the impact of instruction dataset size, showing that a larger number of parameters and a larger training dataset do not necessarily result in better performance for PEFT. Lastly, we analyze peak memory usage and trainable parameters to show the efficiency of PEFT. This work provides a comprehensive exploration of PEFT on APR and suggests potentially promising directions for extension to other software engineering downstream tasks. APR-Instruction, PEFT weights, and the fine-tuning code are publicly available as open-source resources.</t>
  </si>
  <si>
    <t>llm fine-tuned for automated program repair; apr involves fixing bugs in code; prompt engineering to create instruction dataset likely includes code snippets; fine-tuning on apr dataset implies source-code-related input; performance measured by bug fixing capability; apr inherently requires code context as input</t>
  </si>
  <si>
    <t>The Plastic Surgery Hypothesis in the Era of Large Language Models | Proceedings of the 38th IEEE/ACM International Conference on Automated Software Engineering0047</t>
  </si>
  <si>
    <t>https://dl.acm.org/doi/10.1109/ASE56229.2023.00047</t>
  </si>
  <si>
    <t>Automated Program Repair (APR) aspires to automatically generate patches for an input buggy program. Traditional APR tools typically focus on specific bug types and fixes through the use of templates, heuristics, and formal specifications. However, these techniques are limited in terms of the bug types and patch variety they can produce. As such, researchers have designed various learning-based APR tools with recent work focused on directly using Large Language Models (LLMs) for APR. While LLM-based APR tools are able to achieve state-of-the-art performance on many repair datasets, the LLMs used for direct repair are not fully aware of the project-specific information such as unique variable or method names. The plastic surgery hypothesis is a well-known insight for APR, which states that the code ingredients to fix the bug usually already exist within the same project. Traditional APR tools have largely leveraged the plastic surgery hypothesis by designing manual or heuristic-based approaches to exploit such existing code ingredients. However, as recent APR research starts focusing on LLM-based approaches, the plastic surgery hypothesis has been largely ignored. In this paper, we ask the following question: How useful is the plastic surgery hypothesis in the era of LLMs? Interestingly, LLM-based APR presents a unique opportunity to fully automate the plastic surgery hypothesis via fine-tuning (training on the buggy project) and prompting (directly providing valuable code ingredients as hints to the LLM). To this end, we propose FitRepair, which combines the direct usage of LLMs with two domain-specific fine-tuning strategies and one prompting strategy (via information retrieval and static analysis) for more powerful APR. While traditional APR techniques require intensive manual efforts in both generating patches based on the plastic surgery hypothesis and guaranteeing patch validity, our approach is fully automated and general. Moreover, while it is very challenging to manually design heuristics/patterns for effectively leveraging the hypothesis, due to the power of LLMs in code vectorization/understanding, even partial/imprecise project-specific information can still guide LLMs in generating correct patches! Our experiments on the widely studied Defects4j 1.2 and 2.0 datasets show that FitRepair fixes 89 and 44 bugs (substantially outperforming baseline techniques by 15 and 8), respectively, demonstrating a promising future of the plastic surgery hypothesis in the era of LLMs.</t>
  </si>
  <si>
    <t>uses llm for automated program repair; llm fine-tuned on buggy project code; uses prompting with code ingredients as hints; leverages project-specific code context; static analysis and information retrieval used to provide input to llm</t>
  </si>
  <si>
    <t>code, static analysis output, retrieval-based context</t>
  </si>
  <si>
    <t>LeGEND: A Top-Down Approach to Scenario Generation of Autonomous Driving Systems Assisted by Large Language Models | Proceedings of the 39th IEEE/ACM International Conference on Automated Software Engineering</t>
  </si>
  <si>
    <t>https://dl.acm.org/doi/10.1145/3691620.3695520</t>
  </si>
  <si>
    <t>In this paper, we propose LeGEND that features a top-down style of scenario generation for testing of the ADS that starts with functional scenarios and then steps downwards. Specifically, LeGEND employs two LLMs to transform functional scenarios to formal logical scenarios, and then searches with the logical scenarios for critical scenarios. To avoid unrealistic scenarios at the functional level, LeGEND selects functional scenarios from real-world accident reports and employs an intermediate representation, called interactive pattern sequence, to record the featured events and their logical relations in reports. Experimental results on the industrial-grade ADS, Baidu Apollo, demonstrate that LeGEND can generate a more diverse set of critical scenarios compared to existing approaches.</t>
  </si>
  <si>
    <t>llms transform functional scenarios to logical scenarios; input is scenario descriptions from accident reports; no mention of source-code-related input to llms; focus on scenario generation and testing for autonomous driving systems; no code or code-related artifacts given to llms</t>
  </si>
  <si>
    <t>The Potential of One-Shot Failure Root Cause Analysis: Collaboration of the Large Language Model and Small Classifier | Proceedings of the 39th IEEE/ACM International Conference on Automated Software Engineering</t>
  </si>
  <si>
    <t>https://dl.acm.org/doi/10.1145/3691620.3695475</t>
  </si>
  <si>
    <t>Failure root cause analysis (RCA), which systematically identifies underlying faults, is essential for ensuring the reliability of widely adopted microservice-based applications and cloud-native systems. However, manual analysis by simple rules faces significant burdens due to the heterogeneous nature of resource entities and the massive amount of observability data. Furthermore, existing approaches for automating RCA struggle to perform in-depth fault analysis without extensive fault labels. To address the scarcity of fault labels, we examine an extreme RCA scenario where each fault type has only one example (one-shot). We propose LasRCA, a framework for one-hot RCA in cloud-native systems that leverages the collaboration of the large language model (LLM) and the small classifier. In the training stage, LasRCA initially trains a small classifier based on one-shot fault examples. The small classifier then iteratively selects high-confusion samples and receives feedback on their fault types from LLM-driven fault labeling. These samples are applied to retrain the small classifier. In the inference stage, LasRCA performs a joint RCA through the collaboration of the LLM and small classifier, achieving a trade-off between effectiveness and cost. Experiment results on public datasets with heterogeneous nature and prevalent fault types show the effectiveness of LasRCA in one-shot RCA.</t>
  </si>
  <si>
    <t>llm used for fault labeling; input context not clearly specified; no explicit mention of source-code-related input; focus on observability data and fault types; unclear if code or code-related artifacts given to llm</t>
  </si>
  <si>
    <t>An Empirical Study on Fine-Tuning Large Language Models of Code for Automated Program Repair | Proceedings of the 38th IEEE/ACM International Conference on Automated Software Engineering0181</t>
  </si>
  <si>
    <t>https://dl.acm.org/doi/10.1109/ASE56229.2023.00181</t>
  </si>
  <si>
    <t>The advent of large language models (LLMs) has opened up new opportunities for automated program repair (APR). In particular, some recent studies have explored how to leverage large language models of code (LLMCs) for program repair tasks and show promising results. However, most of them adopt the zero/few-shot learning paradigm for APR, which directly use LLMCs to generate the possibly correct code given its surrounding context. Though effective, the repair capabilities of LLMCs based on the fine-tuning paradigm have yet to be extensively explored. Also, it remains unknown whether LLMCs have the potential to repair more complicated bugs (e.g., multi-hunk bugs). To fill the gap, in this work, we conduct a comprehensive study on the program repair capability of LLMCs in the fine-tuning paradigm. We select 5 popular LLMCs with representative pre-training architectures, including CodeBERT, GraphCode-BERT, PLBART, CodeT5, and UniX coder. We consider 3 typical program repair scenarios (i.e., bugs, vulnerabilities, and errors) involving 3 programming languages (i.e., Java, &lt;tex xmlns:mml="http://www.w3.org/1998/Math/MathML" xmlns:xlink="http://www.w3.org/1999/xlink"&gt;$\mathrm{C}/\mathrm{C}++$&lt;/tex&gt; , and JavaScript). Notably, we take both single-hunk and multi-hunk bugs/vulnerabilities into account. We then fine-tune them on widely-used datasets and compare them with existing state-of-the-art APR tools. We also investigate the impact of different design choices, which include code abstractions, code representations, and model evaluation metrics. Our experimental results show that LLMCs in the fine-tuning paradigm can significantly outperform previous state-of-the-art APR tools. Through in-depth analysis, we provide insights into choosing appropriate strategies to guide LLMCs for better performance. Lastly, we reveal several limitations of LLMCs for APR and make suggestions for future research on LLMC-based APR.</t>
  </si>
  <si>
    <t>llms of code used; fine-tuning paradigm implies input of code context; program repair requires code snippets as input; multiple programming languages mentioned; considers single-hunk and multi-hunk bugs (code context)</t>
  </si>
  <si>
    <t>The Devil is in the Tails: How Long-Tailed Code Distributions Impact Large Language Models | Proceedings of the 38th IEEE/ACM International Conference on Automated Software Engineering0157</t>
  </si>
  <si>
    <t>https://dl.acm.org/doi/10.1109/ASE56229.2023.00157</t>
  </si>
  <si>
    <t>Learning-based techniques, especially advanced Large Language Models (LLMs) for code, have gained considerable popularity in various software engineering (SE) tasks. However, most existing works focus on designing better learning-based models and pay less attention to the properties of datasets. Learning-based models, including popular LLMs for code, heavily rely on data, and the data's properties (e.g., data distribution) could significantly affect their behavior. We conducted an exploratory study on the distribution of SE data and found that such data usually follows a skewed distribution (i.e., long-tailed distribution) where a small number of classes have an extensive collection of samples, while a large number of classes have very few samples. We investigate three distinct SE tasks and analyze the impacts of long-tailed distribution on the performance of LLMs for code. Our experimental results reveal that the long-tailed distribution has a substantial impact on the effectiveness of LLMs for code. Specifically, LLMs for code perform between 30.0% and 254.0% worse on data samples associated with infrequent labels compared to data samples of frequent labels. Our study provides a better understanding of the effects of long-tailed distributions on popular LLMs for code and insights for the future development of SE automation.</t>
  </si>
  <si>
    <t>llm for code used; focus on data distribution impact; no explicit mention of source-code input given to llm; unclear if code snippets or related context provided as input</t>
  </si>
  <si>
    <t>Getting Inspiration for Feature Elicitation: App Store- vs. LLM-based Approach | Proceedings of the 39th IEEE/ACM International Conference on Automated Software Engineering</t>
  </si>
  <si>
    <t>https://dl.acm.org/doi/10.1145/3691620.3695591</t>
  </si>
  <si>
    <t>International audience</t>
  </si>
  <si>
    <t>abstract missing; title suggests comparison of app store data vs llm approach for feature elicitation; unclear if llm input includes source code or only natural language app descriptions or metadata</t>
  </si>
  <si>
    <t>Test-Driven Development and LLM-based Code Generation | Proceedings of the 39th IEEE/ACM International Conference on Automated Software Engineering</t>
  </si>
  <si>
    <t>https://dl.acm.org/doi/10.1145/3691620.3695527</t>
  </si>
  <si>
    <t>Recent Large Language Models (LLMs) have demonstrated significant capabilities in generating code snippets directly from problem statements. This increasingly automated process mirrors traditional human-led software development, where code is often written in response to a requirement. Historically, Test-Driven Development (TDD) has proven its merit, requiring developers to write tests before the functional code, ensuring alignment with the initial problem statements. Applying TDD principles to LLM-based code generation offers one distinct benefit: it enables developers to verify the correctness of generated code against predefined tests. This paper investigates if and how TDD can be incorporated into AI-assisted code-generation processes. We experimentally evaluate our hypothesis that providing LLMs like GPT-4 and Llama 3 with tests in addition to the problem statements enhances code generation outcomes. We experimented with established function-level code generation benchmarks such as MBPP and HumanEval. Our results consistently demonstrate that including test cases leads to higher success in solving programming challenges. We assert that TDD is a promising paradigm for helping ensure that the code generated by LLMs effectively captures the requirements.</t>
  </si>
  <si>
    <t>llms used gpt-4 and llama 3; input includes problem statements plus test cases; tests are source-code-related input; benchmarks involve function-level code generation with tests</t>
  </si>
  <si>
    <t>A First Look at LLM-powered Smartphones | Proceedings of the 39th IEEE/ACM International Conference on Automated Software Engineering Workshops</t>
  </si>
  <si>
    <t>https://dl.acm.org/doi/10.1145/3691621.3694952</t>
  </si>
  <si>
    <t>The integration of Large Language Models (LLMs) into edge devices such as smartphones represents a significant leap in mobile technology, promising enhanced user experiences and novel functionalities. This paper presents a first look at LLM-powered smartphones, addressing four key aspects: the current market landscape, core functions enabled by integrated LLMs, potential security risks, and user perceptions. The findings reveal a rapidly evolving market with major manufacturers competing to integrate LLMs, innovative features that improve user interaction, significant security challenges, and mixed user perceptions that balance enthusiasm for new capabilities with privacy concerns. This study contributes to understanding LLM integration in mobile devices and its implications for users, manufacturers, and the broader technological landscape.</t>
  </si>
  <si>
    <t>llm integration discussed; focus on smartphones and user features; no mention of source-code-related input to llm; security and user perception focus; no clear evidence of code context given to llm</t>
  </si>
  <si>
    <t>A Conceptual Framework for Quality Assurance of LLM-based Socio-critical Systems | Proceedings of the 39th IEEE/ACM International Conference on Automated Software Engineering</t>
  </si>
  <si>
    <t>https://dl.acm.org/doi/10.1145/3691620.3695306</t>
  </si>
  <si>
    <t>Recent breakthroughs in Artificial Intelligence (AI) obfuscate the boundaries between digital, physical, and social spaces, a trend expected to continue in the foreseeable future. Traditionally, software engineering has prioritized technical aspects, focusing on functional correctness and reliability while often neglecting broader societal implications. With the rise of software agents enabled by Large Language Models (LLMs) and capable of emulating human intelligence and perception, there is a growing recognition of the need for addressing socio-critical issues. Unlike technical challenges, these issues cannot be resolved through traditional, deterministic approaches due to their subjective nature and dependence on evolving factors such as culture and demographics. This paper dives into this problem and advocates the need for revising existing engineering principles and methodologies. We propose a conceptual framework for quality assurance where AI is not only the driver of socio-critical systems but also a fundamental tool in their engineering process. Such framework encapsulates pre-production and runtime workflows where LLM-based agents, so-called artificial doppelgängers, continuously assess and refine socio-critical systems ensuring their alignment with established societal standards.</t>
  </si>
  <si>
    <t>llm used for socio-critical system quality assurance; focus on societal standards and continuous assessment; no explicit mention of source-code-related input to llm; input context unclear from abstract</t>
  </si>
  <si>
    <t>CoDefeater: Using LLMs To Find Defeaters in Assurance Cases | Proceedings of the 39th IEEE/ACM International Conference on Automated Software Engineering</t>
  </si>
  <si>
    <t>https://dl.acm.org/doi/10.1145/3691620.3695296</t>
  </si>
  <si>
    <t>Constructing assurance cases is a widely used and sometimes required process toward demonstrating that safety-critical systems will operate safely in their planned environment. To mitigate the risk of errors and missing edge cases, the concept of defeaters - challenges to claims in an assurance case - has been introduced. Defeaters can detect weaknesses in the arguments, prompting further investigation and timely mitigations. However, capturing defeaters relies on expert judgment, experience, and creativity and must be done iteratively due to evolving requirements and regulations. In this paper, we propose CoDefeater, an automated process to leverage large language models (LLMs) for finding defeaters. Initial results on two systems show that LLMs can efficiently find known and unforeseen feasible defeaters to support safety analysts in enhancing the completeness and confidence of assurance cases.</t>
  </si>
  <si>
    <t>llm used to find defeaters in assurance cases; focus on safety arguments rather than code; no explicit mention of source-code-related input; input context unclear if includes code elements or just natural language claims</t>
  </si>
  <si>
    <t>Unity Is Strength: Collaborative LLM-Based Agents for Code Reviewer Recommendation | Proceedings of the 39th IEEE/ACM International Conference on Automated Software Engineering</t>
  </si>
  <si>
    <t>https://dl.acm.org/doi/10.1145/3691620.3695291</t>
  </si>
  <si>
    <t>Assigning pull requests to appropriate code reviewers can accelerate the review process and help uncover potential bugs. However, the inherent complexities in pull requests and code reviewers present challenges in making suitable matches between them. Prior studies focus on mining rich semantic information from pull requests or profile information from code reviewers to improve efficiency. These approaches often overlook the intrinsic relationships between pull requests and code reviewers, which can be represented by a combination of multiple factors and strategies, resulting in suboptimal recommendation accuracy. To address this issue, we propose CoRe, a collaborative agent-based code reviewer recommendation approach that emphasizes flexibility and adaptability. We leverage Large Language Models (LLMs) to precisely capture the rich textual semantics of both pull requests and reviewers. Additionally, we integrate various factors into the recommendation process through the robust planning, collaboration, and decision-making capabilities of multi-agent systems. This integration significantly enhances the performance of LLM-based code reviewer recommendations. We evaluate the effectiveness of our approach on four widely used projects. The results demonstrate that CoRe outperforms state-of-the-art methods in both performance and interpretability.</t>
  </si>
  <si>
    <t>uses llm for code reviewer recommendation; input includes pull requests which contain code changes; pull requests are source-code-related context; integrates multiple factors including textual semantics of pull requests and reviewers</t>
  </si>
  <si>
    <t>code, historical context, natural language</t>
  </si>
  <si>
    <t>AdvSCanner: Generating Adversarial Smart Contracts to Exploit Reentrancy Vulnerabilities Using LLM and Static Analysis | Proceedings of the 39th IEEE/ACM International Conference on Automated Software Engineering</t>
  </si>
  <si>
    <t>https://dl.acm.org/doi/10.1145/3691620.3695482</t>
  </si>
  <si>
    <t>Smart contracts are prone to vulnerabilities, with reentrancy attacks posing significant risks due to their destructive potential. While various methods exist for detecting reentrancy vulnerabilities in smart contracts, such as static analysis, these approaches often suffer from high false positive rates and lack the ability to directly illustrate how vulnerabilities can be exploited in attacks. In this paper, we tackle the challenging task of generating ASCs for identified reentrancy vulnerabilities. To address this difficulty, we introduce AdvSCanner, a novel method that leverages the Large Language Model (LLM) and static analysis to automatically generate adversarial smart contracts (ASCs) designed to exploit reentrancy vulnerabilities in victim contracts. The basic idea of AdvSCanner is to extract attack flows associated with reentrancy vulnerabilities using static analysis and utilize them to guide LLM in generating ASCs. To mitigate the inherent inaccuracies in LLM outputs, AdvSCanner incorporates a self-reflection component, which collects compilation and attack-triggering feedback from the generated ASCs and refines the ASC generation if necessary. Experimental evaluations demonstrate the effectiveness of AdvSCanner, achieving a significantly higher success rate (76.41%) compared to baseline methods, which only achieve 6.92% and 18.97%, respectively. Furthermore, a case study illustrates that AdvSCanner can greatly reduce auditing time from 24 hours (without assistance) to approximately 3 hours when used during the auditing process.</t>
  </si>
  <si>
    <t>llm used to generate adversarial smart contracts; input guided by extracted attack flows from static analysis; static analysis output used as input context; self-reflection uses compilation and attack-triggering feedback (code-related)</t>
  </si>
  <si>
    <t>static analysis output, dynamic/runtime context</t>
  </si>
  <si>
    <t>HITS: High-coverage LLM-based Unit Test Generation via Method Slicing | Proceedings of the 39th IEEE/ACM International Conference on Automated Software Engineering</t>
  </si>
  <si>
    <t>https://dl.acm.org/doi/10.1145/3691620.3695501</t>
  </si>
  <si>
    <t>Large language models (LLMs) have behaved well in generating unit tests for Java projects. However, the performance for covering the complex focal methods within the projects is poor. Complex methods comprise many conditions and loops, requiring the test cases to be various enough to cover all lines and branches. However, existing test generation methods with LLMs provide the whole method-to-test to the LLM without assistance on input analysis. The LLM has difficulty inferring the test inputs to cover all conditions, resulting in missing lines and branches. To tackle the problem, we propose decomposing the focal methods into slices and asking the LLM to generate test cases slice by slice. Our method simplifies the analysis scope, making it easier for the LLM to cover more lines and branches in each slice. We build a dataset comprising complex focal methods collected from the projects used by existing state-of-the-art approaches. Our experiment results show that our method significantly outperforms current test case generation methods with LLMs and the typical SBST method Evosuite regarding both line and branch coverage scores.</t>
  </si>
  <si>
    <t>llm used for unit test generation; input includes method slices (program slices); source-code-related input given to llm; focus on covering complex methods by slicing</t>
  </si>
  <si>
    <t>graph-based expansion</t>
  </si>
  <si>
    <t>LLM Meets Bounded Model Checking: Neuro-symbolic Loop Invariant Inference | Proceedings of the 39th IEEE/ACM International Conference on Automated Software Engineering</t>
  </si>
  <si>
    <t>https://dl.acm.org/doi/10.1145/3691620.3695014</t>
  </si>
  <si>
    <t>Loop invariant inference, a key component in program verification, is a challenging task due to the inherent undecidability and complex loop behaviors in practice. Recently, machine learning based techniques have demonstrated impressive performance in generating loop invariants automatically. However, these methods highly rely on the labeled training data, and are intrinsically random and uncertain, leading to unstable performance. In this paper, we investigate a synergy of large language models (LLMs) and bounded model checking (BMC) to address these issues. The key observation is that, although LLMs may not be able to return the correct loop invariant in one response, they usually can provide all individual predicates of the correct loop invariant in multiple responses. To this end, we propose a "query-filter-reassemble" strategy, namely, we first leverage the language generation power of LLMs to produce a set of candidate invariants, where training data is not needed. Then, we employ BMC to identify valid predicates from these candidate invariants, which are assembled to produce new candidate invariants and checked by off-the-shelf SMT solvers. The feedback is incorporated into the prompt for the next round of LLM querying. We expand the existing benchmark of 133 programs to 316 programs, providing a more comprehensive testing ground. Experimental results demonstrate that our approach significantly outperforms the state-of-the-art techniques, successfully generating 309 loop invariants out of 316 cases, whereas the existing baseline methods are only able to tackle 219 programs at best. The code is publicly available at https://github.com/SoftWiser-group/LaM4Inv.git.</t>
  </si>
  <si>
    <t>llm used for loop invariant inference; input includes candidate invariants which are source-code-related predicates; uses bounded model checking and smt solvers to validate predicates; loop invariants are formal specifications tied to code loops; no explicit code snippet mention but predicates are code-related static analysis outputs</t>
  </si>
  <si>
    <t>Bridging Gaps in LLM Code Translation: Reducing Errors with Call Graphs and Bridged Debuggers | Proceedings of the 39th IEEE/ACM International Conference on Automated Software Engineering</t>
  </si>
  <si>
    <t>https://dl.acm.org/doi/10.1145/3691620.3695322</t>
  </si>
  <si>
    <t>When using large language models (LLMs) for code translation of complex software, numerous compilation and runtime errors can occur due to insufficient context awareness. To address this issue, this paper presents a code translation method based on call graphs and bridged debuggers: TransGraph. TransGraph first obtains the call graph of the entire code project using the Language Server Protocol, which provides a detailed description of the function call relationships in the program. Through this structured view of the code, LLMs can more effectively handle large-scale and complex codebases, significantly reducing compilation errors. Furthermore, TransGraph, combined with bridged debuggers and dynamic test case generation, significantly reduces runtime errors, overcoming the limitations of insufficient test case coverage in traditional methods. In experiments on six datasets including CodeNet and Avatar, TransGraph outperformed existing code translation methods and LLMs in terms of translation accuracy, with improvements of up to 10.2%.</t>
  </si>
  <si>
    <t>llm used for code translation; input includes call graph of entire code project; call graph is graph-based expansion; addresses compilation and runtime errors with structured code context</t>
  </si>
  <si>
    <t>Towards Leveraging LLMs for Reducing Open Source Onboarding Information Overload | Proceedings of the 39th IEEE/ACM International Conference on Automated Software Engineering</t>
  </si>
  <si>
    <t>https://dl.acm.org/doi/10.1145/3691620.3695286</t>
  </si>
  <si>
    <t>Consistent, diverse, and quality contributions are essential to the sustainability of the open source community. Therefore, it is important that there is infrastructure for effectively onboarding and retaining diverse newcomers to open source software projects. Most often, open source projects rely on onboarding documentation to support newcomers in making their first contributions. Unfortunately, prior studies suggest that information overload from available documentation, along with the predominantly monolingual nature of repositories, can have negative effects on the newcomer experiences and onboarding process. This, coupled with the effort involved in creating and maintaining onboarding documentation, suggest a need for support in creating more accessible documentation. Large language models (LLMs) have shown great potential in providing text transformation support in other domains, and even shown promise in simplifying or generating other kinds of computing artifacts, such as source code and technical documentation. We contend that LLMs can also help make software onboarding documentation more accessible, thereby reducing the potential for information overload. Using ChatGPT (GPT-3.5 Turbo) and Gemini Pro as case studies, we assessed the effectiveness of LLMs for simplifying software onboarding documentation, one method for reducing information overload. We discuss a broader vision for using LLMs to support the creation of more accessible documentation and outline future research directions toward this vision.</t>
  </si>
  <si>
    <t>llm used for simplifying onboarding documentation; documentation related to code but unclear if given as input to llm; no explicit mention of source-code snippets or code-related input to llm; focus on natural language documentation simplification</t>
  </si>
  <si>
    <t>documentation/specifications, natural language</t>
  </si>
  <si>
    <t>LLM-Generated Invariants for Bounded Model Checking Without Loop Unrolling | Proceedings of the 39th IEEE/ACM International Conference on Automated Software Engineering</t>
  </si>
  <si>
    <t>https://dl.acm.org/doi/10.1145/3691620.3695512</t>
  </si>
  <si>
    <t>We investigate a modification of the classical Bounded Model Checking (BMC) procedure that does not handle loops through unrolling but via modifications to the control flow graph (CFG). A portion of the CFG representing a loop is replaced by a node asserting invariants of the loop. We generate these invariants using Large Language Models (LLMs) and use a first-order theorem prover to ensure the correctness of the generated statements. We thus transform programs to loop-free variants in a sound manner. Our experimental results show that the resulting tool, ESBMC ibmc, is competitive with state-of-the-art formal verifiers for programs with unbounded loops, significantly improving the number of programs verified by the industrial-strength software verifier ESBMC and verifying programs that state-of-the-art software verifiers such as SeaHorn and VeriAbs could not.</t>
  </si>
  <si>
    <t>llm generates loop invariants; invariants are source-code-related static analysis outputs; input to llm includes control flow graph portion representing loops; loop invariants are code-related formal properties</t>
  </si>
  <si>
    <t>Cross-lingual Code Clone Detection: When LLMs Fail Short Against Embedding-based Classifier</t>
  </si>
  <si>
    <t>https://dl.acm.org/doi/10.1145/3691620.3695335</t>
  </si>
  <si>
    <t>Cross-lingual code clone detection has gained attention in software development due to the use of multiple programming languages. Recent advances in machine learning, particularly Large Language Models (LLMs), have motivated a reexamination of this problem. This paper evaluates the performance of four LLMs and eight prompts for detecting cross-lingual code clones, as well as a pretrained embedding model for classifying clone pairs. Both approaches are tested on the XLCoST and CodeNet datasets. Our findings show that while LLMs achieve high F1 scores (up to 0.98) on straightforward programming examples, they struggle with complex cases and cross-lingual understanding. In contrast, embedding models, which map code fragments from different languages into a common representation space, allow for the training of a basic classifier that outperforms LLMs by approximately 2 and 24 percentage points on the XLCoST and CodeNet datasets, respectively. This suggests that embedding models provide more robust representations, enabling state-of-the-art performance in cross-lingual code clone detection.</t>
  </si>
  <si>
    <t>llms evaluated on code clone detection; input likely includes code snippets or fragments; cross-lingual code clone detection implies code input; embedding model comparison suggests code representation input</t>
  </si>
  <si>
    <t>LLM4Workflow: An LLM-based Automated Workflow Model Generation Tool | Proceedings of the 39th IEEE/ACM International Conference on Automated Software Engineering</t>
  </si>
  <si>
    <t>https://dl.acm.org/doi/10.1145/3691620.3695360</t>
  </si>
  <si>
    <t>Workflows are pervasive in software systems where business processes and scientific methods are implemented as workflow models to achieve automated process execution. However, despite the benefit of no/low-code workflow automation, creating workflow models requires in-depth domain knowledge and nontrivial workflow modeling skills, which becomes a hurdle for the proliferation of workflow applications. Recently, Large language models (LLMs) have been widely applied in software code generation given their outstanding ability to understand complex instructions and generate accurate, context-aware code. Inspired by the success of LLMs in code generation, this paper aims to investigate how to use LLMs to automate workflow model generation. We present LLM4Workflow, an LLM-based automated workflow model generation tool. Using workflow descriptions as the input, LLM4Workflow can automatically embed relevant API knowledge and leverage LLM's powerful contextual learning abilities to generate correct and executable workflow models. Its effectiveness was validated through functional verification and simulation tests on a real-world workflow system. LLM4Workflow is open sourced at https://github.com/ISEC-AHU/LLM4Workflow, and the demo video is provided at https://youtu.be/XRQ0saKkuxY.</t>
  </si>
  <si>
    <t>llm used for workflow model generation; input is workflow descriptions; unclear if input includes source-code-related context or only natural language descriptions; no explicit mention of code snippets or api signatures as input; api knowledge embedded but unclear if from input or internal knowledge</t>
  </si>
  <si>
    <t>llm used for unit test generation; input includes method slices (program slices); source-code-related input explicitly given to llm; focus on covering complex methods via slicing</t>
  </si>
  <si>
    <t>llms evaluated for code clone detection; input likely includes code snippets or code pairs; cross-lingual code clone detection implies code input; embedding model comparison suggests code representation input</t>
  </si>
  <si>
    <t>Towards LLM-augmented multiagent systems for agile software engineering</t>
  </si>
  <si>
    <t>https://dl.acm.org/doi/10.1145/3691620.3695336</t>
  </si>
  <si>
    <t>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t>
  </si>
  <si>
    <t>llm mentioned as part of multi-agent system; agents produce documentation and models; no explicit mention of llm receiving source-code-related input; focus on agile process and team simulation; source-code-related input unclear</t>
  </si>
  <si>
    <t>Enabling Cost-Effective UI Automation Testing with Retrieval-Based LLMs: A Case Study in WeChat</t>
  </si>
  <si>
    <t>https://dl.acm.org/doi/10.1145/3691620.3695260</t>
  </si>
  <si>
    <t>UI automation tests play a crucial role in ensuring the quality of mobile applications. Despite the growing popularity of machine learning techniques to generate these tests, they still face several challenges, such as the mismatch of UI elements. The recent advances in Large Language Models (LLMs) have addressed these issues by leveraging their semantic understanding capabilities. However, a significant gap remains in applying these models to industrial-level app testing, particularly in terms of cost optimization and knowledge limitation. To address this, we introduce CAT to create cost-effective UI automation tests for industry apps by combining machine learning and LLMs with best practices. Given the task description, CAT employs Retrieval Augmented Generation (RAG) to source examples of industrial app usage as the few-shot learning context, assisting LLMs in generating the specific sequence of actions. CAT then employs machine learning techniques, with LLMs serving as a complementary optimizer, to map the target element on the UI screen. Our evaluations on the WeChat testing dataset demonstrate the CAT's performance and cost-effectiveness, achieving 90% UI automation with $0.34 cost, outperforming the state-of-the-art. We have also integrated our approach into the real-world WeChat testing platform, demonstrating its usefulness in detecting 141 bugs and enhancing the developers' testing process.</t>
  </si>
  <si>
    <t>llm used for ui automation test generation; uses retrieval augmented generation with industrial app usage examples; unclear if retrieved examples include source-code-related context or only ui action sequences; no explicit mention of code snippets or code-related input to llm</t>
  </si>
  <si>
    <t>ContractTinker: LLM-Empowered Vulnerability Repair for Real-World Smart Contracts | Proceedings of the 39th IEEE/ACM International Conference on Automated Software Engineering</t>
  </si>
  <si>
    <t>https://dl.acm.org/doi/10.1145/3691620.3695349</t>
  </si>
  <si>
    <t>Smart contracts are susceptible to being exploited by attackers, especially when facing real-world vulnerabilities. To mitigate this risk, developers often rely on third-party audit services to identify potential vulnerabilities before project deployment. Nevertheless, repairing the identified vulnerabilities is still complex and labor-intensive, particularly for developers lacking security expertise. Moreover, existing pattern-based repair tools mostly fail to address real-world vulnerabilities due to their lack of high-level semantic understanding. To fill this gap, we propose ContractTinker, a Large Language Models (LLMs)-empowered tool for real-world vulnerability repair. The key insight is our adoption of the Chain-of-Thought approach to break down the entire generation task into sub-tasks. Additionally, to reduce hallucination, we integrate program static analysis to guide the LLM. We evaluate ContractTinker on 48 high-risk vulnerabilities. The experimental results show that among the patches generated by ContractTinker, 23 (48%) are valid patches that fix the vulnerabilities, while 10 (21%) require only minor modifications. A video of ContractTinker is available at https://youtu.be/HWFVi-YHcPE.</t>
  </si>
  <si>
    <t>llm used for vulnerability repair; integrates program static analysis to guide llm; static analysis output used as input to llm; real-world smart contract code context implied</t>
  </si>
  <si>
    <t>Imperceptible Content Poisoning in LLM-Powered Applications | Proceedings of the 39th IEEE/ACM International Conference on Automated Software Engineering</t>
  </si>
  <si>
    <t>https://dl.acm.org/doi/10.1145/3691620.3695001</t>
  </si>
  <si>
    <t>Large Language Models (LLMs) have shown their superior capability in natural language processing, promoting extensive LLM-powered applications to be the new portals for people to access various content on the Internet. However, LLM-powered applications do not have sufficient security considerations on untrusted content, leading to potential threats. In this paper, we reveal content poisoning, where attackers can tailor attack content that appears benign to humans but causes LLM-powered applications to generate malicious responses. To highlight the impact of content poisoning and inspire the development of effective defenses, we systematically analyze the attack, focusing on the attack modes in various content, exploitable design features of LLM application frameworks, and the generation of attack content. We carry out a comprehensive evaluation on five LLMs, where content poisoning achieves an average attack success rate of 89.60%. Additionally, we assess content poisoning on four popular LLM-powered applications, achieving the attack on 72.00% of the content. Our experimental results also show that existing defenses are ineffective against content poisoning. Finally, we discuss potential mitigations for LLM application frameworks to counter content poisoning.</t>
  </si>
  <si>
    <t>llm used; focus on content poisoning in llm-powered applications; no explicit mention of source-code-related input to llm; input context unclear if includes code or only natural language content</t>
  </si>
  <si>
    <t>iSMELL: Assembling LLMs with Expert Toolsets for Code Smell Detection and Refactoring | Proceedings of the 39th IEEE/ACM International Conference on Automated Software Engineering</t>
  </si>
  <si>
    <t>https://dl.acm.org/doi/10.1145/3691620.3695508</t>
  </si>
  <si>
    <t>Detecting and refactoring code smells is challenging, laborious, and sustaining. Although large language models have demonstrated potential in identifying various types of code smells, they also have limitations such as input-output token restrictions, difficulty in accessing repository-level knowledge, and performing dynamic source code analysis. Existing learning-based methods or commercial expert toolsets have advantages in handling complex smells. They can analyze project structures and contextual information in-depth, access global code repositories, and utilize advanced code analysis techniques. However, these toolsets are often designed for specific types and patterns of code smells and can only address fixed smells, lacking flexibility and scalability. To resolve that problem, we propose iSMELL, an ensemble approach that employs various code smell detection toolsets via Mixture of Experts (MoE) architecture for comprehensive code smell detection, and enhances the LLMs with the detection results from expert toolsets for refactoring those identified code smells. First, we train a MoE model that, based on input code vectors, outputs the most suitable expert tool for identifying each type of smell. Then, we select the recommended toolsets for code smell detection and obtain their results. Finally, we equip the prompts with the detection results from the expert toolsets, thereby enhancing the refactoring capability of LLMs for code with existing smells, enabling them to provide different solutions based on the type of smell. We evaluate our approach on detecting and refactoring three classical and complex code smells, i.e., Refused Bequest, God Class, and Feature Envy. The results show that, by adopting seven expert code smell toolsets, iSMELL achieved an average F1 score of 75.17% on code smell detection, outperforming LLMs baselines by an increase of 35.05% in F1 score. We further evaluate the code refactored by the enhanced LLM. The quantitative and human evaluation results show that iSMELL could improve code quality metrics and conduct satisfactory refactoring toward the identified code smells. We believe that our proposed solution could provide new insights into better leveraging LLMs and existing approaches to resolving complex software tasks.</t>
  </si>
  <si>
    <t>llm enhanced with detection results from expert toolsets; input includes code smell detection results (static analysis output); refactoring code smells based on detected smells; uses code vectors as input to select expert toolsets; code-related input to llm for refactoring</t>
  </si>
  <si>
    <t>LLM-Based Java Concurrent Program to ArkTS Converter | Proceedings of the 39th IEEE/ACM International Conference on Automated Software Engineering</t>
  </si>
  <si>
    <t>https://dl.acm.org/doi/10.1145/3691620.3695362</t>
  </si>
  <si>
    <t>HarmonyOS NEXT is a distributed operating system developed to support HarmonyOS native apps. To support the new and independent Harmony ecosystem, developers are required to migrate their applications from Android to HarmonyOS. However, HarmonyOS utilizes ArkTS, a superset of TypeScript, as the programming language for application development. Hence, migrating applications to HarmonyOS requires translating programs across different program languages, e.g., Java, which is known to be very challenging, especially for concurrency programs. Java utilizes shared memory to implement concurrency programs, while ArkTS relies on message passing (i.e., Actor model). This paper presents an LLM-based concurrent Java program to ArkTS converter. Our converter utilizes large language models (LLMs) for efficient code translation, integrating ArkTS's SharedArrayBuffer API to create ThreadBridge, a library that replicates Java's shared memory model. Using LLM's Chain-of-Thought mechanism, the translation process is divided into specialized chains: the TS chain, concurrency chain, and synchronization chain, each handling TypeScript syntax, concurrency patterns, and synchronization logic with precision. This study offers solutions to bridge concurrency model differences between Java and ArkTS, reducing manual code rewriting and speeding up adaptation for HarmonyOS NEXT. Experiments show the converter successfully compiles 66% of 53 test samples, with 69% accuracy for compiled results. Overall, the approach shows promise in converting concurrent Java programs to ArkTS, laying the foundation for future improvements.</t>
  </si>
  <si>
    <t>llm used for code translation; input includes java concurrent programs; translation chains handle typescript syntax and concurrency patterns; source-code-related input clearly involved</t>
  </si>
  <si>
    <t>CoqPilot, a plugin for LLM-based generation of proofs | Proceedings of the 39th IEEE/ACM International Conference on Automated Software Engineering</t>
  </si>
  <si>
    <t>https://dl.acm.org/doi/10.1145/3691620.3695357</t>
  </si>
  <si>
    <t>We present CoqPilot, a VS Code extension designed to help automate writing of\nCoq proofs. The plugin collects the parts of proofs marked with the admit\ntactic in a Coq file, i.e., proof holes, and combines LLMs along with\nnon-machine-learning methods to generate proof candidates for the holes. Then,\nCoqPilot checks if each proof candidate solves the given subgoal and, if\nsuccessful, replaces the hole with it. The focus of CoqPilot is twofold.\nFirstly, we want to allow users to seamlessly combine multiple Coq generation\napproaches and provide a zero-setup experience for our tool. Secondly, we want\nto deliver a platform for LLM-based experiments on Coq proof generation. We\ndeveloped a benchmarking system for Coq generation methods, available in the\nplugin, and conducted an experiment using it, showcasing the framework's\npossibilities. Demo of CoqPilot is available at: https://youtu.be/oB1Lx-So9Lo.\nCode at: https://github.com/JetBrains-Research/coqpilot\n</t>
  </si>
  <si>
    <t>llm used for generating coq proofs; input includes proof holes in coq files (source code elements); combines llm with non-ml methods; benchmarks coq generation methods; source-code-related input clearly given to llm</t>
  </si>
  <si>
    <t>Enhancing Software Design and Developer Experience Via LLMs | Proceedings of the 39th IEEE/ACM International Conference on Automated Software Engineering</t>
  </si>
  <si>
    <t>https://dl.acm.org/doi/10.1145/3691620.3695606</t>
  </si>
  <si>
    <t>This research explores the transformative potential of generative AI in software development. Generative AI is revolutionizing the field by offering capabilities to automatically generate, refactor, and test code. Through the use of action research, new methods and tools based on generative AI models are studied and developed. The initial focus is on the models' ability to comprehend high-level design concepts. Subsequently, the research moves into the augmented generation of software artifacts. Finally, organization-specific or task-specific methods are introduced to enhance software developers' productivity and experience.</t>
  </si>
  <si>
    <t>mentions generative ai models for code generation and refactoring; focus on high-level design comprehension; unclear if llm input includes existing source code or only design concepts; no explicit mention of source-code-related input given to llm</t>
  </si>
  <si>
    <t>FAIL: Analyzing Software Failures from the News Using LLMs | Proceedings of the 39th IEEE/ACM International Conference on Automated Software Engineering</t>
  </si>
  <si>
    <t>https://dl.acm.org/doi/10.1145/3691620.3695022</t>
  </si>
  <si>
    <t>Software failures inform engineering work, standards, regulations. For example, the Log4J vulnerability brought government and industry attention to evaluating and securing software supply chains. Retrospective failure analysis is thus a valuable line of software engineering research. Accessing private engineering records is difficult, so such analyses tend to use information reported by the news media. However, prior works in this direction have relied on manual analysis. That has limited the scale of their analyses. The community lacks automated support to enable such analyses to consider a wide range of news sources and incidents. To fill this gap, we propose the Failure Analysis Investigation with LLMs (FAIL) system. FAIL is a novel LLM-based pipeline that collects, analyzes, and summarizes software failures as reported in the news. FAIL groups articles that describe the same incidents. It then analyzes incidents using existing taxonomies for postmortems, faults, and system characteristics. To tune and evaluate FAIL, we followed the methods of prior works by manually analyzing 31 software failures. FAIL achieved an F1 score of 90% for collecting news about software failures, a V-measure of 0.98 for merging articles reporting on the same incident, and extracted 90% of the facts about failures. We then applied FAIL to a total of 137,427 news articles from 11 providers published between 2010 and 2022. FAIL identified and analyzed 2,457 distinct failures reported across 4,184 articles. Our findings include: (1) current generation of large language models are capable of identifying news articles that describe failures, and analyzing them according to structured taxonomies; (2) high recurrences of similar failures within organizations and across organizations; and (3) severity of the consequences of software failures have increased over the past decade. The full FAIL database is available so that researchers, engineers, and policymakers can learn from a diversity of software failures.</t>
  </si>
  <si>
    <t>llm used for analyzing news articles about software failures; no indication of source-code-related input; input is natural language news text; no code or code-related context mentioned</t>
  </si>
  <si>
    <t>On Automated Assistants for Software Development: The Role of LLMs0035</t>
  </si>
  <si>
    <t>https://dl.acm.org/doi/10.1109/ASE56229.2023.00035</t>
  </si>
  <si>
    <t>Software developers handle many complex tasks that include gathering and applying domain knowledge, coordinating subtasks, designing interfaces, turning ideas into elegant code, and more. They must switch contexts between these tasks, incurring more cognitive costs. Recent advances in large language models (LLMs) open up new possibilities for moving beyond the support provided by automated assistants (AAs) available today. In this paper, we explore if a human memory model can provide a framework for the systematic investigation of AAs for software development based on LLMs and other new technologies.</t>
  </si>
  <si>
    <t>llm mentioned; focus on automated assistants for software development; no explicit mention of source-code-related input to llm; abstract emphasizes human memory model framework; unclear if code context given to llm</t>
  </si>
  <si>
    <t>Using LLM for Mining and Testing Constraints in API Testing | Proceedings of the 39th IEEE/ACM International Conference on Automated Software Engineering</t>
  </si>
  <si>
    <t>https://dl.acm.org/doi/10.1145/3691620.3695341</t>
  </si>
  <si>
    <t>Testing Representational State Transfer (REST) APIs is crucial for ensuring the reliability and performance of APIs, which are essential to modern web services. This testing process helps identify and resolve issues related to data exchange and integration with other systems. Among the various API testing techniques, black-box testing relies on the OpenAPI Specification (OAS) to generate test cases and data. However, current API test automation methods are primarily focused on status code [10] and schema validation [1]. Status code validation involves ensuring that each HTTP request returns a response with a status code, a three-digit integer that indicates the outcome of the request. Schema validation verifies the correctness of the response data by comparing it to the schema. This includes checking that all required properties are present and that data types of these properties align with the schema specified.</t>
  </si>
  <si>
    <t>llm usage not explicitly stated; abstract focuses on api testing and openapi spec; no clear mention of llm input or source-code-related input; possible use of openapi spec as documentation/specification but unclear if passed to llm</t>
  </si>
  <si>
    <t>Better patching using LLM prompting, via Self-Consistency | Proceedings of the 38th IEEE/ACM International Conference on Automated Software Engineering0065</t>
  </si>
  <si>
    <t>https://dl.acm.org/doi/10.1109/ASE56229.2023.00065</t>
  </si>
  <si>
    <t>Large Language models (LLMs) can be induced to solve non-trivial problems with "few-shot" prompts including illustrative problem-solution examples. Now if the few-shots also include "chain of thought" ( &lt;tex xmlns:mml="http://www.w3.org/1998/Math/MathML" xmlns:xlink="http://www.w3.org/1999/xlink"&gt;$\mathcal{C}oT$&lt;/tex&gt; ) explanations, which are of the form problem-explanation-solution, LLMs will generate a "explained" solution, and perform even better. Recently an exciting, substantially better technique, self-consistency [1] ( &lt;tex xmlns:mml="http://www.w3.org/1998/Math/MathML" xmlns:xlink="http://www.w3.org/1999/xlink"&gt;$\mathcal{S}-C$&lt;/tex&gt; ) has emerged, based on the intuition that there are many plausible explanations for the right solution; when the LLM is sampled repeatedly to generate a pool of explanation-solution pairs, for a given problem, the most frequently occurring solutions in the pool (ignoring the explanations) tend to be even more likely to be correct! Unfortunately, the use of this highly-performant &lt;tex xmlns:mml="http://www.w3.org/1998/Math/MathML" xmlns:xlink="http://www.w3.org/1999/xlink"&gt;$\mathcal{S}-C$&lt;/tex&gt; (or even &lt;tex xmlns:mml="http://www.w3.org/1998/Math/MathML" xmlns:xlink="http://www.w3.org/1999/xlink"&gt;$\mathcal{C}oT$&lt;/tex&gt; ) approach in software engineering settings is hampered by the lack of explanations; most software datasets lack explanations. In this paper, we describe an application of the &lt;tex xmlns:mml="http://www.w3.org/1998/Math/MathML" xmlns:xlink="http://www.w3.org/1999/xlink"&gt;$\mathcal{S}-C$&lt;/tex&gt; approach to program repair, using the commit log on the fix as the explanation, only in the illustrative few-shots. We achieve state-of-the art results, beating previous approaches to prompting-based program repair, on the MODIT dataset; we also find evidence suggesting that the correct commit messages are helping the LLM learn to produce better patches.</t>
  </si>
  <si>
    <t>uses llm for program repair; uses commit log as explanation in few-shot prompts; commit log is historical context related to code changes; achieves state-of-the-art on program repair dataset; llm input includes source-code-related context via commit logs</t>
  </si>
  <si>
    <t>Magneto: A Step-Wise Approach to Exploit Vulnerabilities in Dependent Libraries via LLM-Empowered Directed Fuzzing | Proceedings of the 39th IEEE/ACM International Conference on Automated Software Engineering</t>
  </si>
  <si>
    <t>https://dl.acm.org/doi/10.1145/3691620.3695531</t>
  </si>
  <si>
    <t>The wide adoption of open source third-party libraries can propagate vulnerabilities that originally exist in third-party libraries through dependency chains to downstream projects. To mitigate this security risk, vulnerability exploitation analysis has been proposed to further reduce false positives of vulnerability reachability analysis. However, existing approaches work less effectively when the vulnerable function of the vulnerable library is indirectly invoked by a client project through a call chain of multiple steps. To address this problem, we propose a step-wise approach, named Magneto, to exploit vulnerabilities in dependent libraries of a client project through LLM-empowered directed fuzzing. Its core idea is to decompose the directed fuzzing for the whole call chain (from the client project to the vulnerable function) into a series of step-wise directed fuzzing for each step of the call chain. To empower directed fuzzing, it leverages LLM to facilitate the initial seed generation. Our evaluation has demonstrated the effectiveness of Magneto over the state-of-the-art; i.e., Magneto achieves an improvement of at least 75.6% in successfully exploiting the vulnerability.</t>
  </si>
  <si>
    <t>llm used to facilitate initial seed generation for directed fuzzing; fuzzing targets call chains involving vulnerable functions; likely uses call graph or code elements as input to llm; source-code-related context implied by call chain fuzzing and seed generation</t>
  </si>
  <si>
    <t>graph-based expansion, code</t>
  </si>
  <si>
    <t>Let's Chat to Find the APIs: Connecting Human, LLM and Knowledge Graph through AI Chain | Proceedings of the 38th IEEE/ACM International Conference on Automated Software Engineering0075</t>
  </si>
  <si>
    <t>https://dl.acm.org/doi/10.1109/ASE56229.2023.00075</t>
  </si>
  <si>
    <t>API recommendation methods have evolved from literal and semantic keyword matching to query expansion and query clarification. The latest query clarification method is knowledge graph (KG)-based, but limitations include out-of-vocabulary (OOV) failures and rigid question templates. To address these limitations, we propose a novel knowledge-guided query clarification approach for API recommendation that leverages a large language model (LLM) guided by KG. We utilize the LLM as a neural knowledge base to overcome OOV failures, generating fluent and appropriate clarification questions and options. We also leverage the structured API knowledge and entity relationships stored in the KG to filter out noise, and transfer the optimal clarification path from KG to the LLM, increasing the efficiency of the clarification process. Our approach is designed as an AI chain that consists of five steps, each handled by a separate LLM call, to improve accuracy, efficiency, and fluency for query clarification in API recommendation. We verify the usefulness of each unit in our AI chain, which all received high scores close to a perfect 5. When compared to the baselines, our approach shows a significant improvement in MRR, with a maximum increase of 63.9% higher when the query statement is covered in KG and 37.2% when it is not. Ablation experiments reveal that the guidance of knowledge in the KG and the knowledge-guided pathfinding strategy are crucial for our approach's performance, resulting in a 19.0% and 22.2% increase in MAP, respectively. Our approach demonstrates a way to bridge the gap between KG and LLM, effectively compensating for the strengths and weaknesses of both.</t>
  </si>
  <si>
    <t>llm used for api recommendation; uses knowledge graph and llm for query clarification; unclear if llm input includes source-code-related context or only api names/metadata; no explicit mention of code snippets or code elements as input</t>
  </si>
  <si>
    <t>What Makes Good In-Context Demonstrations for Code Intelligence Tasks with LLMs? | Proceedings of the 38th IEEE/ACM International Conference on Automated Software Engineering0109</t>
  </si>
  <si>
    <t>https://dl.acm.org/doi/10.1109/ASE56229.2023.00109</t>
  </si>
  <si>
    <t>Pre-trained models of source code have gained widespread popularity in many code intelligence tasks. Recently, with the scaling of the model and corpus size, large language models have shown the ability of in-context learning (ICL). ICL employs task instructions and a few examples as demonstrations, and then inputs the demonstrations to the language models for making predictions. This new learning paradigm is training-free and has shown impressive performance in various natural language processing and code intelligence tasks. However, the performance of ICL heavily relies on the quality of demonstrations, e.g., the selected examples. It is important to systematically investigate how to construct a good demonstration for code-related tasks. In this paper, we empirically explore the impact of three key factors on the performance of ICL in code intelligence tasks: the selection, order, and number of demonstration examples. We conduct extensive experiments on three code intelligence tasks including code summarization, bug fixing, and program synthesis. Our experimental results demonstrate that all the above three factors dramatically impact the performance of ICL in code intelligence tasks. Additionally, we summarize our findings and provide takeaway suggestions on how to construct effective demonstrations, taking into account these three perspectives. We also show that a carefully-designed demonstration based on our findings can lead to substantial improvements over widely-used demonstration construction methods, e.g., improving BLEU-4, EM, and EM by at least 9.90%, 175.96%, and 50.81% on code summarization, bug fixing, and program synthesis, respectively.</t>
  </si>
  <si>
    <t>uses llm with in-context learning; demonstrations include code intelligence tasks; input includes code examples as demonstrations; tasks include code summarization, bug fixing, program synthesis; code-related input clearly given to llm</t>
  </si>
  <si>
    <t>Oracle-Guided Vulnerability Diversity and Exploit Synthesis of Smart Contracts Using LLMs | Proceedings of the 39th IEEE/ACM International Conference on Automated Software Engineering</t>
  </si>
  <si>
    <t>https://dl.acm.org/doi/10.1145/3691620.3695292</t>
  </si>
  <si>
    <t>Many smart contracts are prone to exploits, which has given rise to analysis tools that try to detect and fix vulnerabilities. Such analysis tools are often trained and evaluated on limited data sets, which has the following drawbacks: 1. The ground truth is often based on the verdict of related tools rather than an actual verification result; 2. Data sets focus on low-level vulnerabilities like reentrancy and overflow; 3. Data sets lack concrete exploit examples. To address these shortcomings, we introduce XploGen, which uses a model-based oracle specification of the business logic of the smart contracts to synthesize valid exploits using LLMs. Our experiments, involving 104 synthesized vulnerability-exploit pairs, demonstrated a 57% success rate in exploiting targeted aspects of the contract. They achieved exploit efficiency with an average of only 3.5 transactions per exploit, highlighting the effectiveness of our methodology.</t>
  </si>
  <si>
    <t>llm used to synthesize exploits; input includes model-based oracle specification of business logic (formal specifications/contracts); targets smart contract vulnerabilities (code-related context implied); exploits synthesized based on contract logic</t>
  </si>
  <si>
    <t>Translation Titans, Reasoning Challenges: Satisfiability-Aided Language Models for Detecting Conflicting Requirements | Proceedings of the 39th IEEE/ACM International Conference on Automated Software Engineering</t>
  </si>
  <si>
    <t>https://dl.acm.org/doi/10.1145/3691620.3695302</t>
  </si>
  <si>
    <t>Detecting conflicting requirements early in the software development lifecycle is crucial to mitigating risks of system failures and enhancing overall reliability. While Large Language Models (LLMs) have demonstrated proficiency in natural language understanding tasks, they often struggle with the nuanced reasoning required for identifying complex requirement conflicts. This paper introduces a novel framework, SAT-LLM, which integrates Satisfiability Modulo Theories (SMT) solvers with LLMs to enhance the detection of conflicting software requirements. SMT solvers provide rigorous formal reasoning capabilities, complementing LLMs' proficiency in natural language understanding. By synergizing these strengths, SAT-LLM aims to overcome the limitations of standalone LLMs in handling intricate requirement interactions. The early experiments provide empirical evidence supporting the effectiveness of our SAT-LLM over pure LLM-based methods like ChatGPT in identifying and resolving conflicting requirements. These findings lay a foundation for further exploration and refinement of hybrid approaches that integrate NLP techniques with formal reasoning methodologies to address complex challenges in software development.</t>
  </si>
  <si>
    <t>llm used for detecting conflicting requirements; integration with smt solvers for formal reasoning; no explicit mention of source-code-related input to llm; focus on natural language requirements rather than code; unclear if any code or formal specs given as input</t>
  </si>
  <si>
    <t>Skyeye: Detecting Imminent Attacks via Analyzing Adversarial Smart Contracts | Proceedings of the 39th IEEE/ACM International Conference on Automated Software Engineering</t>
  </si>
  <si>
    <t>https://dl.acm.org/doi/10.1145/3691620.3695526</t>
  </si>
  <si>
    <t>Smart contracts are susceptible to various vulnerabilities that can be exploited by hackers via developing adversarial contracts. Existing vulnerability detection techniques often concentrate solely on vulnerable contracts, neglecting adversarial contracts, which may weaken the effectiveness of vulnerability detection and fail to meet practical needs. In this paper, we propose Skyeye, a novel technique that integrates adversarial and vulnerable contracts together to detect vulnerabilities and resulting imminent attacks. Skyeye works during the stage after adversarial contracts have been deployed but before attack transactions are initiated, providing a critical time window for emergency response to mitigate potential losses. Upon deployment of a smart contract, Skyeye detects whether it is adversarial, and then utilizes the probabilistic matching technique to localize victim contracts. By pairing adversarial and victim contracts, Skyeye comprehensively extracts complete attack behaviors. Furthermore, Skyeye leverages Large Language Model (LLM) to decide the types of vulnerabilities exploited by adversarial contracts. Our evaluation, conducted on 174 real-world adversarial contracts from 159 incidents resulting in financial losses totaling approximately $1.36 billion, demonstrates Skyeye's effectiveness in detecting vulnerabilities and imminent attacks. Compared to state-of-the-art techniques, e.g., BlockWatchdog and Slither, Skyeye also reveals the superior performance.</t>
  </si>
  <si>
    <t>llm used to decide vulnerability types; input likely includes adversarial and victim contracts; contracts are source-code artifacts; detection involves analyzing deployed contracts; probable source-code-related input to llm</t>
  </si>
  <si>
    <t>Software Engineering Using Autonomous Agents: Are We There Yet?0174</t>
  </si>
  <si>
    <t>https://dl.acm.org/doi/10.1109/ASE56229.2023.00174</t>
  </si>
  <si>
    <t>Autonomous agents equipped with Large Language Models (LLMs) are rapidly gaining prominence as a revolutionary technology within the realm of Software Engineering. These intelligent and autonomous systems demonstrate the capacity to perform tasks and make independent decisions, leveraging their intrinsic reasoning and decision-making abilities. This paper delves into the current state of autonomous agents, their capabilities, challenges, and opportunities in Software Engineering practices. By employing different prompts (with or without context), we conclude the advantages of contextrich prompts for autonomous agents. Prompts with context enhance user requirement understanding, avoiding irrelevant details that could hinder task comprehension and degrade model performance, particularly when dealing with complex frameworks such as Spring Boot, Django, Flask, etc. This exploration is conducted using Auto-GPT (v0.3.0), an open-source application powered by GPT-3.5 and GPT-4 which intelligently connects the "thoughts" of Large Language Models (LLMs) to independently accomplish the assigned goals or tasks.</t>
  </si>
  <si>
    <t>llm used (gpt-3.5, gpt-4); autonomous agents perform tasks with prompts; prompts with context improve understanding; context examples mention complex frameworks (spring boot, django, flask) but unclear if actual source code or just natural language descriptions; no explicit mention of code snippets or code elements as input</t>
  </si>
  <si>
    <t>SALLM: Security Assessment of Generated Code | Proceedings of the 39th IEEE/ACM International Conference on Automated Software Engineering Workshops</t>
  </si>
  <si>
    <t>https://dl.acm.org/doi/10.1145/3691621.3694934</t>
  </si>
  <si>
    <t>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t>
  </si>
  <si>
    <t>llm used for code generation; focus on security assessment of generated code; unclear if llm input includes existing source code or only prompts; no explicit mention of source-code-related input given to llm</t>
  </si>
  <si>
    <t>PatUntrack: Automated Generating Patch Examples for Issue Reports without Tracked Insecure Code | Proceedings of the 39th IEEE/ACM International Conference on Automated Software Engineering</t>
  </si>
  <si>
    <t>https://dl.acm.org/doi/10.1145/3691620.3694982</t>
  </si>
  <si>
    <t>Security patches are essential for enhancing the stability and robustness of projects in the open-source software community. While vulnerabilities are officially expected to be patched before being disclosed, patching vulnerabilities is complicated and remains a struggle for many organizations. To patch vulnerabilities, security practitioners typically track vulnerable issue reports (IRs), and analyze their relevant insecure code to generate potential patches. However, the relevant insecure code may not be explicitly specified and practitioners cannot track the insecure code in the repositories, thus limiting their ability to generate patches. In such cases, providing examples of insecure code and the corresponding patches would benefit the security developers to better locate and resolve the actual insecure code. In this paper, we propose PatUntrack, an automated approach to generating patch examples from IRs without tracked insecure code. PatUntrack utilizes auto-prompting to optimize the Large Language Model (LLM) to make it applicable for analyzing the vulnerabilities described in IRs and generating appropriate patch examples. Specifically, it first generates the completed description of the Vulnerability-Triggering Path (VTP) from vulnerable IRs. Then, it corrects potential hallucinations in the VTP description with external golden knowledge. Finally, it generates Top-K pairs of Insecure Code and Patch Example based on the corrected VTP description. To evaluate the performance of PatUntrack, we conducted experiments on 5,465 vulnerable IRs. The experimental results show that PatUntrack can obtain the highest performance and improve the traditional LLM baselines by +17.7% (MatchFix) and +14.6% (Fix@10) on average in patch example generation. Furthermore, PatUntrack was applied to generate patch examples for 76 newly disclosed vulnerable IRs. 27 out of 37 replies from the authors of these IRs confirmed the usefulness of the patch examples generated by PatUntrack, indicating that they can benefit from these examples for patching the vulnerabilities.</t>
  </si>
  <si>
    <t>llm used for generating patch examples; input includes vulnerability-triggering path descriptions from issue reports; unclear if these descriptions contain actual source code snippets or just natural language descriptions; no explicit mention of code elements or static analysis outputs as input; possible use of external golden knowledge but nature unclear</t>
  </si>
  <si>
    <t>natural language, historical context</t>
  </si>
  <si>
    <t>Emergence of A Novel Domain Expert: A Generative AI-based Framework for Software Function Point Analysis</t>
  </si>
  <si>
    <t>https://dl.acm.org/doi/10.1145/3691620.3695293</t>
  </si>
  <si>
    <t>Estimating software functional size is a crucial initial step before development, impacting costs and timelines. This involves applying standard Function Point Analysis (FPA) to the Software Requirements Specification (SRS). However, manual analysis by Function Point (FP) analysts during the splitting of FP entries from SRS remains inefficient and costly. To address this issue, for the first time, we propose an AI-based domain expert for FPA, named FPA-EX. It employs a large language model (LLM), intelligently extracts software FP entries from SRS, providing automated support to enhance efficiency. Specifically, we construct a multi-domain FPA dataset through collecting and annotating 778 question-answer pairs related to various SRS. Based on this dataset, we present a novel densely supervised fine-tuning (DSFT) on LLM, which performs entries-level optimization over the human augmented text, ensuring precise FPs outputs. Finally, we design a ConceptAct Promting (CAP) process for correct logical reasoning. Experiments demonstrate the superior performance of FPA-EX, particularly higher than GPT3.5 by 0.491 on F1 scores. Furthermore, in practical application, FPA-EX significantly enhances the productivity of FP analysts, contributing to a shift towards more intelligent work patterns.</t>
  </si>
  <si>
    <t>llm used for function point analysis from srs; srs is natural-language specification; no mention of source-code or code snippets as input; input is software requirements specification only; focus on natural language processing of specs</t>
  </si>
  <si>
    <t>PACGBI: A Pipeline for Automated Code Generation from Backlog Items | Proceedings of the 39th IEEE/ACM International Conference on Automated Software Engineering</t>
  </si>
  <si>
    <t>https://dl.acm.org/doi/10.1145/3691620.3695346</t>
  </si>
  <si>
    <t>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 PACGBI can be utilized by software developers and enables nontechnical stakeholders and designers by providing a holistic solution for using LLMs in software development. A screencast of this tool is available at https://youtu.be/TI53m-fIoyc, its source code at https://github.com/Masa-99/pacgbi.</t>
  </si>
  <si>
    <t>llm used for code generation; pipeline reads backlog items as input; unclear if backlog items include source-code-related context or only natural language descriptions; no explicit mention of code snippets or code elements given to llm</t>
  </si>
  <si>
    <t>A Pair Programming Framework for Code Generation via Multi-Plan Exploration and Feedback-Driven Refinement | Proceedings of the 39th IEEE/ACM International Conference on Automated Software Engineering</t>
  </si>
  <si>
    <t>https://dl.acm.org/doi/10.1145/3691620.3695506</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</si>
  <si>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12.00%--162.43% compared to prompting LLMs directly.</t>
  </si>
  <si>
    <t>llm used for code generation; involves multi-plan exploration and feedback-driven refinement; abstract does not specify if existing source code or code snippets are given as input; unclear if input includes source-code-related context or only natural language prompts</t>
  </si>
  <si>
    <t>FastFixer: An Efficient and Effective Approach for Repairing Programming Assignments | Proceedings of the 39th IEEE/ACM International Conference on Automated Software Engineering</t>
  </si>
  <si>
    <t>https://dl.acm.org/doi/10.1145/3691620.3695062</t>
  </si>
  <si>
    <t>Providing personalized and timely feedback for student's programming assignments is useful for programming education. Automated program repair (APR) techniques have been used to fix the bugs in programming assignments, where the Large Language Models (LLMs) based approaches have shown promising results. Given the growing complexity of identifying and fixing bugs in advanced programming assignments, current fine-tuning strategies for APR are inadequate in guiding the LLM to identify bugs and make accurate edits during the generative repair process. Furthermore, the autoregressive decoding approach employed by the LLM could potentially impede the efficiency of the repair, thereby hindering the ability to provide timely feedback. To tackle these challenges, we propose FastFixer, an efficient and effective approach for programming assignment repair. To assist the LLM in accurately identifying and repairing bugs, we first propose a novel repair-oriented fine-tuning strategy, aiming to enhance the LLM's attention towards learning how to generate the necessary patch and its associated context. Furthermore, to speed up the patch generation, we propose an inference acceleration approach that is specifically tailored for the program repair task. The evaluation results demonstrate that FastFixer obtains an overall improvement of 20.46% in assignment fixing when compared to the state-of-the-art baseline. Considering the repair efficiency, FastFixer achieves a remarkable inference speedup of 16.67× compared to the autoregressive decoding algorithm.</t>
  </si>
  <si>
    <t>llm used for automated program repair; input includes programming assignments with bugs; repair-oriented fine-tuning implies source code context; focus on patch generation from buggy code</t>
  </si>
  <si>
    <t>An Empirical Study to Evaluate AIGC Detectors on Code Content | Proceedings of the 39th IEEE/ACM International Conference on Automated Software Engineering</t>
  </si>
  <si>
    <t>https://dl.acm.org/doi/10.1145/3691620.3695468</t>
  </si>
  <si>
    <t>Artificial Intelligence Generated Content (AIGC) has garnered considerable attention for its impressive performance, with Large Language Models (LLMs), like ChatGPT, emerging as a leading AIGC model that produces high-quality responses across various applications, including software development and maintenance. Despite its potential, the misuse of LLMs, especially in security and safety-critical domains, such as academic integrity and answering questions on Stack Overflow, poses significant concerns. Numerous AIGC detectors have been developed and evaluated on natural language data. However, their performance on code-related content generated by LLMs remains unexplored. To fill this gap, in this paper, we present an empirical study evaluating existing AIGC detectors in the software domain. We select three state-of-the-art LLMs, i.e., GPT-3.5, WizardCoder and CodeLlama, for machine-content generation. We further created a comprehensive dataset including 2.23M samples comprising code-related content for each model, encompassing popular software activities like Q&amp;A (150K), code summarization (1M), and code generation (1.1M). We evaluated thirteen AIGC detectors, comprising six commercial and seven open-source solutions, assessing their performance on this dataset. Our results indicate that AIGC detectors perform less on code-related data than natural language data. Fine-tuning can enhance detector performance, especially for content within the same domain; but generalization remains a challenge.</t>
  </si>
  <si>
    <t>llms used for code-related content generation; unclear if input includes existing source-code snippets or only prompts; no explicit mention of source-code-related input given to llms; focus on detector evaluation rather than llm input details</t>
  </si>
  <si>
    <t>SoVAR: Build Generalizable Scenarios from Accident Reports for Autonomous Driving Testing | Proceedings of the 39th IEEE/ACM International Conference on Automated Software Engineering</t>
  </si>
  <si>
    <t>https://dl.acm.org/doi/10.1145/3691620.3695037</t>
  </si>
  <si>
    <t>Autonomous driving systems (ADSs) have undergone remarkable development and\nare increasingly employed in safety-critical applications. However, recently\nreported data on fatal accidents involving ADSs suggests that the desired level\nof safety has not yet been fully achieved. Consequently, there is a growing\nneed for more comprehensive and targeted testing approaches to ensure safe\ndriving. Scenarios from real-world accident reports provide valuable resources\nfor ADS testing, including critical scenarios and high-quality seeds. However,\nexisting scenario reconstruction methods from accident reports often exhibit\nlimited accuracy in information extraction. Moreover, due to the diversity and\ncomplexity of road environments, matching current accident information with the\nsimulation map data for reconstruction poses significant challenges. In this\npaper, we design and implement SoVAR, a tool for automatically generating\nroad-generalizable scenarios from accident reports. SoVAR utilizes\nwell-designed prompts with linguistic patterns to guide the large language\nmodel in extracting accident information from textual data. Subsequently, it\nformulates and solves accident-related constraints in conjunction with the\nextracted accident information to generate accident trajectories. Finally,\nSoVAR reconstructs accident scenarios on various map structures and converts\nthem into test scenarios to evaluate its capability to detect defects in\nindustrial ADSs. We experiment with SoVAR, using accident reports from the\nNational Highway Traffic Safety Administration's database to generate test\nscenarios for the industrial-grade ADS Apollo. The experimental findings\ndemonstrate that SoVAR can effectively generate generalized accident scenarios\nacross different road structures. Furthermore, the results confirm that SoVAR\nidentified 5 distinct safety violation types that contributed to the crash of\nBaidu Apollo.\n</t>
  </si>
  <si>
    <t>llm used for extracting accident info from text; no mention of source-code-related input to llm; focus on natural language accident reports; no code or code-related context given to llm</t>
  </si>
  <si>
    <t>Understanding Developer-Analyzer Interactions in Code Reviews | Proceedings of the 39th IEEE/ACM International Conference on Automated Software Engineering</t>
  </si>
  <si>
    <t>https://dl.acm.org/doi/10.1145/3691620.3695257</t>
  </si>
  <si>
    <t>Static code analyzers are now a common part of the codereview process. These automated tools integrate into the code review process by commenting on code changes and suggesting improvements, in the same way as human reviewers. The comments made by static analyzers often trigger a conversation between developers to align on if and how the issue should be fixed. Because developers rarely give feedback directly to the tool, understanding the sentiment and intent in the conversation triggered by the tool comments can be used to measure the usefulness of the static analyzer. In this paper, we report on an experiment where we use large language models to automatically label and categorize the sentiment and intent of such conversations triggered by static analyzer comments. Our experiment demonstrates that LLMs not only classify and interpret complex developer-analyzer conversations, but can be more accurate than human experts.</t>
  </si>
  <si>
    <t>llm used to label and categorize sentiment and intent in conversations triggered by static analyzer comments; unclear if llm input includes actual code snippets or static analysis warnings or just natural language comments; no explicit mention of source-code-related input given to llm</t>
  </si>
  <si>
    <t>Self-Elicitation of Requirements with Automated GUI Prototyping | Proceedings of the 39th IEEE/ACM International Conference on Automated Software Engineering</t>
  </si>
  <si>
    <t>https://dl.acm.org/doi/10.1145/3691620.3695350</t>
  </si>
  <si>
    <t>Requirements Elicitation (RE) is a crucial activity especially in the early\nstages of software development. GUI prototyping has widely been adopted as one\nof the most effective RE techniques for user-facing software systems. However,\nGUI prototyping requires (i) the availability of experienced requirements\nanalysts, (ii) typically necessitates conducting multiple joint sessions with\ncustomers and (iii) creates considerable manual effort. In this work, we\npropose SERGUI, a novel approach enabling the Self-Elicitation of Requirements\n(SER) based on an automated GUI prototyping assistant. SERGUI exploits the vast\nprototyping knowledge embodied in a large-scale GUI repository through Natural\nLanguage Requirements (NLR) based GUI retrieval and facilitates fast feedback\nthrough GUI prototypes. The GUI retrieval approach is closely integrated with a\nLarge Language Model (LLM) driving the prompting-based recommendation of GUI\nfeatures for the current GUI prototyping context and thus stimulating the\nelicitation of additional requirements. We envision SERGUI to be employed in\nthe initial RE phase, creating an initial GUI prototype specification to be\nused by the analyst as a means for communicating the requirements. To measure\nthe effectiveness of our approach, we conducted a preliminary evaluation. Video\npresentation of SERGUI at: https://youtu.be/pzAAB9Uht80\n</t>
  </si>
  <si>
    <t>llm used for gui prototyping and requirements elicitation; gui retrieval from large-scale gui repository; no explicit mention of source-code-related input to llm; focus on gui features and prototyping context; unclear if code elements or code-related context provided to llm</t>
  </si>
  <si>
    <t>natural language, retrieval-based context</t>
  </si>
  <si>
    <t>IdeoRate: Towards a Semi-automated Assessment Methodology for OSS Ideologies | Proceedings of the 39th IEEE/ACM International Conference on Automated Software Engineering</t>
  </si>
  <si>
    <t>https://dl.acm.org/doi/10.1145/3691620.3695343</t>
  </si>
  <si>
    <t>Open source software (OSS) development, as any social movement, is driven by its ideologies, namely OSS ideologies [6]. Understanding OSS ideologies could provide significant insights into open source development, since OSS ideologies determine and influence the dynamics and outcomes of open source development [1, 2]. Assessing OSS ideologies within open source projects could bring various benefits to OSS practitioners, e.g., the owners and the maintainers of open source projects could identify important ideological elements that were previously ignored, and could improve open source development accordingly. Therefore, with such an assessment of OSS ideologies, institutional and individual stakeholders who are interested in open source development could make informed decisions when interacting with open source projects.</t>
  </si>
  <si>
    <t>no explicit mention of llm usage; focus on ideology assessment; unclear if source code or code-related input given to llm; possibly natural language or metadata analysis</t>
  </si>
  <si>
    <t>Using AI to Automate the Modernization of Legacy Software Applications</t>
  </si>
  <si>
    <t>https://dl.acm.org/doi/10.1145/3691620.3695610</t>
  </si>
  <si>
    <t>The task of modernizing legacy software has gained increasing attention in recent years. Old code is prone to security vulnerabilities, and is difficult to maintain and upgrade. Manual approaches to modernize legacy software involve intensive human effort and are challenging to scale up. Thus, there is an urgent need to develop automated techniques to modernize old code. In this proposal, we shall look at three aspects of this problem. The first is the conversion of legacy monolithic software architectures to modern microservice architectures. The second is the translation of code written in older programming languages like C, to code written in modern programming languages like Rust. The third is the detection of bugs that arise during modernization. We look at three prior papers (written by this author) that address each of these three aspects of application modernization. For each of these, we also present some ideas and directions for further research.</t>
  </si>
  <si>
    <t>no explicit mention of llm usage; focus on automated modernization techniques; no clear indication llm receives source-code input; references prior papers by author but unclear if llm involved; modernization tasks imply code input but not confirmed</t>
  </si>
  <si>
    <t>DRMiner: Extracting Latent Design Rationale from Jira Issue Logs | Proceedings of the 39th IEEE/ACM International Conference on Automated Software Engineering</t>
  </si>
  <si>
    <t>https://dl.acm.org/doi/10.1145/3691620.3695019</t>
  </si>
  <si>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 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t>
  </si>
  <si>
    <t>llm used with prompt tuning; input is jira issue logs (natural language discussions); no explicit mention of source-code-related input to llm; issue logs may be linked to code but unclear if code snippets or code-related context given to llm</t>
  </si>
  <si>
    <t>Dynamic Scoring Code Token Tree: A Novel Decoding Strategy for Generating High-Performance Code | Proceedings of the 39th IEEE/ACM International Conference on Automated Software Engineering</t>
  </si>
  <si>
    <t>https://dl.acm.org/doi/10.1145/3691620.3695505</t>
  </si>
  <si>
    <t>Within the realms of scientific computing, large-scale data processing, and artificial intelligence-powered computation, disparities in performance, which originate from differing code implementations, directly influence the practicality of the code. Although existing works tried to utilize code knowledge to enhance the execution performance of codes generated by large language models, they neglect code evaluation outcomes which directly refer to the code execution details, resulting in inefficient computation. To address this issue, we propose DSCT-Decode, an innovative adaptive decoding strategy for large language models, that employs a data structure named 'Code Token Tree' (CTT), which guides token selection based on code evaluation outcomes. DSCT-Decode assesses generated code across three dimensions---correctness, performance, and similarity---and utilizes a dynamic penalty-based boundary intersection method to compute multi-objective scores, which are then used to adjust the scores of nodes in the CTT during backpropagation. By maintaining a balance between exploration, through token selection probabilities, and exploitation, through multi-objective scoring, DSCT-Decode effectively navigates the code space to swiftly identify high-performance code solutions. To substantiate our framework, we developed a new benchmark, big-DS-1000, which is an extension of DS-1000. This benchmark is the first of its kind to specifically evaluate code generation methods based on execution performance. Comparative evaluations with leading large language models, such as CodeLlama and GPT-4, show that our framework achieves an average performance enhancement of nearly 30%. Furthermore, 30% of the codes exhibited a performance improvement of more than 20%, underscoring the effectiveness and potential of our framework for practical applications.</t>
  </si>
  <si>
    <t>llm used for code generation; adaptive decoding strategy uses code evaluation outcomes; unclear if llm input includes existing source-code-related context or only generated tokens; no explicit mention of feeding existing code snippets or structural/code context as input</t>
  </si>
  <si>
    <t>B4: Towards Optimal Assessment of Plausible Code Solutions with Plausible Tests | Proceedings of the 39th IEEE/ACM International Conference on Automated Software Engineering</t>
  </si>
  <si>
    <t>https://dl.acm.org/doi/10.1145/3691620.3695536</t>
  </si>
  <si>
    <t>Selecting the best code solution from multiple generated ones is an essential task in code generation, which can be achieved by using some reliable validators (e.g., developer-written test cases) for assistance. Since reliable test cases are not always available and can be expensive to build in practice, researchers propose to automatically generate test cases to assess code solutions. However, when both code solutions and test cases are plausible and not reliable, selecting the best solution becomes challenging. Although some heuristic strategies have been proposed to tackle this problem, they lack a strong theoretical guarantee and it is still an open question whether an optimal selection strategy exists. Our work contributes in two ways. First, we show that within a Bayesian framework, the optimal selection strategy can be defined based on the posterior probability of the observed passing states between solutions and tests. The problem of identifying the best solution is then framed as an integer programming problem. Second, we propose an efficient approach for approximating this optimal (yet uncomputable) strategy, where the approximation error is bounded by the correctness of prior knowledge. We then incorporate effective prior knowledge to tailor code generation tasks. Both theoretical and empirical studies confirm that existing heuristics are limited in selecting the best solutions with plausible test cases. Our proposed approximated optimal strategy B4 significantly surpasses existing heuristics in selecting code solutions generated by large language models (LLMs) with LLM-generated tests, achieving a relative performance improvement by up to 50% over the strongest heuristic and 246% over the random selection in the most challenging scenarios. Our code is publicly available at https://github.com/ZJU-CTAG/B4.</t>
  </si>
  <si>
    <t>llm-generated code solutions assessed; llm-generated test cases used as input context; focus on selecting best code solution with plausible tests; involves code and test inputs to llm</t>
  </si>
  <si>
    <t>Towards Synthetic Trace Generation of Modeling Operations using In-Context Learning Approach | Proceedings of the 39th IEEE/ACM International Conference on Automated Software Engineering</t>
  </si>
  <si>
    <t>https://dl.acm.org/doi/10.1145/3691620.3695058</t>
  </si>
  <si>
    <t>Producing accurate software models is crucial in model-driven software engineering (MDE). However, modeling complex systems is an error-prone task that requires deep application domain knowledge. In the past decade, several automated techniques have been proposed to support academic and industrial practitioners by providing relevant modeling operations. Nevertheless, those techniques require a huge amount of training data that cannot be available due to several factors, e.g., privacy issues. The advent of large language models (LLMs) can support the generation of synthetic data although state-of-the-art approaches are not yet supporting the generation of modeling operations. To fill the gap, we propose a conceptual framework that combines modeling event logs, intelligent modeling assistants, and the generation of modeling operations using LLMs. In particular, the architecture comprises modeling components that help the designer specify the system, record its operation within a graphical modeling environment, and automatically recommend relevant operations. In addition, we generate a completely new dataset of modeling events by telling on the most prominent LLMs currently available. As a proof of concept, we instantiate the proposed framework using a set of existing modeling tools employed in industrial use cases within different European projects. To assess the proposed methodology, we first evaluate the capability of the examined LLMs to generate realistic modeling operations by relying on well-founded distance metrics. Then, we evaluate the recommended operations by considering real-world industrial modeling artifacts. Our findings demonstrate that LLMs can generate modeling events even though the overall accuracy is higher when considering human-based operations.</t>
  </si>
  <si>
    <t>llm used to generate synthetic modeling operations; input described as modeling event logs and graphical modeling environment operations; unclear if modeling operations include source-code-related elements or only model elements; no explicit mention of source code or code snippets as input</t>
  </si>
  <si>
    <t>Semi-Supervised Code Translation Overcoming the Scarcity of Parallel Code Data | Proceedings of the 39th IEEE/ACM International Conference on Automated Software Engineering</t>
  </si>
  <si>
    <t>https://dl.acm.org/doi/10.1145/3691620.3695524</t>
  </si>
  <si>
    <t>Neural code translation is the task of converting source code from one programming language to another. One of the main challenges is the scarcity of parallel code data, which hinders the ability of translation models to learn accurate cross-language alignments. In this paper, we introduce MIRACLE, a semi-supervised approach that improves code translation through synthesizing high-quality parallel code data and curriculum learning on code data with ascending alignment levels. MIRACLE leverages static analysis and compilation to generate synthetic parallel code datasets with enhanced quality and alignment to address the challenge of data scarcity. We evaluate the proposed method along with strong baselines including instruction-tuned Large Language Models (LLMs) for code. Our analysis reveals that LLMs pre-trained on open-source code data, regardless of their size, suffer from the “shallow translation” problem. This issue arises when translated code copies keywords, statements, and even code blocks from the source language, leading to compilation and runtime errors. Extensive experiments demonstrate that our method significantly mitigates this issue, enhancing code translation performance across multiple models in C++, Java, Python, and C. Remarkably, MIRACLE outperforms code LLMs that are ten times larger in size. MIRACLE also achieves up to a 43% improvement in C code translation with fewer than 150 annotated examples.</t>
  </si>
  <si>
    <t>uses llms for code translation; input includes source code snippets for translation; addresses shallow translation problem in llms; uses static analysis outputs to generate synthetic parallel code data; evaluates on multiple languages with code input</t>
  </si>
  <si>
    <t>Vision Paper: Proof-Carrying Code Completions | Proceedings of the 39th IEEE/ACM International Conference on Automated Software Engineering Workshops</t>
  </si>
  <si>
    <t>https://dl.acm.org/doi/10.1145/3691621.3694932</t>
  </si>
  <si>
    <t>Code completions produced by today's large language models (LLMs) offer no formal guarantees. We propose proof-carrying code completions (PC3). In this paradigm, a high-resourced entity (the LLM provided by the server) must provide a code completion together with a proof of a chosen safety property which can be independently checked by a low-resourced entity (the user). In order to provide safety proofs without requiring the user to write specifications in formal logic, we statically generate preconditions for all dangerous function calls (i.e., functions that may violate the safety property) which must be proved by the LLM. To demonstrate the main ideas, we provide a prototype implementation in the program verification language Dafny, and a case study focusing on file system vulnerabilities. Unlike Python code generated by GPT-4, Dafny code generated by PC3 provably avoids a common weakness related to path traversal (CWE-35), using a single generation attempt (k = 1) and a modest number of tokens (3, 350). Our tool is available as an open source repository at https://github.com/DavisPL/PCCC.</t>
  </si>
  <si>
    <t>llm generates code completions with proofs; uses statically generated preconditions for dangerous calls as input; preconditions are formal specifications related to code safety; prototype in Dafny with formal verification; input includes formal specifications (contracts/preconditions)</t>
  </si>
  <si>
    <t>documentation/specifications, static analysis output</t>
  </si>
  <si>
    <t>The Software Genome Project: Unraveling Software Through Genetic Principles | Proceedings of the 39th IEEE/ACM International Conference on Automated Software Engineering</t>
  </si>
  <si>
    <t>https://dl.acm.org/doi/10.1145/3691620.3695307</t>
  </si>
  <si>
    <t>Open-source software is crucial to modern development, but its complexity creates challenges in quality, security, and management. Current governance approaches excel at collaboration but struggle with decentralized management and security. With the rise of large language models (LLM)-based software engineering, the need for a finer-grained understanding of software composition is more urgent than ever. To address these challenges, inspired by the Human Genome Project, we treat the software source code as software DNA and propose the Software Genome Project (SGP), which is geared towards the secure monitoring and exploitation of open-source software. By identifying and labeling integrated and classified code features at a fine-grained level, and effectively identifying safeguards for functional implementations and nonfunctional requirements at different levels of granularity, the SGP could build a comprehensive set of software genome maps to help developers and managers gain a deeper understanding of software complexity and diversity. By dissecting and summarizing functional and undesirable genes, SGP could help facilitate targeted software optimization, provide valuable insight and understanding of the entire software ecosystem, and support critical development tasks such as open source governance. SGP could also serve as a comprehensive dataset with abundant semantic labeling to enhance the training of LLMs for code. Based on these, we expect SGP to drive the evolution of software development towards more efficient, reliable, and sustainable software solutions.</t>
  </si>
  <si>
    <t>mentions llm-based software engineering; proposes dataset with semantic labeling to enhance llm training; unclear if llm input includes source-code-related context; no explicit mention of llm receiving code or code-related input</t>
  </si>
  <si>
    <t>What Is Wrong with My Model? Identifying Systematic Problems with Semantic Data Slicing | Proceedings of the 39th IEEE/ACM International Conference on Automated Software Engineering</t>
  </si>
  <si>
    <t>https://dl.acm.org/doi/10.1145/3691620.3695033</t>
  </si>
  <si>
    <t>Machine learning models make mistakes, yet sometimes it is difficult to identify the systematic problems behind the mistakes. Practitioners engage in various activities, including error analysis, testing, auditing, and red-teaming, to form hypotheses of what can go (or has gone) wrong with their models. To validate these hypotheses, practitioners employ data slicing to identify relevant examples. However, traditional data slicing is limited by available features and programmatic slicing functions. In this work, we propose SemSlicer, a framework that supports semantic data slicing, which identifies a semantically coherent slice, without the need for existing features. SemSlicer uses Large Language Models to annotate datasets and generate slices from any user-defined slicing criteria. We show that SemSlicer generates accurate slices with low cost, allows flexible trade-offs between different design dimensions, reliably identifies under-performing data slices, and helps practitioners identify useful data slices that reflect systematic problems.</t>
  </si>
  <si>
    <t>llm used for dataset annotation and slicing; unclear if input includes source-code-related context; no explicit mention of code or code-related artifacts as input to llm</t>
  </si>
  <si>
    <t>MR-Adopt: Automatic Deduction of Input Transformation Function for Metamorphic Testing | Proceedings of the 39th IEEE/ACM International Conference on Automated Software Engineering</t>
  </si>
  <si>
    <t>https://dl.acm.org/doi/10.1145/3691620.3696020</t>
  </si>
  <si>
    <t>While a recent study reveals that many developer-written test cases can encode a reusable Metamorphic Relation (MR), over 70% of them directly hard-code the source input and follow-up input in the encoded relation. Such encoded MRs, which do not contain an explicit input transformation to transform the source inputs to corresponding follow-up inputs, cannot be reused with new source inputs to enhance test adequacy.In this paper, we propose MR-Adopt (Automatic Deduction Of inPut Transformation) to automatically deduce the input transformation from the hard-coded source and follow-up inputs, aiming to enable the encoded MRs to be reused with new source inputs. With typically only one pair of source and follow-up inputs available in an MR-encoded test case as the example, we leveraged LLMs to understand the intention of the test case and generate additional examples of source-followup input pairs. This helps to guide the generation of input transformations generalizable to multiple source inputs. Besides, to mitigate the issue that LLMs generate erroneous code, we refine LLM-generated transformations by removing MR-irrelevant code elements with data-flow analysis. Finally, we assess candidate transformations based on encoded output relations and select the best transformation as the result. Evaluation results show that MR-Adopt can generate input transformations applicable to all experimental source inputs for 72.00% of encoded MRs, which is 33.33% more than using vanilla GPT-3.5. By incorporating MR-Adopt-generated input transformations, encoded MR-based test cases can effectively enhance the test adequacy, increasing the line coverage and mutation score by 10.62% and 18.91%, respectively.</t>
  </si>
  <si>
    <t>uses llm to generate input transformations for metamorphic testing; llm input includes source and follow-up inputs from test cases; test cases contain code elements; uses data-flow analysis to refine code generated by llm; input transformations are code-related</t>
  </si>
  <si>
    <t>code, tests, static analysis output</t>
  </si>
  <si>
    <t>From Misuse to Mastery: Enhancing Code Generation with Knowledge-Driven AI Chaining | Proceedings of the 38th IEEE/ACM International Conference on Automated Software Engineering0143</t>
  </si>
  <si>
    <t>https://dl.acm.org/doi/10.1109/ASE56229.2023.00143</t>
  </si>
  <si>
    <t>Large Language Models (LLMs) have shown promising results in automatic code generation by improving coding efficiency to a certain extent. However, generating high-quality and reliable code remains a formidable task because of LLMs' lack of good programming practice, especially in exception handling. In this paper, we first conduct an empirical study and summarize three crucial challenges of LLMs in exception handling, i.e., incomplete exception handling, incorrect exception handling and abuse of try-catch. We then try prompts with different granularities to address such challenges, finding fine-grained knowledge-driven prompts works best. Based on our empirical study, we propose a novel Knowledge-driven Prompt Chaining-based code generation approach, name KPC, which decomposes code generation into an AI chain with iterative check-rewrite steps and chains fine-grained knowledge-driven prompts to assist LLMs in considering exception-handling specifications. We evaluate our KPC-based approach with 3,079 code generation tasks extracted from the Java official API documentation. Extensive experimental results demonstrate that the KPC-based approach has considerable potential to ameliorate the quality of code generated by LLMs. It achieves this through proficiently managing exceptions and obtaining remarkable enhancements of 109.86% and 578.57% with static evaluation methods, as well as a reduction of 18 runtime bugs in the sampled dataset with dynamic validation.</t>
  </si>
  <si>
    <t>uses llm for code generation; input includes java official api documentation (api docs); focuses on exception handling with knowledge-driven prompts; api documentation counts as source-code-related context</t>
  </si>
  <si>
    <t>Smart Prompt Advisor: Multi-Objective Prompt Framework for Consistency and Best Practices | Proceedings of the 38th IEEE/ACM International Conference on Automated Software Engineering0019</t>
  </si>
  <si>
    <t>https://dl.acm.org/doi/10.1109/ASE56229.2023.00019</t>
  </si>
  <si>
    <t>Recent breakthroughs in Large Language Models (LLM), comprised of billions of parameters, have achieved the ability to unveil exceptional insight into a wide range of Natural Language Processing (NLP) tasks. The onus of the performance of these models lies in the sophistication and completeness of the input prompt. Minimizing the enhancement cycles of prompt with improvised keywords becomes critically important as it directly affects the time to market and cost of the developing solution. However, this process inevitably has a trade-off between the learning curve/proficiency of the user and completeness of the prompt, as generating such a solutions is an incremental process. In this paper, we have designed a novel solution and implemented it in the form of a plugin for Visual Studio Code IDE, which can optimize this trade-off, by learning the underlying prompt intent to enhance with keywords. This will tend to align with developers' collection of semantics while developing a secure code, ensuring parameter and local variable names, return expressions, simple pre and post-conditions. and basic control and data flow are met.</t>
  </si>
  <si>
    <t>llnm used for prompt optimization; mentions secure code development and parameter/local variable names; unclear if source-code-related input is explicitly given to llm; no explicit mention of code snippets or code elements as input</t>
  </si>
  <si>
    <t>SMT Solver Validation Empowered by Large Pre-Trained Language Models | Proceedings of the 38th IEEE/ACM International Conference on Automated Software Engineering0180</t>
  </si>
  <si>
    <t>https://dl.acm.org/doi/10.1109/ASE56229.2023.00180</t>
  </si>
  <si>
    <t>SMT solvers are utilized to check the satisfiability of logic formulas and have been applied in various crucial domains, including software verification, test case generation, and program synthesis. However, bugs hidden in SMT solvers can lead to severe consequences, causing erroneous results in these domains. Therefore, ensuring the reliability and robustness of SMT solvers is of critical importance. Despite several testing approaches proposed for SMT solvers, generating effective test formulas to comprehensively test SMT solvers remains a challenge. To address this challenge, in this study, we propose to port large language models (LLMs) to generate SMT formulas for fuzzing solvers. Specifically, the study presents a novel retrain-finetune pipeline to unleash the potential of language models to generate effective SMT formulas and improve their generation performance through data augmentation. We implemented our approach as a practical fuzzing tool, named LasT,and then extensively tested the state-of-the-art SMT solvers, namely Z3, cvc5, and Bitwuzla. To date, Last has successfully uncovered 65 genuine bugs for the solvers, of which 45 have been fixed by the developers.</t>
  </si>
  <si>
    <t>llm used to generate smt formulas; unclear if input includes existing source-code-related context or only natural language prompts; no explicit mention of code snippets or structural/code-related input to llm</t>
  </si>
  <si>
    <t>Rust-twins: Automatic Rust Compiler Testing through Program Mutation and Dual Macros Generation | Proceedings of the 39th IEEE/ACM International Conference on Automated Software Engineering</t>
  </si>
  <si>
    <t>https://dl.acm.org/doi/10.1145/3691620.3695059</t>
  </si>
  <si>
    <t>Rust is a relatively new programming language known for its memory safety and numerous advanced features. It has been widely used in system software in recent years. Thus, ensuring the reliability and robustness of the only implementation of the Rust compiler, rustc, is critical. However, compiler testing, as one of the most effective techniques to detect bugs, faces difficulties in generating valid Rust programs with sufficient diversity due to its stringent memory safety mechanisms. Furthermore, existing research primarily focuses on testing rustc to trigger crash errors, neglecting incorrect compilation results - miscompilation. Detecting miscompilation remains a challenge in the absence of multiple implementations of the Rust compiler to serve as a test oracle. This paper tackles these challenges by introducing rust-twins, a novel and effective approach to performing automated differential testing for rustc to detect both crashes and miscompilations. We devise four Rust-specific mutators and adapt fourteen general mutators for Rust, each intends to produce a syntax and semantic valid Rust program to trigger rustc crashes. Additionally, we develop a macroize approach to rewrite a regular Rust program into dual macros with equivalent behaviors but in different implementations. Furthermore, we design an assessment component to check the equivalence by comparing the expansion results with a simple macro input. Finally, rust-twins attempts to expand the two macros with numerous complex inputs to detect differences. Due to the macro expansion mechanism, the root causes of differences can arise not only from the macro expansion part but also from any other mis-implemented compiler code. We have evaluated rust-twins on the latest version of rustc. Our experimental results indicate that rust-twins achieves twice the total line coverage and identifies more crashes and differences than the best baseline technique, rustsmith, after 24 hours of testing. In total, rust-twins triggered 10 rustc crashes, and 229 of the generated macros exposed rustc differences. We analyzed and reported 12 previously unknown bugs, of which 8 have already been confirmed and fixed.</t>
  </si>
  <si>
    <t>no mention of llm or large language model usage; focus on compiler testing and mutation; no indication of llm receiving source-code-related input; purely compiler testing and macro generation approach</t>
  </si>
  <si>
    <t>Understanding Code Changes Practically with Small-Scale Language Models | Proceedings of the 39th IEEE/ACM International Conference on Automated Software Engineering</t>
  </si>
  <si>
    <t>https://dl.acm.org/doi/10.1145/3691620.3694999</t>
  </si>
  <si>
    <t>Recent studies indicate that traditional techniques for understanding code changes are not as effective as techniques that directly prompt language models (LMs). However, current LM-based techniques heavily rely on expensive, large LMs (LLMs) such as GPT-4 and Llama-13b, which are either commercial or prohibitively costly to deploy on a wide scale, thereby restricting their practical applicability. This paper explores the feasibility of deploying small LMs (SLMs) while maintaining comparable or superior performance to LLMs in code change understanding. To achieve this, we created a small yet high-quality dataset called HQCM which was meticulously reviewed, revised, and validated by five human experts. We fine-tuned state-of-the-art 7b and 220m SLMs using HQCM and compared them with traditional techniques and LLMs with ≥70b parameters. Our evaluation confirmed HQCM's benefits and demonstrated that SLMs, after finetuning by HQCM, can achieve superior performance in three change understanding tasks: change summarization, change classification, and code refinement. This study supports the use of SLMs in environments with security, computational, and financial constraints, such as in industry scenarios and on edge devices, distinguishing our work from the others.</t>
  </si>
  <si>
    <t>uses language models including large and small; fine-tunes models on code change understanding tasks; tasks include change summarization, classification, refinement; code changes imply source-code-related input; mentions git diffs or code changes as input context</t>
  </si>
  <si>
    <t>SpiderScan: Practical Detection of Malicious NPM Packages Based on Graph-Based Behavior Modeling and Matching | Proceedings of the 39th IEEE/ACM International Conference on Automated Software Engineering</t>
  </si>
  <si>
    <t>https://dl.acm.org/doi/10.1145/3691620.3695492</t>
  </si>
  <si>
    <t>Open source software (OSS) supply chains have been attractive targets for attacks. One of the significant, popular attacks is realized by malicious packages on package registries. NPM, as the largest package registry, has been recently flooded with malicious packages. In response to this severe security risk, many detection tools have been proposed. However, these tools do not model malicious behavior in a holistic way; only consider a predefined set of sensitive APIs; and require huge manual confirmation effort due to high false positives and binary detection results. Thus, their practical usefulness is hindered. To address these limitations, we propose a practical tool, named SpiderScan, to identify malicious NPM packages based on graph-based behavior modeling and matching. In the offline phase, given a set of malicious packages, SpiderScan models each malicious behavior in a graph that considers control flows and data dependencies across sensitive API calls, while leveraging LLM to recognize sensitive APIs in both built-in modules and third-party dependencies. In the online phase, given a target package, SpiderScan constructs its suspicious behavior graphs and matches them with malicious behavior graphs, and uses dynamic analysis and LLM to confirm the maliciousness only for certain malicious behaviors. Our extensive evaluation has demonstrated the effectiveness of SpiderScan over the state-of-the-art. SpiderScan has detected 249 new malicious packages in NPM, and received 70 thank letters from the official team of NPM.</t>
  </si>
  <si>
    <t>llm used to recognize sensitive apis in built-in modules and third-party dependencies; input includes control flows and data dependencies across sensitive api calls modeled as graphs; source-code-related context includes graph-based behavior modeling and matching</t>
  </si>
  <si>
    <t>Log Parsing: How Far Can ChatGPT Go? | Proceedings of the 38th IEEE/ACM International Conference on Automated Software Engineering0206</t>
  </si>
  <si>
    <t>https://dl.acm.org/doi/10.1109/ASE56229.2023.00206</t>
  </si>
  <si>
    <t>Software logs play an essential role in ensuring the reliability and maintainability of large-scale software systems, as they are often the sole source of runtime information. Log parsing, which converts raw log messages into structured data, is an important initial step towards downstream log analytics. In recent studies, ChatGPT, the current cutting-edge large language model (LLM), has been widely applied to a wide range of software engineering tasks. However, its performance in automated log parsing remains unclear. In this paper, we evaluate ChatGPT's ability to undertake log parsing by addressing two research questions. (1) Can ChatGPT effectively parse logs? (2) How does ChatGPT perform with different prompting methods? Our results show that ChatGPT can achieve promising results for log parsing with appropriate prompts, especially with few-shot prompting. Based on our findings, we outline several challenges and opportunities for ChatGPT-based log parsing.</t>
  </si>
  <si>
    <t>llm used is chatgpt; input is raw log messages not clearly source-code-related; no mention of code elements or code context; logs are runtime info but not code; unclear if any code snippets or code-related context given to llm</t>
  </si>
  <si>
    <t>Ansible Lightspeed: A Code Generation Service for IT Automation | Proceedings of the 39th IEEE/ACM International Conference on Automated Software Engineering</t>
  </si>
  <si>
    <t>https://dl.acm.org/doi/10.1145/3691620.3695277</t>
  </si>
  <si>
    <t>The availability of Large Language Models (LLMs) which can generate code, has made it possible to create tools that improve developer productivity. Integrated development environments or IDEs which developers use to write software are often used as an interface to interact with LLMs. Although many such tools have been released, almost all of them focus on general-purpose programming languages. Domain-specific languages, such as those crucial for Information Technology (IT) automation, have not received much attention. Ansible is one such YAML-based IT automation-specific language. Ansible Lightspeed is an LLM-based service designed explicitly to generate Ansible YAML, given natural language prompt. In this paper, we present the design and implementation of the Ansible Lightspeed service. We then evaluate its utility to developers using diverse indicators, including extended utilization, analysis of user edited suggestions, as well as user sentiments analysis. The evaluation is based on data collected for 10,696 real users including 3,910 returning users. The code for Ansible Lightspeed service and the analysis framework is made available for others to use. To our knowledge, our study is the first to involve thousands of users of code assistants for domain-specific languages. We are also the first code completion tool to present N-Day user retention figures, which is 13.66% on Day 30. We propose an improved version of user acceptance rate, called Strong Acceptance rate, where a suggestion is considered accepted only if less than 50% of it is edited and these edits do not change critical parts of the suggestion. By focusing on Ansible, Lightspeed is able to achieve a strong acceptance rate of 49.08% for multi-line Ansible task suggestions. With our findings we provide insights into the effectiveness of small, dedicated models in a domain-specific context. We hope this work serves as a reference for software engineering and machine learning researchers exploring code completion.</t>
  </si>
  <si>
    <t>llm generates ansible yaml from natural language prompt only; no indication of existing source-code-related input given to llm; domain-specific language generation from scratch</t>
  </si>
  <si>
    <t>Three Heads Are Better Than One: Suggesting Move Method Refactoring Opportunities with Inter-class Code Entity Dependency Enhanced Hybrid Hypergraph Neural Network | Proceedings of the 39th IEEE/ACM International Conference on Automated Software Engineering</t>
  </si>
  <si>
    <t>https://dl.acm.org/doi/10.1145/3691620.3695068</t>
  </si>
  <si>
    <t>Methods implemented in incorrect classes will cause excessive reliance on other classes than their own, known as a typical code smell symptom: feature envy, which makes it difficult to maintain increased coupling between classes. Addressing this issue, several Move Method refactoring tools have been proposed, employing a two-phase process: identifying misplaced methods to move and appropriate classes to receive, and implementing the mechanics of refactoring. These tools traditionally use hard-coded metrics to measure correlations between movable methods and target classes and apply heuristic thresholds or trained classifiers to unearth refactoring opportunities. Yet, these approaches predominantly illuminate pairwise correlations between methods and classes while overlooking the complex and complicated dependencies binding multiple code entities within these methods/classes that are prevalent in real-world cases. This narrow focus can lead to refactoring suggestions that may diverge from developers' actual needs. To bridge this gap, our paper leverages the concept of inter-class code entity dependency hypergraph to model complicated dependency relationships involving multiple code entities within various methods/classes and proposes a hypergraph learning-based approach to suggest Move Method refactoring opportunities named HMove. We first construct inter-class code entity dependency hypergraphs from training samples and assign attributes to entities with a pre-trained code model. All the attributed hypergraphs are fed into a hybrid hypergraph neural network for training. Utilizing this trained neural network alongside a large language model, we construct a refactoring suggestion system. We trained HMove on a large-scale dataset and evaluated it on two real-world datasets. The results show that demonstrates an increase of 27.8% in precision, 2.5% in recall, and 18.5% in f1-measure compared to 9 state-of-the-art refactoring tools, which is more useful for 68% of participants. The results also unveil practical suggestions and new insights that benefit existing feature envy-related refactoring techniques.</t>
  </si>
  <si>
    <t>llm used in refactoring suggestion system; input includes inter-class code entity dependency hypergraphs; attributed hypergraphs constructed from code entities; source-code-related context given to llm</t>
  </si>
  <si>
    <t>Automated Validation of COBOL to Java Transformation | Proceedings of the 39th IEEE/ACM International Conference on Automated Software Engineering</t>
  </si>
  <si>
    <t>https://dl.acm.org/doi/10.1145/3691620.3695365</t>
  </si>
  <si>
    <t>Recent advances in Large Language Model (LLM) based Generative AI techniques have made it feasible to translate enterpriselevel code from legacy languages such as COBOL to modern languages such as Java or Python. While the results of LLM-based automatic transformation are encouraging, the resulting code cannot be trusted to correctly translate the original code. We propose a framework and a tool to help validate the equivalence of COBOL and translated Java. The results can also help repair the code if there are some issues and provide feedback to the AI model to improve. We have developed a symbolic-execution-based test generation to automatically generate unit tests for the source COBOL programs which also mocks the external resource calls. We generate equivalent JUnit test cases with equivalent mocking as COBOL and run them to check semantic equivalence between original and translated programs. Demo Video: https://youtu.be/aqF_agNP-lU</t>
  </si>
  <si>
    <t>mentions llm-based automatic transformation; no explicit mention of llm input including source code or code snippets; focus on validation and test generation rather than llm input details</t>
  </si>
  <si>
    <t>GPTZoo: A Large-scale Dataset of GPTs for the Research Community | Proceedings of the 39th IEEE/ACM International Conference on Automated Software Engineering</t>
  </si>
  <si>
    <t>https://dl.acm.org/doi/10.1145/3691620.3695309</t>
  </si>
  <si>
    <t>The rapid advancements in Large Language Models (LLMs) have revolutionized natural language processing, with GPTs, customized versions of ChatGPT available on the GPT Store, emerging as a prominent technology for specific domains and tasks. To support academic research on GPTs, we introduce GPTZoo, a large-scale dataset comprising 730,420 GPT instances. Each instance includes rich metadata with 21 attributes describing its characteristics, as well as instructions, knowledge files, and third-party services utilized during its development. GPTZoo aims to provide researchers with a comprehensive and readily available resource to study the real-world applications, performance, and potential of GPTs. To facilitate efficient retrieval and analysis of GPTs, we also developed an automated command-line interface (CLI) that supports keyword-based searching of the dataset. To promote open research and innovation, the GPTZoo dataset will undergo continuous updates, and we are granting researchers public access to GPTZoo and its associated tools.</t>
  </si>
  <si>
    <t>dataset of gpts; metadata with 21 attributes; no explicit mention of source-code-related input to llms; focus on gpt instances and instructions; unclear if code context provided</t>
  </si>
  <si>
    <t>Towards Automatically Addressing Self-Admitted Technical Debt: How Far Are We? | Proceedings of the 38th IEEE/ACM International Conference on Automated Software Engineering0103</t>
  </si>
  <si>
    <t>https://dl.acm.org/doi/10.1109/ASE56229.2023.00103</t>
  </si>
  <si>
    <t>Upon evolving their software, organizations and individual developers have to spend a substantial effort to pay back technical debt, i.e, the fact that software is released in a shape not as good as it should be, e.g, in terms of functionality, reliability, or maintainability. This paper empirically investigates the extent to which technical debt can be automatically paid back by neural-based generative models, and in particular models exploiting different strategies for pre-training and fine-tuning. We start by extracting a dateset of 5,039 Self-Admitted Technical Debt (SATD) removals from 595 open-source projects. SATD refers to technical debt instances documented (e.g, via code comments) by developers. We use this dataset to experiment with seven different generative deep learning (DL) model configurations. Specifically, we compare transformers pre-trained and fine-tuned with different combinations of training objectives, including the fixing of generic code changes, SATD removals, and SATD-comment prompt tuning. Also, we investigate the applicability in this context of a recently-available Large Language Model (LLM)-based chat bot. Results of our study indicate that the automated repayment of SATD is a challenging task, with the best model we experimented with able to automatically fix ∼2% to 8% of test instances, depending on the number of attempts it is allowed to make. Given the limited size of the fine-tuning dataset (∼5k instances), the model's pre-training plays a fundamental role in boosting performance. Also, the ability to remove SATD steadily drops if the comment documenting the SATD is not provided as input to the model. Finally, we found general-purpose LLMs to not be a competitive approach for addressing SATD.</t>
  </si>
  <si>
    <t>uses llm-based chatbot; input includes satd comments (inline comments documenting technical debt); satd comments are source-code-related documentation; experiments with pre-training and fine-tuning on code changes and satd removals; llm input includes code comments as context</t>
  </si>
  <si>
    <t>Detecting and Explaining Anomalies Caused by Web Tamper Attacks via Building Consistency-based Normality | Proceedings of the 39th IEEE/ACM International Conference on Automated Software Engineering</t>
  </si>
  <si>
    <t>https://dl.acm.org/doi/10.1145/3691620.3695024</t>
  </si>
  <si>
    <t>Web applications are crucial infrastructures in the modern society, which have high demand of reliability and security. However, their frontend can be manipulable by the clients (e.g., the frontend code can be modified to bypass some validation steps), which incurs the runtime anomaly when operating the web service. Existing state-of-the-art anomaly detectors largely learn a deep learning model from the collected logs to predict abnormal logs with a probability. While effective in general, those approaches can suffer from (1) inaccuracy caused by subtle difference between the normal and abnormal/attack logs and (2) additional efforts for root cause analysis. In this work, we propose WebNorm, an anomaly detection approach to detect and explain the attack-caused anomalies on web applications in a unified way. Our rationale lies in learning the behaviorial normalities of a running web application as invariants. The normalities are designed regarding data normality (e.g., what information must be consistent across different events), flow normality (e.g., what events must happen under certain circumstances), and common-sense normality (e.g., what is the normal range of some parameters). The violation of the invariants indicates both the alarm and its explanation. WebNorm first monitors the normal behaviors of subject application and captures its information flows between entities such as frontend, service, and database. Then, it learns the behaviorial normalities in terms of logical rules so that it can detect and explain behaviorial anomaly by the inconsistency between the learned normalities and the runtime application behaviors. We model the invariants as first-order logics, transferrable to executable Python scripts to generate alarm with explainable root cause. Our extensive experiment shows that, on detecting the tamper attacks on the web applications as TrainTicket and NiceFish. WebNorm improves the precision and the recall of the baselines such as LogAnomaly, LogRobust, DeepLog, NeuralLog, PLELog, ReplicaWatcher by more than 56.1% and 35.1% respectively, serving as a new state-of-the-art anomaly detection solution.</t>
  </si>
  <si>
    <t>no mention of llm or large language model; approach based on logical rules and first-order logic; anomaly detection from logs and runtime behaviors; no indication of llm input or code-related input</t>
  </si>
  <si>
    <t>COMEX: A Tool for Generating Customized Source Code Representations | Proceedings of the 38th IEEE/ACM International Conference on Automated Software Engineering0010</t>
  </si>
  <si>
    <t>https://dl.acm.org/doi/10.1109/ASE56229.2023.00010</t>
  </si>
  <si>
    <t>Learning effective representations of source code is critical for any Machine Learning for Software Engineering (ML4SE) system. Inspired by natural language processing, large language models (LLMs) like Codex and CodeGen treat code as generic sequences of text and are trained on huge corpora of code data, achieving state of the art performance on several software engineering (SE) tasks. However, valid source code, unlike natural language, follows a strict structure and pattern governed by the underlying grammar of the programming language. Current LLMs do not exploit this property of the source code as they treat code like a sequence of tokens and overlook key structural and semantic properties of code that can be extracted from code-views like the Control Flow Graph (CFG), Data Flow Graph (DFG), Abstract Syntax Tree (AST), etc. Unfortunately, the process of generating and integrating code-views for every programming language is cumbersome and time consuming. To overcome this barrier, we propose our tool COMEX - a framework that allows researchers and developers to create and combine multiple code-views which can be used by machine learning (ML) models for various SE tasks. Some salient features of our tool are: (i) it works directly on source code (which need not be compilable), (ii) it currently supports Java and C#, (iii) it can analyze both method-level snippets and program-level snippets by using both intra-procedural and inter-procedural analysis, and (iv) it is easily extendable to other languages as it is built on tree-sitter - a widely used incremental parser that supports over 40 languages. We believe this easy-to-use code-view generation and customization tool will give impetus to research in source code representation learning methods and ML4SE. The source code and demonstration of our tool can be found at https://github.com/IBM/tree-sitter-codeviews and https://youtu.be/GER6U87FVbU, respectively.</t>
  </si>
  <si>
    <t>mentions llms like codex and codegen; focuses on generating code-views for ml models; unclear if llm input includes source-code-related context or just raw code sequences; no explicit mention of llm receiving structured code input or code-views as input</t>
  </si>
  <si>
    <t>Contextualized Data-Wrangling Code Generation in Computational Notebooks | Proceedings of the 39th IEEE/ACM International Conference on Automated Software Engineering</t>
  </si>
  <si>
    <t>https://dl.acm.org/doi/10.1145/3691620.3695503</t>
  </si>
  <si>
    <t>Data wrangling, the process of preparing raw data for further analysis in\ncomputational notebooks, is a crucial yet time-consuming step in data science.\nCode generation has the potential to automate the data wrangling process to\nreduce analysts' overhead by translating user intents into executable code.\nPrecisely generating data wrangling code necessitates a comprehensive\nconsideration of the rich context present in notebooks, including textual\ncontext, code context and data context. However, notebooks often interleave\nmultiple non-linear analysis tasks into linear sequence of code blocks, where\nthe contextual dependencies are not clearly reflected. Directly training models\nwith source code blocks fails to fully exploit the contexts for accurate\nwrangling code generation.\n To bridge the gap, we aim to construct a high quality datasets with clear and\nrich contexts to help training models for data wrangling code generation tasks.\nIn this work, we first propose an automated approach, CoCoMine to mine\ndata-wrangling code generation examples with clear multi-modal contextual\ndependency. It first adopts data flow analysis to identify the code blocks\ncontaining data wrangling codes. Then, CoCoMine extracts the contextualized\ndatawrangling code examples through tracing and replaying notebooks. With\nCoCoMine, we construct CoCoNote, a dataset containing 58,221 examples for\nContextualized Data-wrangling Code generation in Notebooks. To demonstrate the\neffectiveness of our dataset, we finetune a range of pretrained code models and\nprompt various large language models on our task. Furthermore, we also propose\nDataCoder, which encodes data context and code&amp;amp;textual contexts separately to\nenhance code generation. Experiment results demonstrate the significance of\nincorporating data context in data-wrangling code generation and the\neffectiveness of our model. We release code and data at url...\n</t>
  </si>
  <si>
    <t>llm finetuned and prompted on data-wrangling code generation; input includes code blocks with data wrangling code; uses data flow analysis to identify code blocks; encodes data context and code/textual contexts separately; clear multi-modal contextual dependency including code context</t>
  </si>
  <si>
    <t>code, graph-based expansion, dynamic/runtime context, natural language</t>
  </si>
  <si>
    <t>A Closer Look at Different Difficulty Levels Code Generation Abilities of ChatGPT | Proceedings of the 38th IEEE/ACM International Conference on Automated Software Engineering0096</t>
  </si>
  <si>
    <t>https://dl.acm.org/doi/10.1109/ASE56229.2023.00096</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</si>
  <si>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"code cleanness", we observe that the generated codes are with small functions and file sizes, which are in line with the standard of clean code.</t>
  </si>
  <si>
    <t>llm (chatgpt) used for code generation from natural language specs only; no indication of source-code-related input given to llm; prompts designed from human-eval dataset but no code snippets fed as input; focus on zero-shot generation from nl problem statements; no mention of feeding existing code or code context</t>
  </si>
  <si>
    <t>DroidCoder: Enhanced Android Code Completion with Context-Enriched Retrieval-Augmented Generation | Proceedings of the 39th IEEE/ACM International Conference on Automated Software Engineering</t>
  </si>
  <si>
    <t>https://dl.acm.org/doi/10.1145/3691620.3695063</t>
  </si>
  <si>
    <t>Android is the most popular mobile operating system. However, Android development requires extensive coding, especially for unique features such as lifecycle callbacks and UI widgets. Existing code completion methods typically utilize Retrieval-Augmented Generation (RAG) to provide contextual information for pre-trained code large language models (Code LLMs) to perform completion. Despite considerable progress in these methods, their effectiveness in Android development remains limited. This is because the features of Android development make it challenging for existing retrieval mechanisms to extract sufficient context effectively. In response, we propose DroidCoder, a novel Android code completion framework that employs Android development features and contextual information of code snippets to enrich RAG. It also incorporates a specifically designed loss function to fine-tune the model, enabling it to better utilize context-enhanced RAG for Android code completion. We evaluated our method on three base models and different types of applications, comparing it with two state-of-the-art code completion methods. The experimental results demonstrate that our method significantly outperforms the baselines at line-level and multi-line-level code completion and improves the quality of the completed code.</t>
  </si>
  <si>
    <t>uses code large language models; employs retrieval-augmented generation; retrieval provides contextual information including code snippets; context-enriched input to llm for android code completion</t>
  </si>
  <si>
    <t>Domain Adaptive Code Completion via Language Models and Decoupled Domain Databases | Proceedings of the 38th IEEE/ACM International Conference on Automated Software Engineering0076</t>
  </si>
  <si>
    <t>https://dl.acm.org/doi/10.1109/ASE56229.2023.00076</t>
  </si>
  <si>
    <t>Large Language Models (LLMs) have demonstrated remarkable performance in code completion. However, due to the lack of domain-specific knowledge, they may not be optimal in completing code that requires intensive domain knowledge for example completing the library names. Although there are several works that have confirmed the effectiveness of fine-tuning techniques to adapt language models for code completion in specific domains. They are limited by the need for constant fine-tuning of the model when the project is in constant iteration. To address this limitation, in this paper, we propose &lt;tex xmlns:mml="http://www.w3.org/1998/Math/MathML" xmlns:xlink="http://www.w3.org/1999/xlink"&gt;$k$&lt;/tex&gt; NM-LM, a retrieval-augmented language model (R-LM), that integrates domain knowledge into language models without fine-tuning. Different from previous techniques, our approach is able to automatically adapt to different language models and domains. Specifically, it utilizes the in-domain code to build the retrieval-based database decoupled from LM, and then combines it with LM through Bayesian inference to complete the code. The extensive experiments on the completion of intra-project and intra-scenario have confirmed that &lt;tex xmlns:mml="http://www.w3.org/1998/Math/MathML" xmlns:xlink="http://www.w3.org/1999/xlink"&gt;$k$&lt;/tex&gt; NM-LM brings about appreciable enhancements when compared to CodeGPT and UnixCoder. A deep analysis of our tool including the responding speed, storage usage, specific type code completion, and API invocation completion has confirmed that &lt;tex xmlns:mml="http://www.w3.org/1998/Math/MathML" xmlns:xlink="http://www.w3.org/1999/xlink"&gt;$k$&lt;/tex&gt; NM-LM provides satisfactory performance, which renders it highly appropriate for domain adaptive code completion. Furthermore, our approach operates without the requirement for direct access to the language model's parameters. As a result, it can seamlessly integrate with black-box code completion models, making it easy to integrate our approach as a plugin to further enhance the performance of these models.</t>
  </si>
  <si>
    <t>uses llm for code completion; integrates domain-specific code database; retrieval-augmented input includes in-domain code snippets; no fine-tuning but uses code context for completion</t>
  </si>
  <si>
    <t>SCPatcher: Mining Crowd Security Discussions to Enrich Secure Coding Practices | Proceedings of the 38th IEEE/ACM International Conference on Automated Software Engineering0040</t>
  </si>
  <si>
    <t>https://dl.acm.org/doi/10.1109/ASE56229.2023.00040</t>
  </si>
  <si>
    <t>Secure coding practices (SCPs) have been proposed to guide software developers to write code securely to prevent potential security vulnerabilities. Yet, they are typically one-sentence principles without detailed specifications, e.g., "Properly free allocated memory upon the completion of functions and at all exit points.", which makes them difficult to follow in practice, especially for software developers who are not yet experienced in secure programming. To address this problem, this paper proposes SCPatcher, an automated approach to enrich secure coding practices by mining crowd security discussions on online knowledge-sharing platforms, such as Stack Overflow. In particular, for each security post, SCPatcher first extracts the area of coding examples and coding explanations with a fix-prompt tuned Large Language Model (LLM) via Prompt Learning. Then, it hierarchically slices the lengthy code into coding examples and summarizes the coding explanations with the areas. Finally, SCPatcher matches the CWE and Public SCP, integrating them with extracted coding examples and explanations to form the SCP specifications, which are the wild SCPs with details, proposed by the developers. To evaluate the performance of SCPatcher, we conduct experiments on 3,907 security posts from Stack Overflow. The experimental results show that SCPatcher outperforms all baselines in extracting the coding examples with 2.73 % MLine on average, as well as coding explanations with 3.97 % F1 on average. Moreover, we apply SCPatcher on 447 new security posts to further evaluate its practicality, and the extracted SCP specifications enrich the public SCPs with 3,074 lines of code and 1,967 sentences.</t>
  </si>
  <si>
    <t>uses llm with fix-prompt tuning; extracts coding examples and explanations from security posts; input includes code snippets from stack overflow posts; integrates with cwe and secure coding practices; llm input includes source-code-related context (code examples)</t>
  </si>
  <si>
    <t>code, retrieval-based context, documentation/specifications</t>
  </si>
  <si>
    <t>Nuances Are the Key: Unlocking ChatGPT to Find Failure-Inducing Tests with Differential Prompting | Proceedings of the 38th IEEE/ACM International Conference on Automated Software Engineering0089</t>
  </si>
  <si>
    <t>https://dl.acm.org/doi/10.1109/ASE56229.2023.00089</t>
  </si>
  <si>
    <t>Automated detection of software failures is an important but challenging software engineering task. It involves finding in a vast search space the failure-inducing test cases that contain an input triggering the software fault and an oracle asserting the incorrect execution. We are motivated to study how far this outstanding challenge can be solved by recent advances in large language models (LLMs) such as ChatGPT. However, our study reveals that ChatGPT has a relatively low success rate (28.8%) in finding correct failure-inducing test cases for buggy programs. A possible conjecture is that finding failure-inducing test cases requires analyzing the subtle differences (nuances) between the tokens of a program's correct version and those for its buggy version. When these two versions have similar sets of tokens and attentions, ChatGPT is weak in distinguishing their differences. We find that ChatGPT can successfully generate failure-inducing test cases when it is guided to focus on the nuances. Our solution is inspired by an interesting observation that ChatGPT could infer the intended functionality of buggy code if it is similar to the correct version. Driven by the inspiration, we develop a novel technique, called Differential Prompting, to effectively find failure-inducing test cases with the help of the compilable code synthesized by the inferred intention. Prompts are constructed based on the nuances between the given version and the synthesized code. We evaluate Differential Prompting on Quixbugs (a popular benchmark of buggy programs) and recent programs published at Codeforces (a popular programming contest portal, which is also an official benchmark of ChatGPT). We compare Differential Prompting with two baselines constructed using conventional ChatGPT prompting and Pynguin (the state-of-the-art unit test generation tool for Python programs). Our evaluation results show that for programs of Quixbugs, Differential Prompting can achieve a success rate of 75.0% in finding failure-inducing test cases, outperforming the best baseline by 2.6X. For programs of Codeforces, Differential Prompting's success rate is 66.7%, outperforming the best baseline by 4.0X.</t>
  </si>
  <si>
    <t>uses chatgpt llm; input includes buggy and correct program versions; focuses on subtle token differences in code; prompts constructed based on code nuances; source-code-related input clearly given</t>
  </si>
  <si>
    <t>A Comparative Study of Transformer-Based Neural Text Representation Techniques on Bug Triaging | Proceedings of the 38th IEEE/ACM International Conference on Automated Software Engineering0217</t>
  </si>
  <si>
    <t>https://dl.acm.org/doi/10.1109/ASE56229.2023.00217</t>
  </si>
  <si>
    <t>Bug report management has been shown to be an important and time consuming software maintenance task. Often, the first step in managing bug reports is related to triaging a bug to the appropriate developer who is best suited to understand, localize, and fix the target bug. Additionally, assigning a given bug to a particular part of a software project can help to expedite the fixing process. However, despite the importance of these activities, they are quite challenging, where days can be spent on the manual triaging process. Past studies have attempted to leverage the limited textual data of bug reports to train text classification models that automate this process - to varying degrees of success. However, the textual representations and machine learning models used in prior work are limited by their expressiveness, often failing to capture nuanced textual patterns that might otherwise aid in the triaging process. Recently, large, transformer-based, pre-tained neural text representation techniques (i.e., large language models or LLMs) such as BERT and CodeBERT have achieved greater performance with simplified training procedures in several natural language processing tasks, including text classification. However, the potential for using these techniques to improve upon prior approaches for automated bug triaging is not well studied or understood. Therefore, in this paper we offer one of the first investigations that fine-tunes transformer-based language models for the task of bug triaging on four open source datasets, spanning a collective 53 years of development history with over 400 developers and over 150 software project components. Our study includes both a quantitative and qualitative analysis of effectiveness. Our findings illustrate that DeBERTa is the most effective technique across the triaging tasks of developer and component assignment, and the measured performance delta is statistically significant compared to other techniques. However, through our qualitative analysis, we also observe that each technique possesses unique abilities best suited to certain types of bug reports.</t>
  </si>
  <si>
    <t>llm used for bug triaging; input is bug reports textual data; no explicit mention of source-code-related input; focus on text classification of bug reports; unclear if code snippets or code-related context included</t>
  </si>
  <si>
    <t>GraphCoder: Enhancing Repository-Level Code Completion via Coarse-to-fine Retrieval Based on Code Context Graph | Proceedings of the 39th IEEE/ACM International Conference on Automated Software Engineering</t>
  </si>
  <si>
    <t>https://dl.acm.org/doi/10.1145/3691620.3695054</t>
  </si>
  <si>
    <t>The performance of repository-level code completion depends upon the effective leverage of both general and repository-specific knowledge. Despite the impressive capability of code LLMs in general code completion tasks, they often exhibit less satisfactory performance on repository-level completion due to the lack of repository-specific knowledge in these LLMs. To address this problem, we propose GraphCoder, a retrieval-augmented code completion framework that leverages LLMs' general code knowledge and the repository-specific knowledge via a graph-based retrieval-generation process. In particular, GraphCoder captures the context of completion target more accurately through code context graph (CCG) that consists of control-flow, data- and control-dependence between code statements, a more structured way to capture the completion target context than the sequence-based context used in existing retrieval-augmented approaches; based on CCG, GraphCoder further employs a coarse-to-fine retrieval process to locate context-similar code snippets with the completion target from the current repository. Experimental results demonstrate both the effectiveness and efficiency of GraphCoder: Compared to baseline retrieval-augmented methods, GraphCoder achieves higher exact match (EM) on average, with increases of +6.06 in code match and +6.23 in identifier match, while using less time and space.</t>
  </si>
  <si>
    <t>llm used for code completion; input includes code context graph capturing control-flow and data/control dependencies; retrieval of context-similar code snippets from repository; retrieval-augmented generation with source-code-related input</t>
  </si>
  <si>
    <t>code, graph-based expansion, retrieval-based context</t>
  </si>
  <si>
    <t>RepoSim: Evaluating Prompt Strategies for Code Completion via User Behavior Simulation | Proceedings of the 39th IEEE/ACM International Conference on Automated Software Engineering</t>
  </si>
  <si>
    <t>https://dl.acm.org/doi/10.1145/3691620.3695299</t>
  </si>
  <si>
    <t>Large language models (LLMs) have revolutionized code completion tasks. IDE plugins such as MarsCode can generate code recommendations, saving developers significant time and effort. However, current evaluation methods for code completion are limited by their reliance on static code benchmarks, which do not consider human interactions and evolving repositories. This paper proposes RepoSim, a novel benchmark designed to evaluate code completion tasks by simulating the evolving process of repositories and incorporating user behaviors. RepoSim leverages data from an IDE plugin, by recording and replaying user behaviors to provide a realistic programming context for evaluation. This allows for the assessment of more complex prompt strategies, such as utilizing recently visited files and incorporating user editing history. Additionally, RepoSim proposes a new metric based on users' acceptance or rejection of predictions, offering a user-centric evaluation criterion. Our preliminary evaluation demonstrates that incorporating users' recent edit history into prompts significantly improves the quality of LLM-generated code, highlighting the importance of temporal context in code completion. RepoSim represents a significant advancement in benchmarking tools, offering a realistic and user-focused framework for evaluating code completion performance.</t>
  </si>
  <si>
    <t>llm used for code completion; prompts include recent edit history; user behavior simulation implies source-code-related input; temporal context from code edits used in prompts</t>
  </si>
  <si>
    <t>Modeling Programmer Attention as Scanpath Prediction | Proceedings of the 38th IEEE/ACM International Conference on Automated Software Engineering0092</t>
  </si>
  <si>
    <t>https://dl.acm.org/doi/10.1109/ASE56229.2023.00092</t>
  </si>
  <si>
    <t>This paper launches a new effort at modeling programmer attention by predicting eye movement scanpaths. Programmer attention refers to what information people intake when performing programming tasks. Models of programmer attention refer to machine prediction of what information is important to people. Models of programmer attention are important because they help researchers build better interfaces, assistive technologies, and more human-like AI. For many years, researchers in SE have built these models based on features such as mouse clicks, key logging, and IDE interactions. Yet the holy grail in this area is scanpath prediction - the prediction of the sequence of eye fixations a person would take over a visual stimulus. A person's eye movements are considered the most concrete evidence that a person is taking in a piece of information. Scanpath prediction is a notoriously difficult problem, but we believe that the emergence of lower-cost, higheraccuracy eye tracking equipment and better large language models of source code brings a solution within grasp. We present an eye tracking experiment with 27 programmers and a prototype scanpath predictor to present preliminary results and obtain early community feedback.</t>
  </si>
  <si>
    <t>llm mentioned as large language models of source code; unclear if llm input includes actual source code or just eye tracking data; no explicit mention of source-code-related input to llm; focus on scanpath prediction and eye movement modeling</t>
  </si>
  <si>
    <t>DataRecipe --- How to Cook the Data for CodeLLM? | Proceedings of the 39th IEEE/ACM International Conference on Automated Software Engineering</t>
  </si>
  <si>
    <t>https://dl.acm.org/doi/10.1145/3691620.3695593</t>
  </si>
  <si>
    <t>Despite the proliferation of language models, a lack of transparency persists regarding the training datasets used. Security concerns are often cited, but identifying high-quality training data is crucial for optimal model performance. Yet, while significant efforts have been made to improve model performance, dataset quality remains an under-explored area. Our study addresses this gap by comprehensively investigating data-quality properties and processing strategies used to train code generation models. We focus on identifying dataset features that impact model performance and leverage these insights to optimize datasets and enhance model efficacy. Our approach involves a multifaceted analysis encompassing metadata, statistics, data quality issues, semantic correlations between intent and code, and design choices. By manipulating these features, we explore their influence on model performance. Our findings reveal that dataset design choices significantly impact the performance of code generation models. Additionally, semantic correlations between intent and code can also affect performance, although to varying degrees. © 2024 Copyright is held by the owner/author(s). Publication rights licensed to ACM.</t>
  </si>
  <si>
    <t>focuses on dataset quality and training data for code generation models; no explicit mention of LLM input including source-code-related context; unclear if LLM input includes code snippets or just metadata/statistics; no direct evidence of code elements or related context given to LLM</t>
  </si>
  <si>
    <t>Improving Code Extraction from Coding Screencasts Using a Code-Aware Encoder-Decoder Model | Proceedings of the 38th IEEE/ACM International Conference on Automated Software Engineering0184</t>
  </si>
  <si>
    <t>https://dl.acm.org/doi/10.1109/ASE56229.2023.00184</t>
  </si>
  <si>
    <t>Accurate automatic code extraction from tutorial videos is crucial for software developers seeking to reuse the code contained in these videos. Current methods using optical character recognition (OCR) often yield inaccurate results due to code complexity and variations in screencast formats. To address this issue, we introduce CodeT5-OCRfix, an approach that leverages the pre-trained code-aware large language model CodeT5 to enhance code extraction accuracy by post-processing OCRed code. We first collect a large and diverse dataset of source code screenshots captured from more than 10K Java projects from GitHub. We then apply the most widely used OCR engine for the task of code extraction from videos, Tesseract, on these screenshots and collect the OCRed code along with the ground truth code extracted from the Java files. We built a training dataset of more than 585K pairs of OCRed and ground truth code pairs, which we then used to fine-tune CodeT5, obtaining our model CodeT5-OCRfix. An empirical evaluation on both screenshots and screencast frames shows that CodeT5-OCRfix outperforms baseline code extraction models and is also more time-efficient. Our approach therefore improves the state-of-the-art in code extraction techniques from screencasts and images.</t>
  </si>
  <si>
    <t>uses pretrained code-aware llm (CodeT5); fine-tunes on pairs of ocred code and ground truth code; input to llm includes source code snippets (ocred code); task is code extraction correction from code screenshots</t>
  </si>
  <si>
    <t>Preference-Guided Refactored Tuning for Retrieval Augmented Code Generation | Proceedings of the 39th IEEE/ACM International Conference on Automated Software Engineering</t>
  </si>
  <si>
    <t>https://dl.acm.org/doi/10.1145/3691620.3694987</t>
  </si>
  <si>
    <t>Retrieval-augmented code generation utilizes Large Language Models as the generator and significantly expands their code generation capabilities by providing relevant code, documentation, and more via the retriever. The current approach suffers from two primary limitations: 1) information redundancy. The indiscriminate inclusion of redundant information can result in resource wastage and may misguide generators, affecting their effectiveness and efficiency. 2) preference gap. Due to different optimization objectives, the retriever strives to procure code with higher ground truth similarity, yet this effort does not substantially benefit the generator. The retriever and the generator may prefer different golden code, and this gap in preference results in a suboptimal design. Additionally, differences in parameterization knowledge acquired during pre-training result in varying preferences among different generators. To address these limitations, in this paper, we propose RRG (Retrieve, Refactor, Generate), a novel framework for effective and efficient code generation. This framework introduces a code refactorer module between the retriever and the generator to bridge them. The refactoring process transforms the raw retrieved code into a more concise, efficient, and model-friendly version. It eliminates redundant information and noise, reducing the input length. Consequently, the generator receives higher-quality context, enabling it to produce more accurate results with lower inference costs. We conducted comprehensive experiments on multiple datasets. In the experiments, we confirmed the existence of a preference gap between the retriever and the generator, and RRG effectively bridges this gap. Specifically, RRG achieved significant performance improvements, with increases of up to 28% on EM, 13% on BLEU, and 6.8% on CodeBLEU.</t>
  </si>
  <si>
    <t>uses llm for code generation; input includes retrieved code snippets; refactoring reduces redundancy in retrieved code; retrieval-augmented generation with source-code-related input</t>
  </si>
  <si>
    <t>Sifting through the Chaff: On Utilizing Execution Feedback for Ranking the Generated Code Candidates | Proceedings of the 39th IEEE/ACM International Conference on Automated Software Engineering</t>
  </si>
  <si>
    <t>https://dl.acm.org/doi/10.1145/3691620.3695000</t>
  </si>
  <si>
    <t>Large Language Models (LLMs), such as GPT-4, StarCoder, and Code Llama, are transforming the way developers approach programming by automatically generating code based on given contexts, such as natural language descriptions or incomplete surrounding code. Despite advancements, generating syntactically and semantically correct code remains challenging, especially for complex programming tasks. Existing approaches typically generate multiple candidate solutions using LLMs to increase the likelihood of producing correct code. However, selecting the correct code from these candidates --- a process known as code ranking --- remains a major challenge. Current research on code ranking can be categorized into execution-based and non-execution-based methods. Execution-based methods, although effective, encounter notable limitations, such as scarcity of quality unit tests and security risks. Non-execution-based methods like CodeRanker, which rely solely on classification labels to train a code ranker, struggle to capture subtle errors and provide detailed error insights. Recognizing the strengths and limitations of both approaches, we propose a new method that integrates the advantages of execution-based and non-execution-based techniques. The key insight of our work is that an effective code ranker is expected to truly comprehend the underlying causes of erroneous code, as relying solely on classification labels is insufficient. Inspired by this, this paper puts forward RankEF, an innovative approach for code ranking that leverages execution feedback. RankEF employs multi-task learning to integrate code classification with execution feedback generation. This approach enables the model to understand the reasons behind incorrect code, distinguishing between correct and incorrect solutions without the need to execute the code during the ranking phase. Experiments on three code generation benchmarks---APPS, MBPP, and HumanEval---demonstrate that RankEF significantly outperforms the state-of-the-art CodeRanker, achieving relative improvements of +30.97%, +31.43%, and +19.51% in Pass@1, Pass@2, and Pass@5 on APPS test, respectively.</t>
  </si>
  <si>
    <t>llm used for code generation and ranking; input includes code candidates to rank; execution feedback used but ranking without executing code; code classification and execution feedback generation implies code-related input</t>
  </si>
  <si>
    <t>Giving without Notifying: Assessing Compliance of Data Transmission in Android Apps | Proceedings of the 39th IEEE/ACM International Conference on Automated Software Engineering</t>
  </si>
  <si>
    <t>https://dl.acm.org/doi/10.1145/3691620.3695528</t>
  </si>
  <si>
    <t>Mobile apps often access personal information to meet business needs, raising concerns about privacy breaches. Compliance detection methods are proposed to check for inconsistencies between program code and privacy policies. However, existing methods face challenges with the low efficiency of static data flow analysis tools and often neglect physical data transmission destinations. To address these issues, we propose an automated compliance detection method called GNChecker. It uses an efficient static data flow analysis technique with a segmentation strategy, significantly reducing the search scope and improving efficiency. Additionally, a fine-grained consistency detection framework is proposed by integrating static data flow and dynamic traffic flow results into a unified tuple form, i.e., (information type, transmission address). Evaluation results on 50 popular apps show that GNChecker outperforms state-of-the-art data flow analysis tools. Among 1,134 real-world apps, GNChecker identified 1,410 true non-compliant transmission behaviors in 379 apps, significantly surpassing existing compliance detection tools.</t>
  </si>
  <si>
    <t>no explicit mention of llm usage; focus on static and dynamic analysis; no clear indication llm receives source-code-related input; method uses static data flow analysis and dynamic traffic flow integration; no direct evidence of llm involvement</t>
  </si>
  <si>
    <t>An Empirical Study on Learning-based Techniques for Explicit and Implicit Commit Messages Generation | Proceedings of the 39th IEEE/ACM International Conference on Automated Software Engineering</t>
  </si>
  <si>
    <t>https://dl.acm.org/doi/10.1145/3691620.3695025</t>
  </si>
  <si>
    <t>High-quality and appropriate commit messages help developers to quickly understand and track code evolution, which is crucial for the collaborative development and maintenance of software. To relieve developers of the burden of writing commit messages, researchers have proposed various techniques to generate commit messages automatically, among which learning-based techniques have proven to be promising. However, the performance of these learning-based techniques is generally low on the BLEU metric. Some reasons for low BLEU have been summarized, including the effect of noisy data, the truncation mechanism of the model, insufficient utilization of context information, etc. Through extensive empirical analysis, we find that the diversity of commits may also be one of the factors that affect the performance of existing learning-based techniques. As a result of this diversity, there are mainly two types of commit messages in the real world: one offers a superficial summary of relatively simple code changes (called the "explicit" commit message), and the other summarizes complex code changes from a global perspective, reflecting the nature or intent behind the changes (called the "implicit" commit message). Our empirical study shows that generating implicit commit messages is more challenging for these techniques, and the models have limited ability to generalize when facing cross-category generation. To fully verify these conclusions, we build a model that identifies explicit and implicit commit messages automatically, and then use it to construct our datasets. Next, we evaluate the ability of state-of-the-art learning-based techniques to generate explicit and implicit commit messages and the generalization capacity of the models. Finally, we propose a "Diversion" strategy to take advantage of the generating performance of specific models. Experimental results show that our approach improves the performance of most learning-based techniques in generating commit messages.</t>
  </si>
  <si>
    <t>learning-based techniques for commit message generation; no explicit mention of llm or large language model; input likely includes code changes or diffs but not clearly stated; unclear if llm used or what exact input is given</t>
  </si>
  <si>
    <t>ComplexCodeEval: A Benchmark for Evaluating Large Code Models on More Complex Code | Proceedings of the 39th IEEE/ACM International Conference on Automated Software Engineering</t>
  </si>
  <si>
    <t>https://dl.acm.org/doi/10.1145/3691620.3695552</t>
  </si>
  <si>
    <t>In recent years, the application of large language models (LLMs) to\ncode-related tasks has gained significant attention. However, existing\nevaluation benchmarks often focus on limited scenarios, such as code generation\nor completion, which do not reflect the diverse challenges developers face in\nreal-world contexts. To address this, we introduce ComplexCodeEval, a benchmark\ndesigned to assess LCMs in various development tasks, including code\ngeneration, completion, API recommendation, and test case generation. It\nincludes 3,897 Java samples and 7,184 Python samples from high-star GitHub\nrepositories, each annotated with function signatures, docstrings, and API\nreferences to simulate real development environments. Our experiments across\nten LCMs reveal that context improves performance and that data leakage can\nlead to overestimation, highlighting the need for more accurate evaluations.\n</t>
  </si>
  <si>
    <t>llms evaluated on code generation, completion, api recommendation, test case generation; input includes function signatures, docstrings, api references; source-code-related context given as input</t>
  </si>
  <si>
    <t>Enhancing Automated Program Repair with Solution Design | Proceedings of the 39th IEEE/ACM International Conference on Automated Software Engineering</t>
  </si>
  <si>
    <t>https://dl.acm.org/doi/10.1145/3691620.3695537</t>
  </si>
  <si>
    <t>Automatic Program Repair (APR) endeavors to autonomously rectify issues within specific projects, which generally encompasses three categories of tasks: bug resolution, new feature development, and feature enhancement. Despite extensive research proposing various methodologies, their efficacy in addressing real issues remains unsatisfactory. It's worth noting that, typically, engineers have design rationales (DR) on solution--- planed solutions and a set of underlying reasons---before they start patching code. In open-source projects, these DRs are frequently captured in issue logs through project management tools like Jira. This raises a compelling question: How can we leverage DR scattered across the issue logs to efficiently enhance APR? To investigate this premise, we introduce DRCodePilot, an approach designed to augment GPT-4-Turbo's APR capabilities by incorporating DR into the prompt instruction. Furthermore, given GPT-4's constraints in fully grasping the broader project context and occasional shortcomings in generating precise identifiers, we have devised a feedback-based self-reflective framework, in which we prompt GPT-4 to reconsider and refine its outputs by referencing a provided patch and suggested identifiers. We have established a benchmark comprising 938 issue-patch pairs sourced from two open-source repositories hosted on GitHub and Jira. Our experimental results are impressive: DRCodePilot achieves a full-match ratio that is a remarkable 4.7x higher than when GPT-4 is utilized directly. Additionally, the CodeBLEU scores also exhibit promising enhancements. Moreover, our findings reveal that the standalone application of DR can yield promising increase in the full-match ratio across CodeLlama, GPT-3.5, and GPT-4 within our benchmark suite. We believe that our DRCodePilot initiative heralds a novel human-in-the-loop avenue for advancing the field of APR.</t>
  </si>
  <si>
    <t>uses gpt-4-turbo llm; input includes issue logs with design rationales linked to code patches; benchmark uses issue-patch pairs implying code context; feedback loop references provided patch and identifiers; source-code-related input present</t>
  </si>
  <si>
    <t>historical context, code, natural language</t>
  </si>
  <si>
    <t>Generative Type Inference for Python | Proceedings of the 38th IEEE/ACM International Conference on Automated Software Engineering0031</t>
  </si>
  <si>
    <t>https://dl.acm.org/doi/10.1109/ASE56229.2023.00031</t>
  </si>
  <si>
    <t>Python is a popular dynamic programming language, evidenced by its ranking as the second most commonly used language on GitHub. However, its dynamic type system can lead to potential type errors, leading researchers to explore automatic type inference approaches for Python programs. Existing type inference approaches can be generally grouped into three categories, i.e., rule-based, supervised, and cloze- style approaches. The rule-based type inference approaches can ensure the accuracy of predicted variable types, but they suffer from low coverage problems caused by dynamic features and external calls. Supervised type inference approaches, while feature-agnostic and able to mitigate the low coverage problem, require large, high- quality annotated datasets and are limited to pre-defined types. As zero-shot approaches, the cloze-style approaches reformulate the type inference problem into a fill-in-the-blank problem by leveraging the general knowledge in powerful pre-trained code models. However, their performance is limited since they ignore the domain knowledge from static typing rules which reflect the inference logic. What is more, their predictions are not interpretable, hindering developers' understanding and verification of the results. This paper introduces Typegen, a few-shot generative type inference approach that incorporates static domain knowledge from static analysis. Typegen creates chain-of-thought (COT) prompts by translating the type inference steps of static analysis into prompts based on the type dependency graphs (TDGs), enabling language models to learn from how static analysis infers types. By combining COT prompts with code slices and type hints, TypegEnconstructs example prompts from human annotations. Typeg Enonly requires very few annotated examples to teach language models to generate similar COT prompts via in-context learning. Moreover, Typeg Enenhances the interpretability of results through the use of the input- explanation-output strategy, which generates both explanations and type predictions in COT prompts. Experiments show that Typegen outperforms the best baseline Type4Py by 10.0% for argument type prediction and 22.5 % in return value type prediction in terms of top-l Exact Match by using only five examples. Furthermore, Typeg Enachieves substantial improvements of 27 % to 84 % compared to the zero-shot performance of large language models with parameter sizes ranging from 1.3B to 175B in terms of top-I Exact Match.</t>
  </si>
  <si>
    <t>uses llm with in-context learning; input includes code slices; uses type dependency graphs from static analysis; generates chain-of-thought prompts based on static analysis steps; input is source-code-related context</t>
  </si>
  <si>
    <t>code, graph-based expansion, static analysis output</t>
  </si>
  <si>
    <t>Mining for Mutation Operators for Reduction of Information Flow Control Violations | Proceedings of the 39th IEEE/ACM International Conference on Automated Software Engineering</t>
  </si>
  <si>
    <t>https://dl.acm.org/doi/10.1145/3691620.3695308</t>
  </si>
  <si>
    <t>The unintentional flow of confidential data to unauthorised users is a serious software security vulnerability. Detection and repair of such errors is a non-trivial task that has been worked on by the security community for many years. More recently, dynamic approaches, such as HyperGI, have been introduced that use hypertesting and genetic improvement to not only detect, but also provide a patch that reduces such information flow control violations. However, empirical studies performed so far have used mostly generic mutation operators, potentially limiting the strength of this approach. In this new ideas paper we mine the National Vulnerabilities Database to find repairs of information leaks. Of 636 issues initially identified, we found 73 fixes that relate to information leaks and come with open source patches to the code. From these, we identified 10 types of mutation operators with potential to fix such issues. Six of these have so far never been used to fix information leaks via automated mutation to the code. We propose that these could help improve effectiveness of tools using the HyperGI approach.</t>
  </si>
  <si>
    <t>no mention of llm or large language model; focus on mutation operators and genetic improvement; no indication llm used or given source code input; empirical study mining vulnerability database; no code input to llm described</t>
  </si>
  <si>
    <t>Program Synthesis Meets Visual What-Comes-Next Puzzles | Proceedings of the 39th IEEE/ACM International Conference on Automated Software Engineering</t>
  </si>
  <si>
    <t>https://dl.acm.org/doi/10.1145/3691620.3695015</t>
  </si>
  <si>
    <t>What-Comes-Next (WCN) puzzles challenge us to identify the next figure that "logically follows" a provided sequence of figures. WCN puzzles are a favorite of interviewers and examiners---there is hardly any aptitude test that misses WCN puzzles. In this work, we propose to automatically synthesize WCN puzzles. The key insight to our methodology is that generation of WCN problems can be posed as a program synthesis problem. We design a small yet expressive language, PuzzlerLang, to capture solutions to WCN puzzles. PuzzlerLang is expressive enough to explain almost all human generated WCN puzzles that we collected, and yet, small enough to allow synthesis in a reasonable time. To ensure that the generated puzzles are appealing to humans, we infer a machine learning model to approximate the appeal factor of given WCN puzzle to humans. We use this model within our puzzle synthesizer as an optimization function to generate highly appealing and correct-by-construction WCN puzzles. We implemented our ideas in a tool, PuzzleGen; we found that PuzzleGen is fast, clocking an average time of about 3.4s per puzzle. Further, statistical tests over the responses from a user-study supported that the PuzzleGen generated puzzles were indistinguishable from puzzles created by humans.</t>
  </si>
  <si>
    <t>no mention of llm or large language model; program synthesis approach but no llm indicated; input is visual puzzles not source code; no source-code-related input described</t>
  </si>
  <si>
    <t>Copilot-in-the-Loop: Fixing Code Smells in Copilot-Generated Python Code using Copilot | Proceedings of the 39th IEEE/ACM International Conference on Automated Software Engineering</t>
  </si>
  <si>
    <t>https://dl.acm.org/doi/10.1145/3691620.3695290</t>
  </si>
  <si>
    <t>As one of the most popular dynamic languages, Python experiences a decrease in readability and maintainability when code smells are present. Recent advancements in Large Language Models have sparked growing interest in AI-enabled tools for both code generation and refactoring. GitHub Copilot is one such tool that has gained widespread usage. Copilot Chat, released in September 2023, functions as an interactive tool aimed at facilitating natural language-powered coding. However, limited attention has been given to understanding code smells in Copilot-generated Python code and Copilot Chat's ability to fix the code smells. To this end, we built a dataset comprising 102 code smells in Copilot-generated Python code. Our aim is to first explore the occurrence of code smells in Copilot-generated Python code and then evaluate the effectiveness of Copilot Chat in fixing these code smells employing different prompts. The results show that 8 out of 10 types of code smells can be detected in Copilot-generated Python code, among which Multiply-Nested Container is the most common one. For these code smells, Copilot Chat achieves a highest fixing rate of 87.1%, showing promise in fixing Python code smells generated by Copilot itself. In addition, the effectiveness of Copilot Chat in fixing these smells can be improved by providing more detailed prompts.</t>
  </si>
  <si>
    <t>llm is github copilot chat; input includes copilot-generated python code with code smells; code smells detected and fixed by llm; source-code-related input present as code snippets with smells</t>
  </si>
  <si>
    <t>Attribution-guided Adversarial Code Prompt Generation for Code Completion Models | Proceedings of the 39th IEEE/ACM International Conference on Automated Software Engineering</t>
  </si>
  <si>
    <t>https://dl.acm.org/doi/10.1145/3691620.3695517</t>
  </si>
  <si>
    <t>Large language models have made significant progress in code completion, which may further remodel future software development. However, these code completion models are found to be highly risky as they may introduce vulnerabilities unintentionally or be induced by a special input, i.e., adversarial code prompt. Prior studies mainly focus on the robustness of these models, but their security has not been fully analyzed. In this paper, we propose a novel approach AdvPro that can automatically generate adversarial code prompts for these code completion models. AdvPro incorporates 14 code mutation strategies at the granularity of five levels. The mutation strategies are ensured to make no modifications to code semantics, which should be insensitive to the models. Moreover, we leverage gradient attribution to localize the important code as mutation points and speed up adversarial prompt generation. Extensive experiments are conducted on 13 state-of-the-art models belonging to 7 families. The results show that our approach can effectively generate adversarial prompts, with an increased rate of 69.6% beyond the baseline ALERT. By comparing the results of attribution-guided localization, we find that the recognition results of important tokens in input codes are almost identical among different models. This finding reduces the limitation of using open-source alternative models to guide adversarial attacks against closed-source models. The results of the ablation study on the components of AdvPro show that CCMs focus on variable names, but other structures are equally crucial.</t>
  </si>
  <si>
    <t>llm used for code completion; input includes code prompts; adversarial code prompt generation involves source code mutation; input is source-code-related code snippets</t>
  </si>
  <si>
    <t>Snopy: Bridging Sample Denoising with Causal Graph Learning for Effective Vulnerability Detection | Proceedings of the 39th IEEE/ACM International Conference on Automated Software Engineering</t>
  </si>
  <si>
    <t>https://dl.acm.org/doi/10.1145/3691620.3695057</t>
  </si>
  <si>
    <t>Deep Learning (DL) has emerged as a promising means for vulnerability detection due to its ability to automatically derive features from vulnerable code. Unfortunately, current solutions struggle to focus on vulnerability-related parts of vulnerable functions, and tend to exploit spurious correlations for prediction, thus undermining their effectiveness in practice. In this paper, we propose Snopy, a novel DL-based approach, which bridges sample denoising with causal graph learning to capture real vulnerability patterns from vulnerable samples with numerous noise for effective detection. Specifically, Snopy adopts a change-based sample denoising approach to automatically weed out vulnerability-irrelevant code elements in the vulnerable functions without sacrificing the label accuracy. Then, Snopy constructs a novel Causality-Aware Graph Attention Network (CA-GAT) with Feature Caching Scheme (FCS) to learn causal vulnerability features while maintaining efficiency. Experiments on the three public benchmark datasets show that Snopy outperforms the state-of-the-art baselines by an average of 27.22%, 85.89%, and 75.50% in terms of F1-score, respectively.</t>
  </si>
  <si>
    <t>no mention of llm or large language model; deep learning approach but not llm-based; uses graph attention network, causal graph learning; input likely code but no llm involved</t>
  </si>
  <si>
    <t>ChatBR: Automated assessment and improvement of bug report quality using ChatGPT | Proceedings of the 39th IEEE/ACM International Conference on Automated Software Engineering</t>
  </si>
  <si>
    <t>https://dl.acm.org/doi/10.1145/3691620.3695518</t>
  </si>
  <si>
    <t>Bug reports, containing crucial information such as the Observed Behavior (OB), the Expected Behavior (EB), and the Steps to Reproduce (S2R), can help developers localize and fix bugs efficiently. However, due to the increasing complexity of some bugs and the limited experience of some reporters, large numbers of bug reports miss this crucial information. Although machine learning (ML)-based and information retrieval (IR)-based approaches are proposed to detect and supplement the missing information in bug reports, the performance of these approaches depends heavily on the size and quality of bug report datasets. In this paper, we present ChatBR, an approach for automated assessment and improvement of bug report quality using ChatGPT. First, we fine-tune a BERT model using manually annotated bug reports to create a sentence-level multi-label classifier to assess the quality of bug reports by detecting whether existing OB, EB, and S2R. Then, we use ChatGPT in a zero-shot setup to generate missing information (OB, EB, and S2R) to improve the quality of bug reports. Finally, the output of ChatGPT are fed back into the classifier for verification until ChatGPT generates the missing information. Experimental results show that, in the task of detecting missing information in bug reports, ChatBR outperforms the state-of-the-art methods by 25.38%-29.20% in terms of precision. In the task of generating missing information in bug reports, ChatBR can achieve an average of 84.10% in terms of semantic similarity of the generated information and original information across six different projects. Furthermore, ChatBR can generate more than 99.9% of high-quality bug reports (i.e., bug reports that are full of OB, EB, and S2R) within five queries to ChatGPT.</t>
  </si>
  <si>
    <t>llm (chatgpt) used for generating missing bug report info; input is bug report text (natural language); no indication of source-code-related input to llm; focus on bug report quality improvement, not code analysis or code context</t>
  </si>
  <si>
    <t>UFront: Toward A Unified MLIR Frontend for Deep Learning | Proceedings of the 39th IEEE/ACM International Conference on Automated Software Engineering</t>
  </si>
  <si>
    <t>https://dl.acm.org/doi/10.1145/3691620.3695002</t>
  </si>
  <si>
    <t>Automatic code generation for ML systems has gained popularity with the advent of compiler techniques like Multi-Level Intermediate Representation (Multi-Level IR, or MLIR). State-of-the-art MLIR frontends, including IREE-TF, Torch-MLIR, and ONNX-MLIR, aim to bridge the gap between ML frameworks and low-level hardware architectures through MLIR's progressive lowering pipeline. However, existing MLIR frontends encounter challenges such as inflexible high-level IR conversion, limited higher-level optimization opportunities, and reduced compatibility and efficiency, leading to software fragmentation and restricting their practical applications within the MLIR ecosystem. To address these challenges, we introduce UFront, a unified MLIR frontend employing a two-stage operator-to-operator compilation workflow. Unlike traditional frontends that compile model source code into binaries step by step with different MLIR transform passes, UFront decouples the process into two distinct stages. It first performs instantaneous model tracing, delegates traced computing nodes as standard Deep Neural Network (DNN) operators and transforms models written in different frameworks into unified high-level IR without relying on MLIR passes, enhancing conversion flexibility. Meanwhile, it performs high-level graph optimizations such as constant folding and operator fusion to produce more efficient high-level IR. In the second stage, UFront directly converts high-level IR into standard TOSA IR using proposed lowering patterns, eliminating transform redundancies and ensuring lower-level compatibility with existing ML compiler backends. This two-stage compilation approach enables consistent end-to-end code generation and optimization of various DNN models written in different formats within a single workflow. Extensive experiments on popular DNN models written in various frameworks demonstrate that UFront exhibits higher compatibility, faster end-to-end compilation, and is capable of producing more efficient binary execution compared to SOTA works.</t>
  </si>
  <si>
    <t>no mention of llm or large language model usage; focus on compiler and mlir frontend design; no indication of llm receiving source-code-related input</t>
  </si>
  <si>
    <t>Exploring ChatGPT App Ecosystem: Distribution, Deployment and Security | Proceedings of the 39th IEEE/ACM International Conference on Automated Software Engineering</t>
  </si>
  <si>
    <t>https://dl.acm.org/doi/10.1145/3691620.3695510</t>
  </si>
  <si>
    <t>ChatGPT has enabled third-party developers to create plugins to expand ChatGPT's capabilities. These plugins are distributed through OpenAI's plugin store, making them easily accessible to users. With ChatGPT as the backbone, this app ecosystem has illustrated great business potential by offering users personalized services in a conversational manner. Nonetheless, many crucial aspects regarding app development, deployment, and security of this ecosystem have yet to be thoroughly studied in the research community, potentially hindering a broader adoption by both developers and users. In this work, we conduct the first comprehensive study of the ChatGPT app ecosystem, aiming to illuminate its landscape for our research community. Our study examines the distribution and deployment models in the integration of LLMs and third-party apps, and assesses their security and privacy implications. We uncover an uneven distribution of functionality among ChatGPT plugins, highlighting prevalent and emerging topics. We also identify severe flaws in the authentication and user data protection for third-party app APIs integrated within LLMs, revealing a concerning status quo of security and privacy in this app ecosystem. Our work provides insights for the secure and sustainable development of this rapidly evolving ecosystem.</t>
  </si>
  <si>
    <t>llm used (chatgpt); study focuses on app ecosystem, distribution, deployment, security; no explicit mention of source-code-related input to llm; unclear if source code or code-related context given to llm</t>
  </si>
  <si>
    <t>Refinement Types for Visualization | Proceedings of the 39th IEEE/ACM International Conference on Automated Software Engineering</t>
  </si>
  <si>
    <t>https://dl.acm.org/doi/10.1145/3691620.3695550</t>
  </si>
  <si>
    <t>Visualizations have become crucial in the contemporary data-driven world as they aid in exploring, verifying, and sharing insights obtained from data. In this paper, we propose a new paradigm of visualization synthesis based on refinement types. Besides input-output examples, users can optionally use refinement-type annotations to constrain the range of valid values in the example visualization or to express complex interactions between different visual components. Our system's outputs include both data transformation and visualization programs that are consistent with refinement-type specifications. To mitigate the scalability challenge during the synthesis process, we introduce a new visualization synthesis algorithm that uses lightweight bidirectional type checking to prune the search space. As we demonstrate experimentally, this new synthesis algorithm results in significant speed-up compared to prior work. We have implemented the proposed approach in a tool called Calico and evaluated it on 40 visualization tasks collected from online forums and tutorials. Our experiments show that Calico can solve 98% of these benchmarks and, among those benchmarks that can be solved, the desired visualization is among the top-1 output generated by Calico. Furthermore, Calico takes an average of 1.56 seconds to generate the visualization, which is 50 times faster than Viser, a state-of-the-art synthesizer for data visualization.</t>
  </si>
  <si>
    <t>no explicit mention of llm or large language model; synthesis algorithm described but no clear llm usage; input includes refinement-type annotations which are formal specs but unclear if passed to llm; no direct evidence of source-code-related input to llm</t>
  </si>
  <si>
    <t>documentation/specifications, unspecified</t>
  </si>
  <si>
    <t>Semantic-aware Source Code Modeling | Proceedings of the 39th IEEE/ACM International Conference on Automated Software Engineering</t>
  </si>
  <si>
    <t>https://dl.acm.org/doi/10.1145/3691620.3695605</t>
  </si>
  <si>
    <t>Source code modeling represents a promising avenue for automating software development, such as code generation, bug repair, and program analysis. This research direction aims to train deep neural nets to learn the statistical predictability inherent in human-written programs to enhance developer productivity, code quality, and the overall software development life cycle. Although existing code modeling approaches, particularly those underpinned by Transformer-based language models, have demonstrated effectiveness across various software engineering tasks, most of them have directly adopted learning schemes from natural language processing (e.g., data collection and processing, training objectives) to source code, primarily focusing on learning code text and syntax. However, such a direct transplant limits the models' capability to capture deep program semantics, such as code functionality, dependencies, and program states during execution. In this research proposal, we highlight the critical role of program semantics in source code modeling. We propose a range of innovative methodologies to bridge the gap between the text-based language models for large-scale code training and the requirement of deep semantic understanding to assist with software engineering tasks effectively. Furthermore, we showcase the efficacy of the proposed semantic-aware code modeling through a handful of published papers and preliminary results, with motivations to delve deeper into this avenue during doctoral research.</t>
  </si>
  <si>
    <t>mentions transformer-based language models for code; focus on semantic-aware modeling; no explicit mention of LLM receiving source-code-related input; unclear if input includes code elements or just text/syntax; proposal and preliminary results mentioned but no concrete input details</t>
  </si>
  <si>
    <t>ISSTA</t>
  </si>
  <si>
    <t>Large Language Model Supply Chain: Open Problems From the Security Perspective | Proceedings of the 34th ACM SIGSOFT International Symposium on Software Testing and Analysis</t>
  </si>
  <si>
    <t>https://dl.acm.org/doi/10.1145/3713081.3731747</t>
  </si>
  <si>
    <t>Large Language Model (LLM) is changing the software development paradigm and has gained huge attention from both academia and industry. Researchers and developers collaboratively explore how to leverage the powerful problem-solving ability of LLMs for specific domain tasks. Due to the wide usage of LLM-based applications, e.g., ChatGPT, multiple works have been proposed to ensure the security of LLM systems. A comprehensive understanding of the entire process of LLM system construction (the LLM supply chain) is crucial, but relevant works are limited. More importantly, the security issues hidden in the LLM SC that could greatly impact the reliable usage of LLMs lack exploration. Most existing works mainly focus on assuring the quality of LLM from the model level; however, security assurance for the entire LLM SC is ignored. In this work, we take the first step to discuss the potential security risks in each component and the integration between components of LLM SC. We summarize 12 security-related risks and provide promising guidance to help build safer LLM systems. We hope our work can facilitate the evolution of artificial general intelligence with secure LLM ecosystems.</t>
  </si>
  <si>
    <t>focus on security risks in llm supply chain; no explicit mention of llm usage with source-code-related input; emphasis on security perspective rather than code input or code generation; unclear if llm input includes source code or related context</t>
  </si>
  <si>
    <t>How Effective Are They? Exploring Large Language Model Based Fuzz Driver Generation | Proceedings of the 33rd ACM SIGSOFT International Symposium on Software Testing and Analysis</t>
  </si>
  <si>
    <t>https://dl.acm.org/doi/10.1145/3650212.3680355</t>
  </si>
  <si>
    <t>Fuzz drivers are essential for library API fuzzing. However, automatically generating fuzz drivers is a complex task, as it demands the creation of high-quality, correct, and robust API usage code. An LLM-based (Large Language Model) approach for generating fuzz drivers is a promising area of research. Unlike traditional program analysis-based generators, this text-based approach is more generalized and capable of harnessing a variety of API usage information, resulting in code that is friendly for human readers. However, there is still a lack of understanding regarding the fundamental issues on this direction, such as its effectiveness and potential challenges. To bridge this gap, we conducted the first in-depth study targeting the important issues of using LLMs to generate effective fuzz drivers. Our study features a curated dataset with 86 fuzz driver generation questions from 30 widely-used C projects. Six prompting strategies are designed and tested across five state-of-the-art LLMs with five different temperature settings. In total, our study evaluated 736,430 generated fuzz drivers, with 0.85 billion token costs ($8,000+ charged tokens). Additionally, we compared the LLM-generated drivers against those utilized in industry, conducting extensive fuzzing experiments (3.75 CPU-year). Our study uncovered that: 1) While LLM-based fuzz driver generation is a promising direction, it still encounters several obstacles towards practical applications; 2) LLMs face difficulties in generating effective fuzz drivers for APIs with intricate specifics. Three featured design choices of prompt strategies can be beneficial: issuing repeat queries, querying with examples, and employing an iterative querying process; 3) While LLM-generated drivers can yield fuzzing outcomes that are on par with those used in the industry, there are substantial opportunities for enhancement, such as extending contained API usage, or integrating semantic oracles to facilitate logical bug detection. Our insights have been implemented to improve the OSS-Fuzz-Gen project, facilitating practical fuzz driver generation in industry.</t>
  </si>
  <si>
    <t>llm used for fuzz driver generation; unclear if input includes source-code-related context or only api usage info in text form; no explicit mention of code snippets or structural/code artifacts given to llm; focus on prompt strategies but input details not specified</t>
  </si>
  <si>
    <t>Best practice for supply chain in LLM-assisted medical applications | Proceedings of the 34th ACM SIGSOFT International Symposium on Software Testing and Analysis</t>
  </si>
  <si>
    <t>https://dl.acm.org/doi/10.1145/3713081.3731748</t>
  </si>
  <si>
    <t>The application of large language models in medical applications is crucial for enhancing diagnostic accuracy, improving patient communication, and boosting healthcare efficiency. Their ability to process vast amounts of data, generate concise information, and automate tasks positions LLM applications as transformative tools. Recent studies and real-world examples underscore the importance of delivering secure and responsible LLM-assisted applications. In this manuscript, we outline our intention of uncovering best software practices in the supply chain of LLM medical applications.</t>
  </si>
  <si>
    <t>llm use implied for medical applications; focus on supply chain best practices; no explicit mention of source-code-related input to llm; unclear if code or code-related artifacts given as input</t>
  </si>
  <si>
    <t>Kitten: A Simple Yet Effective Baseline for Evaluating LLM-Based Compiler Testing Techniques | Proceedings of the 34th ACM SIGSOFT International Symposium on Software Testing and Analysis</t>
  </si>
  <si>
    <t>https://dl.acm.org/doi/10.1145/3713081.3731731</t>
  </si>
  <si>
    <t>Compiler testing is critical and indispensable to improve the correctness of compilers. Spurred by recent advancements in Large Language Models (LLMs), LLM-based compiler testing techniques such as Fuzz4All, have demonstrated their potential in uncovering real bugs in diverse compilers and reducing the required engineering efforts in designing program generators. Given the continuous evolution of LLMs and the emergence of new LLM-based approaches, establishing robust baselines is crucial for rigorous evaluation and driving future advancements in this promising research direction. To this end, we introduce Kitten, a mutation-based, language-agnostic program generator. Kitten leverages a corpus of seed programs, analogous to the training set for LLMs, and utilizes the target language's syntax, akin to the knowledge learned by LLMs. Furthermore, Kitten's mutation operators can generate diverse test programs, demonstrating a behavior analogous to the ability of LLM inference to generate new code. Our evaluations demonstrate that, using existing compiler test suites as seed programs, Kitten outperforms Fuzz4All in terms of code coverage and bug detection capabilities. Within 24 hours, Kitten achieved 48.3%, 9.9%, and 33.8% higher coverage than Fuzz4All on GCC, LLVM, and Rustc, respectively, while identifying an average of 19.3, 20.3, and 15.7 bugs in these compilers across three runs. Over the course of nine months dedicated to Kitten's development and testing, we identified a total of 328 across the compilers GCC, LLVM, Rustc, Solc, JerryScript, scalac, and slang, of which 310 have been confirmed or fixed. We strongly believe that Kitten serves as an effective baseline, enabling the identification of limitations within existing LLM-based approaches and consequently driving advancements in this promising research direction.</t>
  </si>
  <si>
    <t>no explicit mention of llm usage in input generation; kitten is mutation-based program generator; llm-based techniques mentioned as baseline comparison only; no indication llm receives source-code-related input</t>
  </si>
  <si>
    <t>Fuzzing JavaScript Interpreters with Coverage-Guided Reinforcement Learning for LLM-Based Mutation | Proceedings of the 33rd ACM SIGSOFT International Symposium on Software Testing and Analysis</t>
  </si>
  <si>
    <t>https://dl.acm.org/doi/10.1145/3650212.3680389</t>
  </si>
  <si>
    <t>JavaScript interpreters, crucial for modern web browsers, require an effective fuzzing method to identify security-related bugs. However, the strict grammatical requirements for input present significant challenges. Recent efforts to integrate language models for context- aware mutation in fuzzing are promising but lack the necessary coverage guidance to be fully effective. This paper presents a novel technique called CovRL (Coverage-guided Reinforcement Learning) that combines Large Language Models (LLMs) with Reinforcement Learning (RL) from coverage feedback. Our fuzzer, CovRL-Fuzz, integrates coverage feedback directly into the LLM by leveraging the Term Frequency-Inverse Document Frequency (TF-IDF) method to construct a weighted coverage map. This map is key in calculating the fuzzing reward, which is then applied to the LLM-based mutator through reinforcement learning. CovRL-Fuzz, through this approach, enables the generation of test cases that are more likely to discover new coverage areas, thus improving bug detection while minimizing syntax and semantic errors, all without needing extra post-processing. Our evaluation results show that CovRL-Fuzz outperforms the state-of-the-art fuzzers in enhancing code coverage and identifying bugs in JavaScript interpreters: CovRL-Fuzz identified 58 real-world security-related bugs in the latest JavaScript interpreters, including 50 previously unknown bugs and 15 CVEs.</t>
  </si>
  <si>
    <t>uses llm for mutation in fuzzing; coverage feedback used as input to llm; coverage data is dynamic/runtime context; input includes coverage map guiding mutation; source-code-related context via coverage feedback</t>
  </si>
  <si>
    <t>Guardian: A Runtime Framework for LLM-Based UI Exploration | Proceedings of the 33rd ACM SIGSOFT International Symposium on Software Testing and Analysis</t>
  </si>
  <si>
    <t>https://dl.acm.org/doi/10.1145/3650212.3680334</t>
  </si>
  <si>
    <t>Tests for feature-based UI testing have been indispensable for ensuring the quality of mobile applications (apps for short). The high manual labor costs to create such tests have led to a strong interest in automated feature-based UI testing, where an approach automatically explores the App under Test (AUT) to find correct sequences of UI events achieving the target test objective, given only a high-level test objective description. Given that the task of automated feature-based UI testing resembles conventional AI planning problems, large language models (LLMs), known for their effectiveness in AI planning, could be ideal for this task. However, our study reveals that LLMs struggle with following specific instructions for UI testing and replanning based on new information. This limitation results in reduced effectiveness of LLM-driven solutions for automated feature-based UI testing, despite the use of advanced prompting techniques. Toward addressing the preceding limitation, we propose Guardian, a runtime system framework to improve the effectiveness of automated feature-based UI testing by offloading computational tasks from LLMs with two major strategies. First, Guardian refines UI action space that the LLM can plan over, enforcing the instruction following of the LLM by construction. Second, Guardian deliberately checks whether the gradually enriched information invalidates previous planning by the LLM. Guardian removes the invalidated UI actions from the UI action space that the LLM can plan over, restores the state of the AUT to the state before the execution of the invalidated UI actions, and prompts the LLM to re-plan with the new UI action space. We instantiate Guardian with ChatGPT and construct a benchmark named FestiVal with 58 tasks from 23 highly popular apps. Evaluation results on FestiVal show that Guardian achieves 48.3</t>
  </si>
  <si>
    <t>llm used for ui testing planning; input is high-level test objectives and ui action space; no indication of source-code-related input; focus on ui events and app state, not code</t>
  </si>
  <si>
    <t>CREF: An LLM-Based Conversational Software Repair Framework for Programming Tutors | Proceedings of the 33rd ACM SIGSOFT International Symposium on Software Testing and Analysis</t>
  </si>
  <si>
    <t>https://dl.acm.org/doi/10.1145/3650212.3680328</t>
  </si>
  <si>
    <t>With the proven effectiveness of Large Language Models (LLMs) in code-related tasks, researchers have explored their potential for program repair. However, existing repair benchmarks might have influenced LLM training data, potentially causing data leakage. To evaluate LLMs’ realistic repair capabilities, (i) we introduce an extensive, non-crawled benchmark TutorCode, comprising 1,239 C++ defect codes and associated information such as tutor guidance, solution description, failing test cases, and the corrected code. Our work assesses LLM’s repair performance on TutorCode, measuring repair correctness (TOP-5 and AVG-5) and patch precision (RPSR). (ii) We then provide a comprehensive investigation into which types of extra information can help LLMs improve their repair performance. Among these types, tutor guidance was the most effective information. To fully harness LLMs’ conversational capabilities and the benefits of augmented information, (iii) we introduce a novel conversational semi-automatic repair framework CREF assisting human programming tutors. It demonstrates a remarkable AVG-5 improvement of 17.2%-24.6% compared to the baseline, achieving an impressive AVG-5 of 76.6% when utilizing GPT-4. These results highlight the potential for enhancing LLMs’ repair capabilities through tutor interactions and historical conversations. The successful application of CREF in a real-world educational setting demonstrates its effectiveness in reducing tutors’ workload and improving students’ learning experience, showing promise for code review and other software engineering tasks.</t>
  </si>
  <si>
    <t>llm used for program repair; input includes c++ defect codes; includes failing test cases; tutor guidance as extra info; conversational repair framework uses code and related info as input</t>
  </si>
  <si>
    <t>code, tests, documentation/specifications, natural language</t>
  </si>
  <si>
    <t>LLM4Fin: Fully Automating LLM-Powered Test Case Generation for FinTech Software Acceptance Testing | Proceedings of the 33rd ACM SIGSOFT International Symposium on Software Testing and Analysis</t>
  </si>
  <si>
    <t>https://dl.acm.org/doi/10.1145/3650212.3680388</t>
  </si>
  <si>
    <t>FinTech software, crucial for both safety and timely market deployment, presents a compelling case for automated acceptance testing against regulatory business rules. However, the inherent challenges of comprehending unstructured natural language descriptions of these rules and crafting comprehensive test cases demand human intelligence. The emergence of Large Language Models (LLMs) holds promise for automated test case generation, leveraging their natural language processing capabilities. Yet, their dependence on human intervention for effective prompting hampers efficiency. In response, we introduce a groundbreaking, fully automated approach for generating high-coverage test cases from natural language business rules. Our methodology seamlessly integrates the versatility of LLMs with the predictability of algorithmic methods. We fine-tune pre-trained LLMs for improved information extraction accuracy and algorithmically generate comprehensive testable scenarios for the extracted business rules. Our prototype, LLM4Fin, is designed for testing real-world stock-trading software. Experimental results demonstrate LLM4Fin’s superiority over both state-of-the-art LLM, such as ChatGPT, and skilled testing engineers. We achieve remarkable performance, with up to 98.18% and an average of 20%−110% improvement on business scenario coverage, and up to 93.72% on code coverage, while reducing the time cost from 20 minutes to a mere 7 seconds. These results provide robust evidence of the framework’s practical applicability and efficiency, marking a significant advancement in FinTech software testing.</t>
  </si>
  <si>
    <t>llm used for test case generation; input includes natural language business rules; no explicit mention of source-code-related input to llm; code coverage measured but unclear if code given as input</t>
  </si>
  <si>
    <t>First Experiments on Automated Execution of Gherkin Test Specifications with Collaborating LLM Agents</t>
  </si>
  <si>
    <t>https://dl.acm.org/doi/10.1145/3678719.3685692</t>
  </si>
  <si>
    <t>Gherkin is a domain-specific language for describing test scenarios in natural language, which are the basis for automated acceptance testing. The emergence of Large Language Models (LLMs) has opened up new possibilities for processing such test specifications and for generating executable test code. This paper investigates the feasibility of employing LLMs to execute Gherkin test specifications utilizing the AutoGen multi-agent framework. Our findings show that our LLM agent system is able to automatically run the given test scenarios by autonomously exploring the system under test, generating executable test code on the fly, and evaluating execution results. We observed high success rates for executing simple as well as more complex test scenarios, but we also identified difficulties regarding failure scenarios and fault detection.</t>
  </si>
  <si>
    <t>llm used to generate executable test code from gherkin specs; unclear if existing source code or code snippets provided as input; focus on natural language test specs rather than explicit code input</t>
  </si>
  <si>
    <t>Maltracker: A Fine-Grained NPM Malware Tracker Copiloted by LLM-Enhanced Dataset | Proceedings of the 33rd ACM SIGSOFT International Symposium on Software Testing and Analysis</t>
  </si>
  <si>
    <t>https://dl.acm.org/doi/10.1145/3650212.3680397</t>
  </si>
  <si>
    <t>As the largest package registry, Node Package Manager (NPM) has become the prime target for various supply chain attacks recently and has been flooded with numerous malicious packages, posing significant security risks to end-users. Learning-based methods have demonstrated promising performance with good adaptability to various types of attacks. However, they suffer from two main limitations. First, they often utilize metadata features or coarse-grained code features extracted at the package level while overlooking complex code semantics. Second, the dataset used to train the model often suffers from a lack of variety both in quantity and diversity, and thus cannot detect significant types of attacks. To address these problems, we introduce Maltracker, a learningbased NPM malware tracker based on fine-grained features empowered by LLM-enhanced dataset. First, Maltracker constructs precise call graphs to extract suspicious functions that are reachable to a pre-defined set of sensitive APIs, and then utilizes community detection algorithm to identify suspicious code gadgets based on program dependency graph, from which fine-grained features are then extracted. To address the second limitation, we extend the dataset using advanced large language models (LLM) to translate malicious functions from other languages (e.g., C/C++, Python, and Go) into JavaScript. Evaluations shows that Maltracker can achieve an improvement of about 12.6% in terms of F1-score at the package level and 31.0% at the function level compared with the SOTA learning-based methods. Moreover, the key components of 𝑀𝑎𝑙𝑡𝑟𝑎𝑐𝑘𝑒𝑟 all contribute to the effectiveness of its performance. Finally, Maltracker has also detected 230 new malicious packages in NPM and received 61 thanks letters, among which some contain new malicious behaviors that cannot be detected by existing tools.</t>
  </si>
  <si>
    <t>llm used to translate malicious functions from other languages into javascript; input to llm includes code snippets (functions); source-code-related input given to llm</t>
  </si>
  <si>
    <t>DiaVio: LLM-Empowered Diagnosis of Safety Violations in ADS Simulation Testing | Proceedings of the 33rd ACM SIGSOFT International Symposium on Software Testing and Analysis</t>
  </si>
  <si>
    <t>https://dl.acm.org/doi/10.1145/3650212.3652135</t>
  </si>
  <si>
    <t>Simulation testing has been widely adopted by leading companies to ensure the safety of autonomous driving systems (ADSs). Anumber of scenario-based testing approaches have been developed to generate diverse driving scenarios for simulation testing, and demonstrated to be capable of finding safety violations. However, there is no automated way to diagnose whether these violations are caused by the ADS under test and which category these violations belong to. As a result, great effort is required to manually diagnose violations. To bridge this gap, we propose DiaVio to automatically diagnose safety violations in simulation testing by leveraging large language models (LLMs). It is built on top of a new domain specific language (DSL) of crash to align real-world accident reports described in natural language and violation scenarios in simulation testing. DiaVio fine-tunes a base LLM with real-world accident reports to learn diagnosis capability, and uses the fine-tuned LLM to diagnose violation scenarios in simulation testing. Our evaluation has demonstrated the effectiveness and efficiency of DiaVio in violation diagnosis.</t>
  </si>
  <si>
    <t>llm used for diagnosing safety violations; input includes violation scenarios and accident reports in natural language; no explicit mention of source-code-related input or code elements; focus on simulation testing scenarios rather than code analysis</t>
  </si>
  <si>
    <t>Face It Yourselves: An LLM-Based Two-Stage Strategy to Localize Configuration Errors via Logs | Proceedings of the 33rd ACM SIGSOFT International Symposium on Software Testing and Analysis</t>
  </si>
  <si>
    <t>https://dl.acm.org/doi/10.1145/3650212.3652106</t>
  </si>
  <si>
    <t>Configurable software systems are prone to configuration errors, resulting in\nsignificant losses to companies. However, diagnosing these errors is\nchallenging due to the vast and complex configuration space. These errors pose\nsignificant challenges for both experienced maintainers and new end-users,\nparticularly those without access to the source code of the software systems.\nGiven that logs are easily accessible to most end-users, we conduct a\npreliminary study to outline the challenges and opportunities of utilizing logs\nin localizing configuration errors. Based on the insights gained from the\npreliminary study, we propose an LLM-based two-stage strategy for end-users to\nlocalize the root-cause configuration properties based on logs. We further\nimplement a tool, LogConfigLocalizer, aligned with the design of the\naforementioned strategy, hoping to assist end-users in coping with\nconfiguration errors through log analysis.\n To the best of our knowledge, this is the first work to localize the\nroot-cause configuration properties for end-users based on Large Language\nModels~(LLMs) and logs. We evaluate the proposed strategy on Hadoop by\nLogConfigLocalizer and prove its efficiency with an average accuracy as high as\n99.91%. Additionally, we also demonstrate the effectiveness and necessity of\ndifferent phases of the methodology by comparing it with two other variants and\na baseline tool. Moreover, we validate the proposed methodology through a\npractical case study to demonstrate its effectiveness and feasibility.\n</t>
  </si>
  <si>
    <t>llm used for log-based localization; logs are runtime artifacts not source code; no explicit mention of source-code-related input to llm; focus on configuration properties rather than code elements; unclear if any code or code-related context given to llm</t>
  </si>
  <si>
    <t>Automating Zero-Shot Patch Porting for Hard Forks | Proceedings of the 33rd ACM SIGSOFT International Symposium on Software Testing and Analysis</t>
  </si>
  <si>
    <t>https://dl.acm.org/doi/10.1145/3650212.3652134</t>
  </si>
  <si>
    <t>Forking is a typical way of code reuse, which provides a simple way for developers to create a variant software (denoted as hard fork) by copying and modifying an existing codebase. Despite of the benefits, forking also leads to duplicate efforts in software maintenance. Developers need to port patches across the hard forks to address similar bugs or implement similar features. Due to the divergence between the source project and the hard fork, patch porting is complicated, which requires an adaption regarding different implementations of the same functionality. In this work, we take the first step to automate patch porting for hard forks under a zero-shot setting. We first conduct an empirical study of the patches ported from Vim to Neovim over the last ten years to investigate the necessities of patch porting and the potential flaws in the current practice. We then propose a large language model (LLM) based approach (namely PPatHF) to automatically port patches for hard forks on a function-wise basis. Specifically, PPatHF is composed of a reduction module and a porting module. Given the pre- and post-patch versions of a function from the reference project and the corresponding function from the target project, the reduction module first slims the input functions by removing code snippets less relevant to the patch. Then, the porting module leverages a LLM to apply the patch to the function from the target project. To better elicit the power of the LLM on patch porting, we design a prompt template to enable efficient in-context learning. We further propose an instruction-tuning based training task to better guide the LLM to port the patch and inject task-specific knowledge. We evaluate PPatHF on 310 Neovim patches ported from Vim. The experimental results show that PPatHF outperforms the baselines significantly. Specifically, PPatHF can correctly port 131 (42.3%) patches and automate 57% of the manual edits required for the developer to port the patch.</t>
  </si>
  <si>
    <t>llm used for patch porting; input includes pre- and post-patch function versions; source code snippets slimmed for relevance; prompt designed for code context; patch porting is code transformation task</t>
  </si>
  <si>
    <t>code, documentation/specifications, historical context</t>
  </si>
  <si>
    <t>On Benchmarking Code LLMs for Android Malware Analysis | Proceedings of the 34th ACM SIGSOFT International Symposium on Software Testing and Analysis</t>
  </si>
  <si>
    <t>https://dl.acm.org/doi/10.1145/3713081.3731745</t>
  </si>
  <si>
    <t>Large Language Models (LLMs) have demonstrated strong capabilities in various code intelligence tasks. However, their effectiveness for Android malware analysis remains underexplored. Decompiled Android malware code presents unique challenges for analysis, due to the malicious logic being buried within a large number of functions and the frequent lack of meaningful function names. This paper presents CAMA, a benchmarking framework designed to systematically evaluate the effectiveness of Code LLMs in Android malware analysis. CAMA specifies structured model outputs to support key malware analysis tasks, including malicious function identification and malware purpose summarization. Built on these, it integrates three domain-specific evaluation metrics (consistency, fidelity, and semantic relevance), enabling rigorous stability and effectiveness assessment and cross-model comparison. We construct a benchmark dataset of 118 Android malware samples from 13 families collected in recent years, encompassing over 7.5 million distinct functions, and use CAMA to evaluate four popular open-source Code LLMs. Our experiments provide insights into how Code LLMs interpret decompiled code and quantify the sensitivity to function renaming, highlighting both their potential and current limitations in malware analysis.</t>
  </si>
  <si>
    <t>uses code llms; input is decompiled android malware code; tasks include malicious function identification and malware purpose summarization; benchmark dataset includes millions of functions; evaluation of llms on code understanding; clear code-related input</t>
  </si>
  <si>
    <t>CoSec: On-the-Fly Security Hardening of Code LLMs via Supervised Co-decoding | Proceedings of the 33rd ACM SIGSOFT International Symposium on Software Testing and Analysis</t>
  </si>
  <si>
    <t>https://dl.acm.org/doi/10.1145/3650212.3680371</t>
  </si>
  <si>
    <t>Large Language Models (LLMs) specialized in code have shown exceptional proficiency across various programming-related tasks, particularly code generation. Nonetheless, due to its nature of pretraining on massive uncritically filtered data, prior studies have shown that code LLMs are prone to generate code with potential vulnerabilities. Existing approaches to mitigate this risk involve crafting data without vulnerability and subsequently retraining or fine-tuning the model. As the number of parameters exceeds a billion, the computation and data demands of the above approaches will be enormous. Moreover, an increasing number of code LLMs tend to be distributed as services, where the internal representation is not accessible, and the API is the only way to reach the LLM, making the prior mitigation strategies non-applicable. To cope with this, we propose CoSec, an on-the-fly Security hardening method of code LLMs based on security model-guided Co-decoding, to reduce the likelihood of code LLMs to generate code containing vulnerabilities. Our key idea is to train a separate but much smaller security model to co-decode with a target code LLM. Since the trained secure model has higher confidence for secure tokens, it guides the generation of the target base model towards more secure code generation. By adjusting the probability distributions of tokens during each step of the decoding process, our approach effectively influences the tendencies of generation without accessing the internal parameters of the target code LLM. We have conducted extensive experiments across various parameters in multiple code LLMs (i.e., CodeGen, StarCoder, and DeepSeek-Coder), and the results show that our approach is effective in security hardening. Specifically, our approach improves the average security ratio of six base models by 5.02%-37.14%, while maintaining the functional correctness of the target model.</t>
  </si>
  <si>
    <t>llm used for code generation; security model co-decoding guides token generation; unclear if input includes existing source code or only prompts; no explicit mention of source-code-related input given to llm</t>
  </si>
  <si>
    <t>SelfPiCo: Self-Guided Partial Code Execution with LLMs | Proceedings of the 33rd ACM SIGSOFT International Symposium on Software Testing and Analysis</t>
  </si>
  <si>
    <t>https://dl.acm.org/doi/10.1145/3650212.3680368</t>
  </si>
  <si>
    <t>Code executability plays a vital role in software debugging and testing (e.g., detecting runtime exceptions or assertion violations). However, code execution, especially partial or arbitrary code execution, is a non-trivial task due to missing definitions and complex third-party dependencies. To make partial code (such as code snippets posted on the web or code fragments deep inside complex software projects) executable, the existing study has proposed a machine learning model to predict the undefined element types and inject the pre-defined dummy values into execution. However, the performance of their tool is limited due to its simply designed dummy values and the inability to continue learning. In this paper, we design and implement a novel framework, named SelfPiCo (Self-Guided Partial Code Executor), to dynamically guide partial code execution by incorporating the open-source LLM (i.e., Code Llama) within an interactive loop. Particularly, SelfPiCo leverages few-shot in-context learning and chain-of-thought reasoning to elicit human knowledge and logical reasoning based on fine-tuning the Code Llama model. SelfPiCo continuously learns from code execution results and refines its predictions step after step. Our evaluations demonstrate that SelfPiCo can execute 72.7% and 83.3% of all lines in the open-source code and Stack Overflow snippets, outperforming the most recent state-of-the-art Lexecutor by 37.9% and 33.5%, respectively. Moreover, SelfPiCo successfully detected 18 and 33 runtime type error issues by executing the partial code from eight GitHub software projects and 43 Stack Overflow posts, demonstrating the practical usage and potential application of our framework in practice.</t>
  </si>
  <si>
    <t>uses llm (Code Llama); llm input includes partial code snippets; interactive loop with code execution feedback; few-shot in-context learning with code context; improves dummy values for undefined elements; executes partial code from github and stack overflow</t>
  </si>
  <si>
    <t>When to Stop? Towards Efficient Code Generation in LLMs with Excess Token Prevention | Proceedings of the 33rd ACM SIGSOFT International Symposium on Software Testing and Analysis</t>
  </si>
  <si>
    <t>https://dl.acm.org/doi/10.1145/3650212.3680343</t>
  </si>
  <si>
    <t>Code generation aims to automatically generate code snippets that meet given natural language requirements and plays an important role in software development. Although Code LLMs have shown excellent performance in this domain, their long generation time poses a signification limitation in practice use. In this paper, we first conduct an in-depth preliminary study with different Code LLMs on code generation task and identify a significant efficiency issue, i.e., continual generation of excess tokens. It harms the developer productivity and leads to huge computational wastes. To address it, we introduce CodeFast, an inference acceleration approach for Code LLMs on code generation. The key idea of CodeFast is to terminate the inference process in time when unnecessary excess tokens are detected. First, we propose an automatic data construction framework to obtain training data. Then, we train a unified lightweight model GenGuard applicable to multiple programming languages to predict whether to terminate inference at the current step. Finally, we enhance Code LLM with GenGuard to accelerate its inference in code generation task. We conduct extensive experiments with CodeFast on five representative Code LLMs across four widely used code generation datasets. Experimental results show that (1) CodeFast can significantly improve the inference speed of various Code LLMs in code generation, ranging form 34% to 452%, without compromising the quality of generated code. (2) CodeFast is stable across different parameter settings and can generalize to untrained datasets. Our code and data are available at https://github.com/DeepSoftwareAnalytics/CodeFast.</t>
  </si>
  <si>
    <t>llm generates code from natural language requirements only; no indication of existing source code input; focus on stopping excess token generation during code generation; no mention of code context given as input</t>
  </si>
  <si>
    <t>TornadoViz: Visualizing Heterogeneous Execution Patterns in Modern Managed Runtime Systems</t>
  </si>
  <si>
    <t>https://dl.acm.org/doi/10.1145/3759426.3760978</t>
  </si>
  <si>
    <t>With the increasing prevalence of machine learning and large language model (LLM) inference, heterogeneous computing has become essential. Modern JVMs are embracing this transition through projects such as TornadoVM and Babylon, which enable hardware acceleration on diverse hardware resources, including GPUs and FPGAs. However, while performance results are promising, developers currently face a significant tooling gap: traditional profilers excel at CPU-bound execution but become a “black box” when execution transitions to accelerators, providing no visibility into device memory management, execution patterns or cross-device data movement. This gap leaves developers without a unified view of how their Java applications behave across the heterogeneous computing stack.&lt;br/&gt;&lt;br/&gt;In this paper, we present TornadoViz, a visual analytics tool that leverages TornadoVM’s specialized bytecode system to provide interactive analysis of heterogeneous execution and object lifecycles in managed runtime systems. Unlike existing tools, TornadoViz bridges the managed-native divide by interpreting the bytecode stream that orchestrates heterogeneous execution, hence connecting high-level application logic with low-level hardware utilization patterns. Our tool enables developers to visualize task dependencies, track memory operations across devices, analyze bytecode distribution patterns, and identify performance bottlenecks through interactive dashboards.</t>
  </si>
  <si>
    <t>no mention of llm usage; focus on visualization and profiling tool; no indication llm processes source code or related context</t>
  </si>
  <si>
    <t>Oracle-Guided Program Selection from Large Language Models | Proceedings of the 33rd ACM SIGSOFT International Symposium on Software Testing and Analysis</t>
  </si>
  <si>
    <t>https://dl.acm.org/doi/10.1145/3650212.3680308</t>
  </si>
  <si>
    <t>While large language models (LLMs) have shown significant advancements in code generation, their susceptibility to producing incorrect code poses a significant challenge to the adoption of LLM-generated programs. This issue largely stems from the reliance on natural language descriptions as informal oracles in code generation. Current strategies to mitigate this involve selecting the best program from multiple LLM-generated alternatives, judged by criteria like the consistency of their execution results on an LLM-generated test suite. However, this approach has crucial limitations: (1) LLMs often generate redundant tests or tests that cannot distinguish between correct and incorrect solutions, (2) the used consistency criteria, such as the majority vote, fail to foster developer trust due to the absence of transparent rationale behind the made choices. In this work, we propose a new perspective on increasing the quality of LLM-generated code via program selection using the LLM as a test oracle. Our method is based on our experimentally confirmed observation that LLMs serve more effectively as oracles when tasked with selecting the correct output from multiple choices. Leveraging this insight, we first generate distinguishing inputs that capture semantic discrepancies of programs sampled from an LLM, and record outputs produced by the programs on these inputs. An LLM then selects the most likely to be correct output from these, guided by the natural language problem description. We implemented this idea in a tool LLMCodeChoice and evaluated its accuracy in generating and selecting standalone programs. Our experiments demonstrated its effectiveness in improving pass@1 by 3.6-7% on HumanEval and MBPP benchmarks compared to the state-of-art CodeT. Most interestingly, the selected input-output specifications helped us to uncover incompleteness and ambiguities in task descriptions and also identify incorrect ground-truth implementations in the benchmarks.</t>
  </si>
  <si>
    <t>llm used for program selection; input includes multiple program outputs on generated inputs; uses natural language problem description plus program outputs as input; source-code-related context includes program outputs (code snippets) and test inputs; improves code generation quality by selecting among code variants</t>
  </si>
  <si>
    <t>Benchmarking Automated Program Repair: An Extensive Study on Both Real-World and Artificial Bugs | Proceedings of the 33rd ACM SIGSOFT International Symposium on Software Testing and Analysis</t>
  </si>
  <si>
    <t>https://dl.acm.org/doi/10.1145/3650212.3652140</t>
  </si>
  <si>
    <t>As bugs are inevitable and prevalent in real-world programs, many Automated Program Repair (APR) techniques have been proposed to generate patches for them. However, due to the lack of a standard for evaluating APR techniques, prior works tend to use different settings and benchmarks in evaluation, threatening the trustworthiness of the evaluation results. Additionally, they typically only adopt plausibility and genuineness as evaluation metrics, which may potentially mask some underlying issues in APR techniques. To overcome these issues, in this paper, we conduct an extensive and multi-dimensional evaluation of nine learning-based and three traditional state-of-the-art APR techniques under the same environment and settings. We employ the widely studied Defects4J V2.0.0 benchmark and a newly constructed large-scale mutation-based benchmark named MuBench, derived from Defects4J and including 1,700 artificial bugs generated by various mutators, to uncover potential limitations in these APR techniques. We also apply multi-dimensional metrics, including compilability/plausibility/genuineness metrics, as well as SYE (SYntactic Equivalence) and TCE (Trivial Compiler Equivalence) metrics, to thoroughly analyze the 1,814,652 generated patches. This paper presents noteworthy findings from the extensive evaluation: Firstly, Large Language Model (LLM) based APR demonstrates less susceptibility to overfitting on the Defects4J V1.2.0 dataset and fixes the most number of bugs. Secondly, the study suggests a promising future for combining traditional and learning-based APR techniques, as they exhibit complementary advantages in fixing different types of bugs. Additionally, this work highlights the necessity for further enhancing patch compilability of learning-based APR techniques, despite the presence of various existing strategies attempting to improve it. The study also reveals other guidelines for enhancing APR techniques, including the need for handling unresolvable symbol compilability issues and reducing duplicate/no-op patch generation. Finally, our study uncovers seven implementation issues in the studied techniques, with five of them confirmed and fixed by the corresponding authors.</t>
  </si>
  <si>
    <t>llm-based apr techniques evaluated; apr inherently uses source code as input; benchmarks include real and artificial bugs implying code context; multi-dimensional metrics on patches imply code input to llm; mentions large language model apr fixes bugs, so llm given code context</t>
  </si>
  <si>
    <t>HECS: A Hypergraph Learning-Based System for Detecting Extract Class Refactoring Opportunities | Proceedings of the 33rd ACM SIGSOFT International Symposium on Software Testing and Analysis</t>
  </si>
  <si>
    <t>https://dl.acm.org/doi/10.1145/3650212.3685307</t>
  </si>
  <si>
    <t>HECS is an advanced tool designed for Extract Class refactoring by leveraging hypergraph learning to model complex dependencies within large classes. Unlike traditional tools that rely on direct one-to-one dependency graphs, HECS uses intra-class dependency hypergraphs to capture one-to-many relationships. This allows HECS to provide more accurate and relevant refactoring suggestions. The tool constructs hypergraphs for each target class, attributes nodes using a pre-trained code model, and trains an enhanced hypergraph neural network. Coupled with a large language model, HECS delivers practical refactoring suggestions. In evaluations on large-scale and real-world datasets, HECS achieved a 38.5% increase in precision, 9.7% in recall, and 44.4% in f1-measure compared to JDeodorant, SSECS, and LLMRefactor. These improvements make HECS a valuable tool for developers, offering practical insights and enhancing existing refactoring techniques.</t>
  </si>
  <si>
    <t>llm used for refactoring suggestions; input includes intra-class dependency hypergraphs; nodes attributed using pre-trained code model; source-code-related context given as dependency hypergraphs and class code features</t>
  </si>
  <si>
    <t>One-to-One or One-to-Many? Suggesting Extract Class Refactoring Opportunities with Intra-class Dependency Hypergraph Neural Network | Proceedings of the 33rd ACM SIGSOFT International Symposium on Software Testing and Analysis</t>
  </si>
  <si>
    <t>https://dl.acm.org/doi/10.1145/3650212.3680379</t>
  </si>
  <si>
    <t>Excessively large classes that encapsulate multiple responsibilities are challenging to comprehend and maintain. Addressing this issue, several Extract Class refactoring tools have been proposed, employing a two-phase process: identifying suitable fields or methods for extraction, and implementing the mechanics of refactoring. These tools traditionally generate an intra-class dependency graph to analyze the class structure, applying hard-coded rules based on this graph to unearth refactoring opportunities. Yet, the graph-based approach predominantly illuminates direct, “one-to-one” relationship between pairwise entities. Such a perspective is restrictive as it overlooks the complex, “one-to-many” dependencies among multiple entities that are prevalent in real-world classes. This narrow focus can lead to refactoring suggestions that may diverge from developers’ actual needs, given their multifaceted nature. To bridge this gap, our paper leverages the concept of intra-class dependency hypergraph to model one-to-many dependency relationship and proposes a hypergraph learning-based approach to suggest Extract Class refactoring opportunities named HECS. For each target class, we first construct its intra-class dependency hypergraph and assign attributes to nodes with a pre-trained code model. All the attributed hypergraphs are fed into an enhanced hypergraph neural network for training. Utilizing this trained neural network alongside a large language model (LLM), we construct a refactoring suggestion system. We trained HECS on a large-scale dataset and evaluated it on two real-world datasets. The results show that demonstrates an increase of 38.5% in precision, 9.7% in recall, and 44.4% in f1-measure compared to 3 state-of-the-art refactoring tools including JDeodorant, SSECS, and LLMRefactor, which is more useful for 64% of participants. The results also unveil practical suggestions and new insights that benefit existing extract-related refactoring techniques.</t>
  </si>
  <si>
    <t>llm used in refactoring suggestion system; input includes intra-class dependency hypergraph with node attributes from pre-trained code model; hypergraph models one-to-many code dependencies; source-code-related context fed to llm</t>
  </si>
  <si>
    <t>graph-based expansion, static analysis output</t>
  </si>
  <si>
    <t>Practitioners’ Expectations on Automated Test Generation | Proceedings of the 33rd ACM SIGSOFT International Symposium on Software Testing and Analysis</t>
  </si>
  <si>
    <t>https://dl.acm.org/doi/10.1145/3650212.3680386</t>
  </si>
  <si>
    <t>Automated test generation can help developers craft high-quality software tests while mitigating the manual effort needed for writing test code. Despite significant research efforts in automated test generation for nearly 50 years, there is a lack of clarity about what practitioners expect from automated test generation tools and whether the existing research meets their needs. To address this issue, we follow a mixed-methods approach to gain insights into practitioners' expectations of automated test generation. We first conduct the qualitative analysis from semi-structured interviews with 13 professionals, followed by a quantitative survey of 339 practitioners from 46 countries across five continents. We then conduct a literature review of premier venue papers from 2022 to 2024 (in the last three years) and compare current research findings with practitioners' expectations. From this comparison, we outline future research directions for researchers to bridge the gap between automated test generation research and practitioners' expectations.</t>
  </si>
  <si>
    <t>no explicit mention of llm usage; focus on automated test generation tools broadly; no clear indication llm receives source-code-related input; survey and literature review based; possible but not confirmed llm involvement or code input</t>
  </si>
  <si>
    <t>Collaboration to Repository-Level Vulnerability Detection | Proceedings of the 33rd ACM SIGSOFT International Symposium on Software Testing and Analysis</t>
  </si>
  <si>
    <t>https://dl.acm.org/doi/10.1145/3650212.3685562</t>
  </si>
  <si>
    <t>Large Language Model (LLM)-based methods have proven to be effective for many software engineering domains, with a potential for substantial productivity effective for software vulnerability detection. However, due to the limitation of the length of input contexts of LLM, the existing LLM-based methods mainly focus on detecting function-level and leveraging the in-file context information for vulnerability detection (i.e., intra-procedural vulnerabilities), ignoring the more complex inter-procedural vulnerability detection scenarios in practice. For instance, in real-world scenarios, developers routinely engage with program analysis to detect vulnerabilities that span multiple cross-file information within repositories. Since complex processes tend to have redundancy dependencies from spanning multiple files in the repository level and invoking multiple static analysis tools, the ideal goal of vulnerability detection is to extract the vulnerability-related information from the repository and provide potential possible explanations for vulnerability triggers. However, such a goal is hard to achieve, and thus in this work, we design three works through multi-agent collaboration to approach the goal of repository-level vulnerability detection.</t>
  </si>
  <si>
    <t>llm-based method for vulnerability detection; focus on repository-level detection spanning multiple files; likely input includes multiple files or cross-file context; mentions static analysis tools and multi-agent collaboration; implies source-code-related input to llm</t>
  </si>
  <si>
    <t>Calico: Automated Knowledge Calibration and Diagnosis for Elevating AI Mastery in Code Tasks | Proceedings of the 33rd ACM SIGSOFT International Symposium on Software Testing and Analysis</t>
  </si>
  <si>
    <t>https://dl.acm.org/doi/10.1145/3650212.3680399</t>
  </si>
  <si>
    <t>Recent advancements in large language models (LLMs) have exhibited promising capabilities in addressing various tasks such as defect detection and program repair. Despite their prevalence, LLMs still face limitations in effectively handling these tasks. Common strategies to adapt them and improve their performance for specific tasks involve fine-tuning models based on user data or employing in-context learning with examples of desired inputs and outputs. However, they pose challenges for practical adoption due to the need for extensive computational resources, high-quality data, and continuous maintenance. Furthermore, neither strategy can explain or reason about the deficiencies of LLMs in the given tasks. We propose Calico to address the high cost of fine-tuning, eliminate the necessity for task-specific examples, and provide explanations of LLM deficiency. At the heart of Calico is an evolutionary approach that interleaves knowledge calibration and AI deficiency diagnosis. The key essence of Calico is as follows. First, it focuses on identifying knowledge gaps in LLMs’ program comprehension. Second, it conducts automated code refactoring to integrate the overlooked knowledge into the source code for mitigating those gaps. Third, it employs what-if analysis and counterfactual reasoning to determine a minimum set of overlooked knowledge necessary to improve the performance of LLMs in code tasks. We have extensively evaluated Calico over 8,938 programs on three most commonly seen code tasks. Our experimental results show that vanilla ChatGPT cannot fully understand code structures. With knowledge calibration, Calico improves it by 20% and exhibits comparable proficiency compared to fine-tuned LLMs. Deficiency diagnosis contributes to 8% reduction in program sizes while ensuring performance. These impressive results demonstrate the feasibility of utilizing a vanilla LLM for automated software engineering (SE) tasks, thereby avoiding the high computational costs associated with a fine-tuned model.</t>
  </si>
  <si>
    <t>uses llm (chatgpt); input involves program comprehension and automated code refactoring; addresses knowledge gaps in code understanding; evaluated on 8938 programs; implies llm receives source code context for calibration and diagnosis</t>
  </si>
  <si>
    <t>Automated Program Repair via Conversation: Fixing 162 out of 337 Bugs for $0.42 Each using ChatGPT | Proceedings of the 33rd ACM SIGSOFT International Symposium on Software Testing and Analysis</t>
  </si>
  <si>
    <t>https://dl.acm.org/doi/10.1145/3650212.3680323</t>
  </si>
  <si>
    <t>Automated Program Repair (APR) aims to automatically generate patches for buggy programs. Traditional APR techniques suffer from a lack of patch variety as they rely heavily on handcrafted or mined bug fixing patterns and cannot easily generalize to other bug/fix types. To address this limitation, recent APR work has been focused on leveraging modern Large Language Models (LLMs) to directly generate patches for APR. Such LLM-based APR tools work by first constructing an input prompt built using the original buggy code and then querying the LLM to either fill-in (cloze-style APR) the correct code at the bug location or to produce a completely new code snippet as the patch. While the LLM-based APR tools are able to achieve state-of-the-art results, they still follow the classic Generate and Validate (GV) repair paradigm of first generating lots of patches by sampling from the same initial prompt and then validating each one afterwards. This not only leads to many repeated patches that are incorrect, but also misses the crucial and yet previously ignored information in test failures as well as in plausible patches. To address these aforementioned limitations, we propose ChatRepair, the first fully automated conversation-driven APR approach that interleaves patch generation with instant feedback to perform APR in a conversational style. ChatRepair first feeds the LLM with relevant test failure information to start with, and then learns from both failures and successes of earlier patching attempts of the same bug for more powerful APR. For earlier patches that failed to pass all tests, we combine the incorrect patches with their corresponding relevant test failure information to construct a new prompt for the LLM to generate the next patch. In this way, we can avoid making the same mistakes. For earlier patches that passed all the tests (i.e., plausible patches), we further ask the LLM to generate alternative variations of the original plausible patches. In this way, we can further build on and learn from earlier successes to generate more plausible patches to increase the chance of having correct patches. While our approach is general, we implement ChatRepair using state-of-the-art dialogue-based LLM – ChatGPT. Our evaluation on the widely studied Defects4j dataset shows that ChatRepair is able to achieve the new state-of-the-art in repair performance, achieving 114 and 48 correct fixes on Defects4j 1.2 and 2.0 respectively. By calculating the cost of accessing ChatGPT, we can fix 162 out of 337 bugs for $0.42 each!</t>
  </si>
  <si>
    <t>uses llm chatgpt; input includes buggy code; uses test failure info as input; iterative prompt refinement with code and test outputs; source-code-related context clearly given</t>
  </si>
  <si>
    <t>code, tests, dynamic/runtime context</t>
  </si>
  <si>
    <t>Large Language Models for Fuzzing Parsers (Registered Report) | Proceedings of the 2nd International Fuzzing Workshop</t>
  </si>
  <si>
    <t>https://dl.acm.org/doi/10.1145/3605157.3605173</t>
  </si>
  <si>
    <t>Ambiguity in format specifications is a significant source of software vulnerabilities. In this paper, we propose a natural language processing (NLP) driven approach that implicitly leverages the ambiguity of format specifications to generate instances of a format for fuzzing. We employ a large language model (LLM) to recursively examine a natural language format specification to generate instances from the specification for use as strong seed examples to a mutation fuzzer. Preliminary experiments show that our method outperforms a basic mutation fuzzer, and is capable of synthesizing examples from novel handwritten formats.</t>
  </si>
  <si>
    <t>llm used to process natural language format specifications; unclear if format specs are tied to code or purely natural language; no explicit mention of source-code-related input given to llm</t>
  </si>
  <si>
    <t>Who Judges the Judge: An Empirical Study on Online Judge Tests | Proceedings of the 32nd ACM SIGSOFT International Symposium on Software Testing and Analysis</t>
  </si>
  <si>
    <t>https://dl.acm.org/doi/10.1145/3597926.3598060</t>
  </si>
  <si>
    <t>Online Judge platforms play a pivotal role in education, competitive programming, recruitment, career training, and large language model training. They rely on predefined test suites to judge the correctness of submitted solutions. It is therefore important that the solution judgement is reliable and free from potentially misleading false positives (i.e., incorrect solutions that are judged as correct). In this paper, we conduct an empirical study of 939 coding problems with 541,552 solutions, all of which are judged to be correct according to the test suites used by the platform, finding that 43.4% of the problems include false positive solutions (3,440 bugs are revealed in total). We also find that test suites are, nevertheless, of high quality according to widely-studied test effectiveness measurements: 88.2% of false positives have perfect (100%) line coverage, 78.9% have perfect branch coverage, and 32.5% have a perfect mutation score. Our findings indicate that more work is required to weed out false positive solutions and to further improve test suite effectiveness. We have released the detected false positive solutions and the generated test inputs to facilitate future research.</t>
  </si>
  <si>
    <t>no mention of llm usage; empirical study on online judge test suites; focus on test effectiveness and false positives; no indication llm receives source-code input</t>
  </si>
  <si>
    <t>SCALE: Constructing Structured Natural Language Comment Trees for Software Vulnerability Detection | Proceedings of the 33rd ACM SIGSOFT International Symposium on Software Testing and Analysis</t>
  </si>
  <si>
    <t>https://dl.acm.org/doi/10.1145/3650212.3652124</t>
  </si>
  <si>
    <t>Recently, there has been a growing interest in automatic software vulnerability detection. Pre-trained model-based approaches have demonstrated superior performance than other Deep Learning (DL)-based approaches in detecting vulnerabilities. However, the existing pre-trained model-based approaches generally employ code sequences as input during prediction, and may ignore vulnerability-related structural information, as reflected in the following two aspects. First, they tend to fail to infer the semantics of the code statements with complex logic such as those containing multiple operators and pointers. Second, they are hard to comprehend various code execution sequences, which is essential for precise vulnerability detection. To mitigate the challenges, we propose a Structured Natural Language Comment tree-based vulnerAbiLity dEtection framework based on the pre-trained models, named . The proposed Structured Natural Language Comment Tree (SCT) integrates the semantics of code statements with code execution sequences based on the Abstract Syntax Trees (ASTs).Specifically, comprises three main modules: (1) Comment Tree Construction, which aims at enhancing the model’s ability to infer the semantics of code statements by first incorporating Large Language Models (LLMs) for comment generation and then adding the comment node to ASTs. (2) Structured Natural Language Comment Tree Construction, which aims at explicitly involving code execution sequence by combining the code syntax templates with the comment tree. (3) SCT-Enhanced Representation, which finally incorporates the constructed SCTs for well capturing vulnerability patterns. Experimental results demonstrate that outperforms the best-performing baseline, including the pre-trained model and LLMs, with improvements of 2.96%, 13.47%, and 3.75% in terms of F1 score on the FFMPeg+Qemu, Reveal, and SVulD datasets, respectively. Furthermore, can be applied to different pre-trained models, such as CodeBERT and UniXcoder, yielding the F1 score performance enhancements ranging from 1.37% to 10.87%.</t>
  </si>
  <si>
    <t>llm used for comment generation on code statements; input includes abstract syntax trees (ast) and code execution sequences; structured natural language comment trees integrate code semantics and syntax; source-code-related context given to llm</t>
  </si>
  <si>
    <t>Identifying Smart Contract Security Issues in Code Snippets from Stack Overflow | Proceedings of the 33rd ACM SIGSOFT International Symposium on Software Testing and Analysis</t>
  </si>
  <si>
    <t>https://dl.acm.org/doi/10.1145/3650212.3680353</t>
  </si>
  <si>
    <t>Smart contract developers frequently seek solutions to developmental\nchallenges on Q&amp;amp;A platforms such as Stack Overflow (SO). Although community\nresponses often provide viable solutions, the embedded code snippets can also\ncontain hidden vulnerabilities. Integrating such code directly into smart\ncontracts may make them susceptible to malicious attacks. We conducted an\nonline survey and received 74 responses from smart contract developers. The\nresults of this survey indicate that the majority (86.4%) of participants do\nnot sufficiently consider security when reusing SO code snippets. Despite the\nexistence of various tools designed to detect vulnerabilities in smart\ncontracts, these tools are typically developed for analyzing fully-completed\nsmart contracts and thus are ineffective for analyzing typical code snippets as\nfound on SO. We introduce SOChecker, the first tool designed to identify\npotential vulnerabilities in incomplete SO smart contract code snippets.\nSOChecker first leverages a fine-tuned Llama2 model for code completion,\nfollowed by the application of symbolic execution methods for vulnerability\ndetection. Our experimental results, derived from a dataset comprising 897 code\nsnippets collected from smart contract-related SO posts, demonstrate that\nSOChecker achieves an F1 score of 68.2%, greatly surpassing GPT-3.5 and GPT-4\n(20.9% and 33.2% F1 Scores respectively). Our findings underscore the need to\nimprove the security of code snippets from Q&amp;amp;A websites.\n</t>
  </si>
  <si>
    <t>llm (llama2) used for code completion; input is incomplete smart contract code snippets from stack overflow; source-code-related input clearly given to llm</t>
  </si>
  <si>
    <t>Is ChatGPT Capable of Crafting Gamification Strategies for Software Engineering Tasks?</t>
  </si>
  <si>
    <t>https://dl.acm.org/doi/10.1145/3617553.3617887</t>
  </si>
  <si>
    <t>Gamification has gained significant attention in the last decade for its potential to enhance engagement and motivation in various domains. During the last year ChatGPT, a state-of-the-art large language model has received even more attention both in the field of scientific research and in common use by individuals or companies. In this study, we investigate the possibility of adopting ChatGPT as a tool for designing gamification platforms in the Software Engineering domain. Leveraging the capabilities of ChatGPT, we assess how good is it at generating effective suggestions and ideas for designers or developers. To evaluate ChatGPT's potential as a gamification platform creator we narrowed the context to one particular Software Engineering activity, asking for possible aspects of the activity to be gamified. Each proposed aspect was subsequently unraveled by ChatGPT both asking in a shared and separate context, first following the conversational nature of the model, then applying a validated design framework. The study assesses ChatGPT's ability to select and integrate game elements to build a thriving gamification environment by framing the design of the platform to a state-of-the-art conceptual framework. To evaluate the goodness of the design choices made we relied both on the Octalysis framework and on personal experience. The findings of the papers show that ChatGPT can only create simple playful experiences not very effective. Although, by instructing the model with more specific desired mechanics and dynamics, it is possible to guide it toward the application of the ideas suggested. We argue that ChatGPT is not capable of building a gamified environment on its own, but it could still be used to build the foundation of a gamification platform as long as the designers refine and rough out the advice gained from a user-centered solution.</t>
  </si>
  <si>
    <t>llm used for gamification strategy design; no mention of source-code-related input; focus on software engineering tasks but not on code or code context; input appears to be natural language descriptions only</t>
  </si>
  <si>
    <t>Beware of the Unexpected: Bimodal Taint Analysis | Proceedings of the 32nd ACM SIGSOFT International Symposium on Software Testing and Analysis</t>
  </si>
  <si>
    <t>https://dl.acm.org/doi/10.1145/3597926.3598050</t>
  </si>
  <si>
    <t>Static analysis is a powerful tool for detecting security vulnerabilities and other programming problems. Global taint tracking, in particular, can spot vulnerabilities arising from complicated data flow across multiple functions. However, precisely identifying which flows are problematic is challenging, and sometimes depends on factors beyond the reach of pure program analysis, such as conventions and informal knowledge. For example, learning that a parameter name of an API function locale ends up in a file path is surprising and potentially problematic. In contrast, it would be completely unsurprising to find that a parameter command passed to an API function execaCommand is eventually interpreted as part of an operating-system command. This paper presents Fluffy, a bimodal taint analysis that combines static analysis, which reasons about data flow, with machine learning, which probabilistically determines which flows are potentially problematic. The key idea is to let machine learning models predict from natural language information involved in a taint flow, such as API names, whether the flow is expected or unexpected, and to inform developers only about the latter. We present a general framework and instantiate it with four learned models, which offer different trade-offs between the need to annotate training data and the accuracy of predictions. We implement Fluffy on top of the CodeQL analysis framework and apply it to 250K JavaScript projects. Evaluating on five common vulnerability types, we find that Fluffy achieves an F1 score of 0.85 or more on four of them across a variety of datasets.</t>
  </si>
  <si>
    <t>uses machine learning to predict problematic data flows; input includes natural language info like api names; unclear if llm receives source-code-related input such as code elements or static analysis outputs; no explicit mention of llm or large language model; bimodal taint analysis combines static analysis and ml but ml input details unclear</t>
  </si>
  <si>
    <t>natural language, static analysis output</t>
  </si>
  <si>
    <t>ASTRAL: A Tool for the Automated Safety Testing of Large Language Models | Proceedings of the 34th ACM SIGSOFT International Symposium on Software Testing and Analysis</t>
  </si>
  <si>
    <t>https://dl.acm.org/doi/10.1145/3713081.3731733</t>
  </si>
  <si>
    <t>In this paper, we present ASTRAL, a tool that automates the generation and execution of test inputs (i.e., prompts) to evaluate the safety of Large Language Models (LLMs). ASTRAL consists of three microservice modules. The first is a test generator, which employs a novel black-box coverage criterion to create balanced and diverse unsafe test inputs across a wide range of safety categories and linguistic characteristics (e.g., different writing styles and persuasion techniques). Additionally, the test generator incorporates an LLM-based approach that leverages Retrieval-Augmented Generation (RAG), few-shot prompting strategies, and web browsing to produce up-to-date test inputs. The second module is the test executor, which runs the generated test inputs on the LLM under test. Finally, the test evaluator acts an oracle to assess the execution outputs to identify unsafe responses, enabling a fully automated LLM testing process.</t>
  </si>
  <si>
    <t>llm used for safety testing of llms; inputs are prompts for safety categories and linguistic styles; no mention of source-code-related input; focus on natural language safety evaluation</t>
  </si>
  <si>
    <t>Using pre-trained language models to resolve textual and semantic merge conflicts (experience paper) | Proceedings of the 31st ACM SIGSOFT International Symposium on Software Testing and Analysis</t>
  </si>
  <si>
    <t>https://dl.acm.org/doi/10.1145/3533767.3534396</t>
  </si>
  <si>
    <t>Program merging is standard practice when developers integrate their individual changes to a common code base. When the merge algorithm fails, this is called a merge conflict. The conflict either manifests as a textual merge conflict where the merge fails to produce code, or as a semantic merge conflict where the merged code results in compiler errors or broken tests. Resolving these conflicts for large code projects is expensive because it requires developers to manually identify the sources of conflicts and correct them. In this paper, we explore the feasibility of automatically repairing merge conflicts (both textual and semantic) using k-shot learning with pre-trained large neural language models (LM) such as GPT-3. One of the challenges in leveraging such language models is fitting the examples and the queries within a small prompt (2048 tokens). We evaluate LMs and k-shot learning for both textual and semantic merge conflicts for Microsoft Edge. Our results are mixed: on one-hand, LMs provide the state-of-the-art (SOTA) performance on semantic merge conflict resolution for Edge compared to earlier symbolic approaches; on the other hand, LMs do not yet obviate the benefits of special purpose domain-specific languages (DSL) for restricted patterns for program synthesis.</t>
  </si>
  <si>
    <t>uses pre-trained large language models (e.g., GPT-3); resolves textual and semantic merge conflicts in code; input includes code changes to be merged; context involves source code from Microsoft Edge project; merge conflicts inherently involve source code snippets and diffs</t>
  </si>
  <si>
    <t>DistillSeq: A Framework for Safety Alignment Testing in Large Language Models using Knowledge Distillation | Proceedings of the 33rd ACM SIGSOFT International Symposium on Software Testing and Analysis</t>
  </si>
  <si>
    <t>https://dl.acm.org/doi/10.1145/3650212.3680304</t>
  </si>
  <si>
    <t>Large Language Models (LLMs) have showcased their remarkable capabilities in diverse domains, encompassing natural language understanding, translation, and even code generation. The potential for LLMs to generate harmful content is a significant concern. This risk necessitates rigorous testing and comprehensive evaluation of LLMs to ensure safe and responsible use. However, extensive testing of LLMs requires substantial computational resources, making it an expensive endeavor. Therefore, exploring cost-saving strategies during the testing phase is crucial to balance the need for thorough evaluation with the constraints of resource availability. To address this, our approach begins by transferring the moderation knowledge from an LLM to a small model. Subsequently, we deploy two distinct strategies for generating malicious queries: one based on a syntax tree approach, and the other leveraging an LLM-based method. Finally, our approach incorporates a sequential filter-test process designed to identify test cases that are prone to eliciting toxic responses. By doing so, we significantly curtail unnecessary or unproductive interactions with LLMs, thereby streamlining the testing process. Our research evaluated the efficacy of DistillSeq across four LLMs: GPT-3.5, GPT-4.0, Vicuna-13B, and Llama-13B. In the absence of DistillSeq, the observed attack success rates on these LLMs stood at 31.5% for GPT-3.5, 21.4% for GPT-4.0, 28.3% for Vicuna-13B, and 30.9% for Llama-13B. However, upon the application of DistillSeq, these success rates notably increased to 58.5%, 50.7%, 52.5%, and 54.4%, respectively. This translated to an average escalation in attack success rate by a factor of 93.0% when compared to scenarios without the use of DistillSeq. Such findings highlight the significant enhancement DistillSeq offers in terms of reducing the time and resource investment required for effectively testing LLMs.</t>
  </si>
  <si>
    <t>llms used for safety alignment testing; input involves malicious queries generation; no mention of source-code-related input; focus on toxic content detection not code analysis</t>
  </si>
  <si>
    <t>Large Language Models for Equivalent Mutant Detection: How Far Are We? | Proceedings of the 33rd ACM SIGSOFT International Symposium on Software Testing and Analysis</t>
  </si>
  <si>
    <t>https://dl.acm.org/doi/10.1145/3650212.3680395</t>
  </si>
  <si>
    <t>Mutation testing is vital for ensuring software quality. However, the presence of equivalent mutants is known to introduce redundant cost and bias issues, hindering the effectiveness of mutation testing in practical use. Although numerous equivalent mutant detection (EMD) techniques have been proposed, they exhibit limitations due to the scarcity of training data and challenges in generalizing to unseen mutants. Recently, large language models (LLMs) have been extensively adopted in various code-related tasks and have shown superior performance by more accurately capturing program semantics. Yet the performance of LLMs in equivalent mutant detection remains largely unclear. In this paper, we conduct an empirical study on 3,302 method-level Java mutant pairs to comprehensively investigate the effectiveness and efficiency of LLMs for equivalent mutant detection. Specifically, we assess the performance of LLMs compared to existing EMD techniques, examine the various strategies of LLMs, evaluate the orthogonality between EMD techniques, and measure the time overhead of training and inference. Our findings demonstrate that LLM-based techniques significantly outperform existing techniques (i.e., the average improvement of 35.69% in terms of F1-score), with the fine-tuned code embedding strategy being the most effective. Moreover, LLM-based techniques offer an excellent balance between cost (relatively low training and inference time) and effectiveness. Based on our findings, we further discuss the impact of model size and embedding quality, and provide several promising directions for future research. This work is the first to examine LLMs in equivalent mutant detection, affirming their effectiveness and efficiency.</t>
  </si>
  <si>
    <t>llm used for equivalent mutant detection; input includes method-level java mutant pairs; code-related input clearly present; empirical study on code semantics</t>
  </si>
  <si>
    <t>FuseApplyBench: Multilingual Benchmark for Trustworthy Code Edit Applying Task | Proceedings of the 34th ACM SIGSOFT International Symposium on Software Testing and Analysis</t>
  </si>
  <si>
    <t>https://dl.acm.org/doi/10.1145/3713081.3732929</t>
  </si>
  <si>
    <t>With the rise of Language Models (LMs) and Large Language Models (LLMs), their potential for code editing (CE) has gained attention. An approach is to have LLMs generate draft code modifications, which are then refined by smaller LMs in further Code Editing Apply (CEA). However, CEA is error-prone, and existing benchmarks do not systematically evaluate LLM performance in handling these issues. We introduce FuseApplyBench, a benchmark designed to evaluate LLM performance across three major error types in CEA tasks. Atop FuseApplyBench's pipeline, we collect datasets to perform fine-tuning, enhancing code modifications' reliability (denoted as FuseApply). We benchmark FuseApply, four widely used open source LLMs, and Kortix-FastApply on FuseApplyBench. Results show that FuseApply significantly improves trustworthiness and accuracy metrics, while other models demonstrate weaker performance, highlighting opportunities for advancing LLM in CE.</t>
  </si>
  <si>
    <t>llms used for code editing apply task; benchmark evaluates llm performance on code modifications; fine-tuning on code edit datasets; implies source-code-related input given to llms</t>
  </si>
  <si>
    <t>From Large Language Models to Adversarial Malware: How far are we | Proceedings of the 34th ACM SIGSOFT International Symposium on Software Testing and Analysis</t>
  </si>
  <si>
    <t>https://dl.acm.org/doi/10.1145/3713081.3732928</t>
  </si>
  <si>
    <t>Large Language Models (LLMs) have achieved notable progress in fields including natural language processing, cyber threat detection, and automated penetration testing, increasingly being applied in practical settings. However, the rapid advancement of these models has also led to their potential misuse, posing new challenges to cyberspace security. Security incidents have already been reported in areas such as phishing attacks and disinformation campaigns. Nevertheless, the progress and potential impact of LLMs in generating adversarial malware remain underexplored. This study systematically investigates the evasion capability of adversarial malware generated by LLMs. By integrating chain of thought into a Markov process and designing prompt based state transition functions and reward mechanisms, this research evaluates the effectiveness and efficiency against mainstream static detection methods on a dataset comprising over 2,000 real-world malware samples. Experimental results demonstrate an average evasion rate of 89.92% across 12 commercial antivirus engines on VirusTotal. The findings reveal that individuals with minimal technical expertise and basic natural language skills can generate malware that evades static detection, which underscores potential vulnerabilities in current cyberspace defense and detection systems regarding adversarial malware countermeasures.</t>
  </si>
  <si>
    <t>llm used for adversarial malware generation; no explicit mention of source-code-related input; input context unclear if includes code or just natural language prompts; focus on evasion of static detection but no detail on input type</t>
  </si>
  <si>
    <t>LPR: Large Language Models-Aided Program Reduction | Proceedings of the 33rd ACM SIGSOFT International Symposium on Software Testing and Analysis</t>
  </si>
  <si>
    <t>https://dl.acm.org/doi/10.1145/3650212.3652126</t>
  </si>
  <si>
    <t>Program reduction is a widely used technique to facilitate debugging compilers by automatically minimizing programs that trigger compiler bugs. Existing program reduction techniques are either generic to a wide range of languages (such as Perses and Vulcan) or specifically optimized for one certain language by exploiting language-specific knowledge (e.g., C-Reduce). However, synergistically combining both generality across languages and optimality to a specific language in program reduction is yet to be explored. This paper proposes LPR, the first LLMs-aided technique leveraging LLMs to perform language-specific program reduction for multiple languages. The key insight is to utilize both the language generality of program reducers such as Perses and the languagespecific semantics learned by LLMs. Concretely, language-generic program reducers can efficiently reduce programs into a small size that is suitable for LLMs to process; LLMs can effectively transform programs via the learned semantics to create new reduction opportunities for the language-generic program reducers to further reduce the programs. Our thorough evaluation on 50 benchmarks across three programming languages (i.e., C, Rust and JavaScript) has demonstrated LPR's practicality and superiority over Vulcan, the state-of-the-art language-generic program reducer. For effectiveness, LPR surpasses Vulcan by producing 24.93%, 4.47%, and 11.71% smaller programs on benchmarks in C, Rust and JavaScript, separately. Moreover, LPR and Vulcan have the potential to complement each other. For the C language for which C-Reduce is optimized, by applying Vulcan to the output produced by LPR, we can attain program sizes that are on par with those achieved by C-Reduce. For efficiency perceived by users, LPR is more efficient when reducing large and complex programs, taking 10.77%, 34.88%, 36.96% less time than Vulcan to finish all the benchmarks in C, Rust and JavaScript, separately.</t>
  </si>
  <si>
    <t>uses llm for program reduction; llm processes reduced programs as input; input is source code in multiple languages; combines language-generic reducers with llm semantic transformations; clear source-code-related input to llm</t>
  </si>
  <si>
    <t>AutoCodeRover: Autonomous Program Improvement | Proceedings of the 33rd ACM SIGSOFT International Symposium on Software Testing and Analysis</t>
  </si>
  <si>
    <t>https://dl.acm.org/doi/10.1145/3650212.3680384</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</si>
  <si>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t>
  </si>
  <si>
    <t>llm used for program improvement; input includes ast representation; uses code search with classes/methods context; uses spectrum-based fault localization with tests; input clearly source-code-related</t>
  </si>
  <si>
    <t>static analysis output, tests, retrieval-based context, code</t>
  </si>
  <si>
    <t>Neurosymbolic Repair of Test Flakiness | Proceedings of the 33rd ACM SIGSOFT International Symposium on Software Testing and Analysis</t>
  </si>
  <si>
    <t>https://dl.acm.org/doi/10.1145/3650212.3680369</t>
  </si>
  <si>
    <t>Test flakiness, a non-deterministic behavior of builds irrelevant to code changes, is a major and continuing impediment to deliver- ing reliable software. The very few techniques for the automated repair of test flakiness are specifically crafted to repair either Order- Dependent (OD) or Implementation-Dependent (ID) flakiness. They are also all symbolic approaches, i.e., they leverage program analy- sis to detect and repair known test flakiness patterns and root causes, failing to generalize. To bridge the gap, we propose FlakyDoctor, a neuro-symbolic technique that combines the power of LLMs— generalizability—and program analysis—soundness—to fix different types of test flakiness. Our extensive evaluation using 873 confirmed flaky tests (332 OD and 541 ID) from 243 real-world projects demonstrates the ability of FlakyDoctor in repairing flakiness, achieving 57% (OD) and 59% (ID) success rate. Comparing to three alternative flakiness repair approaches, FlakyDoctor can repair 8% more ID tests than DexFix, 12% more OD flaky tests than ODRepair, and 17% more OD flaky tests than iFixFlakies. Regardless of underlying LLM, the non-LLM components of FlakyDoctor contribute to 12–31 % of the overall performance, i.e., while part of the FlakyDoctor power is from using LLMs, they are not good enough to repair flaky tests in real-world projects alone. What makes the proposed technique superior to related research on test flakiness mitigation specifically and program repair, in general, is repairing 79 previously unfixed flaky tests in real-world projects. We opened pull requests for all cases with corresponding patches; 19 of them were accepted and merged at the time of submission.</t>
  </si>
  <si>
    <t>llm used for repairing flaky tests; combines llm with program analysis; repairs known flakiness patterns; likely uses source-code-related input for repair; evaluation on real-world projects with flaky tests; input probably includes test code or program snippets</t>
  </si>
  <si>
    <t>Large Language Models Can Connect the Dots: Exploring Model Optimization Bugs with Domain Knowledge-Aware Prompts | Proceedings of the 33rd ACM SIGSOFT International Symposium on Software Testing and Analysis</t>
  </si>
  <si>
    <t>https://dl.acm.org/doi/10.1145/3650212.3680383</t>
  </si>
  <si>
    <t>Model optimization, such as pruning and quantization, has become the de facto pre-deployment phase when deploying deep learning (DL) models on resource-constrained platforms. However, the complexity of DL models often leads to non-trivial bugs in model optimizers, known as model optimization bugs (MOBs). These MOBs are characterized by involving complex data types and layer structures inherent to DL models, causing significant hurdles in detecting them through traditional static analysis and dynamic testing techniques. In this work, we leverage Large Language Models (LLMs) with prompting techniques to generate test cases for MOB detection. We explore how LLMs can draw an understanding of the MOB domain from scattered bug instances and generalize to detect new ones, a paradigm we term as concentration and diffusion. We extract MOB domain knowledge from the artifacts of known MOBs, such as their issue reports and fixes, and design knowledge-aware prompts to guide LLMs in generating effective test cases. The domain knowledge of code structure and error description provides precise in-depth depictions of the problem domain, i.e., the concentration, and heuristic directions to generate innovative test cases, i.e., the diffusion. Our approach is implemented as a tool named YanHui and benchmarked against existing few-shot LLM-based fuzzing techniques. Test cases generated by YanHui demonstrate enhanced capability to find relevant API and data combinations for exposing MOBs, leading to an 11.4% increase in generating syntactically valid code and a 22.3% increase in generating on-target code specific to model optimization. YanHui detects 17 MOBs, and among them, five are deep MOBs that are difficult to reveal without our prompting technique.</t>
  </si>
  <si>
    <t>llm used for generating test cases; prompts include domain knowledge from issue reports and fixes; issue reports and fixes linked to code changes imply historical context; test cases generated target model optimization bugs in code; domain knowledge includes code structure and error descriptions</t>
  </si>
  <si>
    <t>tests,historical context,documentation/specifications</t>
  </si>
  <si>
    <t>FixCheck: A Tool for Improving Patch Correctness Analysis | Proceedings of the 33rd ACM SIGSOFT International Symposium on Software Testing and Analysis</t>
  </si>
  <si>
    <t>https://dl.acm.org/doi/10.1145/3650212.3685308</t>
  </si>
  <si>
    <t>Patch correctness assessment aims at effectively detecting overfitted patches, i.e., patches that causes all tests to pass but do not actually fix the bug. Although several automated techniques for assessing patch correctness have been proposed, these techniques typically yield a binary result (correct/incorrect) without providing any additional information explaining the rationale behind the decision of classifying a patch as correct or incorrect. This tool demo paper presents FixCheck, a tool based on static analysis, random testing and Large Language Models (LLMs), that seeks to improve the patch correctness analysis process by providing fault-revealing tests for potentially incorrect patches. To this end, FixCheck first employs static analysis and random testing to generate a comprehensive set of test cases that are similar to the original failing test case. Then, FixCheck relies on LLMs to derive meaningful assertions for each new test case. Finally, FixCheck executes the generated tests, and those that fail are selected and prioritized based on their likelihood of revealing a defect in the patch.</t>
  </si>
  <si>
    <t>llm used to derive assertions for generated test cases; test cases generated based on static analysis and random testing; tests are source-code-related inputs to llm</t>
  </si>
  <si>
    <t>tests, static analysis output</t>
  </si>
  <si>
    <t>Feedback-Driven Automated Whole Bug Report Reproduction for Android Apps | Proceedings of the 33rd ACM SIGSOFT International Symposium on Software Testing and Analysis</t>
  </si>
  <si>
    <t>https://dl.acm.org/doi/10.1145/3650212.3680341</t>
  </si>
  <si>
    <t>In software development, bug report reproduction is a challenging task. This\npaper introduces ReBL, a novel feedback-driven approach that leverages GPT-4, a\nlarge-scale language model (LLM), to automatically reproduce Android bug\nreports. Unlike traditional methods, ReBL bypasses the use of Step to Reproduce\n(S2R) entities. Instead, it leverages the entire textual bug report and employs\ninnovative prompts to enhance GPT's contextual reasoning. This approach is more\nflexible and context-aware than the traditional step-by-step entity matching\napproach, resulting in improved accuracy and effectiveness. In addition to\nhandling crash reports, ReBL has the capability of handling non-crash\nfunctional bug reports. Our evaluation of 96 Android bug reports (73 crash and\n23 non-crash) demonstrates that ReBL successfully reproduced 90.63% of these\nreports, averaging only 74.98 seconds per bug report. Additionally, ReBL\noutperformed three existing tools in both success rate and speed.\n</t>
  </si>
  <si>
    <t>uses llm gpt-4; input is entire textual bug report; no explicit mention of source-code-related input; unclear if bug report includes code snippets or stack traces; no direct evidence of code elements or code-related context given to llm</t>
  </si>
  <si>
    <t>CoEdPilot: Recommending Code Edits with Learned Prior Edit Relevance, Project-wise Awareness, and Interactive Nature | Proceedings of the 33rd ACM SIGSOFT International Symposium on Software Testing and Analysis</t>
  </si>
  <si>
    <t>https://dl.acm.org/doi/10.1145/3650212.3652142</t>
  </si>
  <si>
    <t>Recent years have seen the development of LLM-based code generation. Compared to generating code in a software project, incremental code edits are empirically observed to be more frequent. The emerging code editing approaches usually formulate the problem as generating an edit based on known relevant prior edits and context. However, practical code edits can be more complicated. First, an editing session can include multiple (ir)relevant edits to the code under edit. Second, the inference of the subsequent edits is non-trivial as the scope of its ripple effect can be the whole project. In this work, we propose CoEdPilot, an LLM-driven solution to recommend code edits by discriminating the relevant edits, exploring their interactive natures, and estimating its ripple effect in the project. Specifically, CoEdPilot orchestrates multiple neural transformers to identify what and how to edit in the project regarding both edit location and edit content. When a user accomplishes an edit with an optional editing description, a Subsequent Edit Analysis first reports the most relevant files in the project with what types of edits (e.g., keep, insert, and replace) can happen for each line of their code. Next, an Edit-content Generator generates concrete edit options for the lines of code, regarding its relevant prior changes reported by an Edit-dependency Analyzer. Lastly, both the Subsequent Edit Analysis and the Edit-content Generator capture relevant prior edits as feedback to readjust their recommendations. We train our models by collecting over 180K commits from 471 open-source projects in 5 programming languages. Our extensive experiments show that CoEdPilot can well predict the edits (i.e., predicting edit location with an accuracy of 70.8%-85.3%, and the edit content with an exact match rate of 41.8% and BLEU4 score of 60.7)...</t>
  </si>
  <si>
    <t>llm-driven solution for code edits; input includes prior edits and code context; uses project files and line-level edit info; trained on commits from multiple projects; edit location and content prediction</t>
  </si>
  <si>
    <t>Semantic Constraint Inference for Web Form Test Generation | Proceedings of the 33rd ACM SIGSOFT International Symposium on Software Testing and Analysis</t>
  </si>
  <si>
    <t>https://dl.acm.org/doi/10.1145/3650212.3680332</t>
  </si>
  <si>
    <t>Automated test generation for web forms has been a longstanding challenge, exacerbated by the intrinsic human-centric design of forms and their complex, device-agnostic structures. We introduce an innovative approach, called FormNexus, for automated web form test generation, which emphasizes deriving semantic insights from individual form elements and relations among them, utilizing textual content, DOM tree structures, and visual proximity. The insights gathered are transformed into a new conceptual graph, the Form Entity Relation Graph (FERG), which offers machine-friendly semantic information extraction. Leveraging LLMs, FormNexus adopts a feedback-driven mechanism for generating and refining input constraints based on real-time form submission responses. The culmination of this approach is a robust set of test cases, each produced by methodically invalidating constraints, ensuring comprehensive testing scenarios for web forms. This work bridges the existing gap in automated web form testing by intertwining the capabilities of LLMs with advanced semantic inference methods. Our evaluation demonstrates that FormNexus combined with GPT-4 achieves 89% coverage in form submission states. This outcome significantly outstrips the performance of the best baseline model by a margin of 25%.</t>
  </si>
  <si>
    <t>llm used for feedback-driven constraint generation; input includes semantic info from form elements, dom tree, visual proximity; no explicit mention of source-code-related input; form elements and dom tree might be considered structural or graph info but unclear if treated as code or program structure; no direct evidence of code snippets or program artifacts given to llm</t>
  </si>
  <si>
    <t>graph-based expansion, structural expansion, natural language</t>
  </si>
  <si>
    <t>ThinkRepair: Self-Directed Automated Program Repair | Proceedings of the 33rd ACM SIGSOFT International Symposium on Software Testing and Analysis</t>
  </si>
  <si>
    <t>https://dl.acm.org/doi/10.1145/3650212.3680359</t>
  </si>
  <si>
    <t>Though many approaches have been proposed for Automated Program Repair (APR) and indeed achieved remarkable performance, they still have limitations in fixing bugs that require analyzing and reasoning about the logic of the buggy program. Recently, large language models (LLMs) instructed by prompt engineering have attracted much attention for their powerful ability to address many kinds of tasks including bug-fixing. However, the quality of the prompt will highly affect the ability of LLMs and manually constructing high-quality prompts is a costly endeavor. To address this limitation, we propose a self-directed LLM-based automated program repair, ThinkRepair, with two main phases: collection phase and fixing phase. The former phase automatically collects various chains of thoughts that constitute pre-fixed knowledge by instructing LLMs with the Chain-of-Thought (CoT) prompt. The latter phase targets fixing a bug by first selecting examples for few-shot learning and second automatically interacting with LLMs, optionally appending with feedback of testing information. Evaluations on two widely studied datasets (Defects4J and QuixBugs) by comparing ThinkRepair with 12 SOTA APRs indicate the priority of ThinkRepair in fixing bugs. Notably, ThinkRepair fixes 98 bugs and improves baselines by 27%∼344.4% on Defects4J V1.2. On Defects4J V2.0, ThinkRepair fixes 12∼65 more bugs than the SOTA APRs. Additionally, ThinkRepair also makes a considerable improvement on QuixBugs (31 for Java and 21 for Python at most).</t>
  </si>
  <si>
    <t>llm used for automated program repair; uses chain-of-thought prompting; few-shot learning with examples; feedback includes testing information; input likely includes buggy program code and test results; evaluation on code datasets (Defects4J, QuixBugs)</t>
  </si>
  <si>
    <t>How Effective Are Neural Networks for Fixing Security Vulnerabilities | Proceedings of the 32nd ACM SIGSOFT International Symposium on Software Testing and Analysis</t>
  </si>
  <si>
    <t>https://dl.acm.org/doi/10.1145/3597926.3598135</t>
  </si>
  <si>
    <t>Security vulnerability repair is a difficult task that is in dire need of\nautomation. Two groups of techniques have shown promise: (1) large code\nlanguage models (LLMs) that have been pre-trained on source code for tasks such\nas code completion, and (2) automated program repair (APR) techniques that use\ndeep learning (DL) models to automatically fix software bugs.\n This paper is the first to study and compare Java vulnerability repair\ncapabilities of LLMs and DL-based APR models. The contributions include that we\n(1) apply and evaluate five LLMs (Codex, CodeGen, CodeT5, PLBART and InCoder),\nfour fine-tuned LLMs, and four DL-based APR techniques on two real-world Java\nvulnerability benchmarks (Vul4J and VJBench), (2) design code transformations\nto address the training and test data overlapping threat to Codex, (3) create a\nnew Java vulnerability repair benchmark VJBench, and its transformed version\nVJBench-trans and (4) evaluate LLMs and APR techniques on the transformed\nvulnerabilities in VJBench-trans.\n Our findings include that (1) existing LLMs and APR models fix very few Java\nvulnerabilities. Codex fixes 10.2 (20.4%), the most number of vulnerabilities.\n(2) Fine-tuning with general APR data improves LLMs' vulnerability-fixing\ncapabilities. (3) Our new VJBench reveals that LLMs and APR models fail to fix\nmany Common Weakness Enumeration (CWE) types, such as CWE-325 Missing\ncryptographic step and CWE-444 HTTP request smuggling. (4) Codex still fixes\n8.3 transformed vulnerabilities, outperforming all the other LLMs and APR\nmodels on transformed vulnerabilities. The results call for innovations to\nenhance automated Java vulnerability repair such as creating larger\nvulnerability repair training data, tuning LLMs with such data, and applying\ncode simplification transformation to facilitate vulnerability repair.\n</t>
  </si>
  <si>
    <t>uses multiple llms including codex; evaluates vulnerability repair on java benchmarks; llms given java code snippets for repair; fine-tuning with apr data implies code input; addresses code transformations; source-code-related input clearly involved</t>
  </si>
  <si>
    <t>Large Language Models Are Zero-Shot Fuzzers: Fuzzing Deep-Learning Libraries via Large Language Models | Proceedings of the 32nd ACM SIGSOFT International Symposium on Software Testing and Analysis</t>
  </si>
  <si>
    <t>https://dl.acm.org/doi/10.1145/3597926.3598067</t>
  </si>
  <si>
    <t>This is the artifact for the ISSTA'2023 paper "Large Language Models Are Zero-Shot Fuzzers: Fuzzing Deep-Learning Libraries via Large Language Models".\n\nDeep Learning (DL) systems have received exponential growth in popularity and have become ubiquitous in our everyday life. Such systems are built on top of popular DL libraries, e.g., TensorFlow and PyTorch which provide APIs as building blocks for DL systems. Detecting bugs in these DL libraries is critical for almost all downstream DL systems in ensuring effectiveness/safety for end users. Meanwhile, traditional fuzzing techniques can be hardly effective for such a challenging domain since the input DL programs need to satisfy both the input language (e.g., Python) syntax/semantics and the DL API input/shape constraints for tensor computations.\n\n\nTo address these limitations, we propose TitanFuzz – the first approach to directly leveraging Large Language Models (LLMs) to generate input programs for fuzzing DL libraries. LLMs are titanic models trained on billions of code snippets and can autoregressively generate human-like code snippets. Our key insight is that modern LLMs can also include numerous code snippets invoking DL library APIs in their training corpora, and thus can implicitly learn both language syntax/semantics and intricate DL API constraints for valid DL program generation. More specifically, we use both generative and infilling LLMs (e.g., Codex/InCoder) to generate and mutate valid/diverse input DL programs for fuzzing. Our experimental results demonstrate that TitanFuzz can achieve 30.38%/50.84% higher code coverage than state-of-the-art fuzzers on TensorFlow/PyTorch. Furthermore, TitanFuzz is able to detect 65 bugs, with 44 already confirmed as previously unknown bugs. \n\n\nThis paper demonstrates that modern titanic LLMs can be leveraged to directly perform both generation-based and mutation-based fuzzing studied for decades, while being fully automated, generalizable, and applicable to domains challenging for traditional approaches (such as DL systems). We hope TitanFuzz can stimulate more work in this promising direction of LLMs for fuzzing.</t>
  </si>
  <si>
    <t>llm generates dl library fuzzing inputs from learned distribution; no indication llm receives existing source-code-related input; generation is zero-shot without given code context</t>
  </si>
  <si>
    <t>CoderUJB: An Executable and Unified Java Benchmark for Practical Programming Scenarios | Proceedings of the 33rd ACM SIGSOFT International Symposium on Software Testing and Analysis</t>
  </si>
  <si>
    <t>https://dl.acm.org/doi/10.1145/3650212.3652115</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</si>
  <si>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t>
  </si>
  <si>
    <t>llms evaluated on java programming tasks; benchmark includes executable code questions; study on coding abilities implies code input; likely given code snippets or files as input for tasks; focus on multi-tasking software development scenarios</t>
  </si>
  <si>
    <t>UniTSyn: A Large-Scale Dataset Capable of Enhancing the Prowess of Large Language Models for Program Testing | Proceedings of the 33rd ACM SIGSOFT International Symposium on Software Testing and Analysis</t>
  </si>
  <si>
    <t>https://dl.acm.org/doi/10.1145/3650212.3680342</t>
  </si>
  <si>
    <t>The remarkable capability of large language models (LLMs) in generating high-quality code has drawn increasing attention in the software testing community. However, existing code LLMs often demonstrate unsatisfactory capabilities in generating accurate, complete tests since they were trained on code snippets collected without differentiating between code for testing and for other purposes. In this paper, we present a large-scale dataset, UniTSyn, which can enhance LLMs for Unit Test Synthesis. Associating tests with the tested functions is crucial for LLMs to infer the expected behavior and the logic paths to be verified. By leveraging Language Server Protocol, UniTSyn achieves the challenging goal of collecting focal-test pairs without per-project execution setups or per-language heuristics, which tend to be fragile and difficult to scale. Containing 2.7 million focal-test pairs across five mainstream programming languages, it can enhance the test generation ability of LLMs. Our experiments demonstrate that, by building an autoregressive LLM based on UniTSyn, we can achieve significant benefits in learning and understanding unit test representations, resulting in improved generation accuracy and code coverage across all the evaluated programming languages.</t>
  </si>
  <si>
    <t>uses llm for unit test synthesis; trains autoregressive llm on dataset of focal-test pairs; input includes tested functions and associated tests; source-code-related input present as code elements and tests</t>
  </si>
  <si>
    <t>On the Brittleness of Legacy Web UI Testing: A Pragmatic Perspective | Proceedings of the 34th ACM SIGSOFT International Symposium on Software Testing and Analysis</t>
  </si>
  <si>
    <t>https://dl.acm.org/doi/10.1145/3713081.3731742</t>
  </si>
  <si>
    <t>Automated web UI testing addresses the labor- and time-intensive demands of manual testing. Despite its importance, numerous barriers impede the continuous automation of end-to-end web UI testing: brittle legacy tests, suboptimal automation frameworks, and web app design unsuited for effective UI testing. While many studies investigate these challenges, most overlook the root causes of brittleness from a pragmatic perspective. This dissertation first reassesses these causes by examining the brittleness of testing real-world web apps. Building on that, we extend existing frameworks to mitigate flakiness stemming from impractical automation frameworks. We also transform traditional web UI testing by decoupling test cases from web applications, using natural language as an intermediary. Finally, we introduce a pragmatic benchmark to steer research toward more realistic web applications. Through these studies, we aim to shed light on current challenges and encourage a more pragmatic perspective on UI testing.</t>
  </si>
  <si>
    <t>no explicit mention of llm usage; focus on web ui testing frameworks and brittleness; natural language used as intermediary but unclear if llm involved; no clear indication of source-code-related input to llm</t>
  </si>
  <si>
    <t>A Preliminary Study of Large Language Models for Multilingual Vulnerability Detection | Proceedings of the 34th ACM SIGSOFT International Symposium on Software Testing and Analysis</t>
  </si>
  <si>
    <t>https://dl.acm.org/doi/10.1145/3713081.3731746</t>
  </si>
  <si>
    <t>Deep learning-based approaches, particularly those leveraging pre-trained language models (PLMs), have shown promise in automated software vulnerability detection. However, existing methods are predominantly limited to specific programming languages, restricting their applicability in multilingual settings. Recent advancements in large language models (LLMs) offer language-agnostic capabilities and enhanced semantic understanding, presenting a potential solution to this limitation. While existing studies have explored LLMs for vulnerability detection, their detection performance remains unknown for multilingual vulnerabilities. To address this gap, we conducted a preliminary study to evaluate the effectiveness of PLMs and state-of-the-art LLMs across seven popular programming languages. Our findings reveal that the PLM CodeT5P achieves the best performance in multilingual vulnerability detection, particularly in identifying the most critical vulnerabilities. Based on these results, we further discuss the potential of LLMs in advancing real-world multilingual vulnerability detection. This work represents an initial step toward exploring PLMs and LLMs for cross-language vulnerability detection, offering key insights for future research and practical deployment.</t>
  </si>
  <si>
    <t>llm used for multilingual vulnerability detection; input likely includes source code from seven programming languages; focus on code understanding and detection performance; code-related input implied by task</t>
  </si>
  <si>
    <t>Code2API: A Tool for Generating Reusable APIs from Stack Overflow Code Snippets | Proceedings of the 34th ACM SIGSOFT International Symposium on Software Testing and Analysis</t>
  </si>
  <si>
    <t>https://dl.acm.org/doi/10.1145/3713081.3731741</t>
  </si>
  <si>
    <t>Nowadays, developers often turn to Stack Overflow for solutions to daily problems, however, these code snippets are partial code that cannot be tested and verified properly. One way to test these code snippets is to transform them into APIs (Application Program Interface) that developers can directly invoked and executed. However, it is often costly and error-prone for developers to manually perform this transformation (referred to as AIPzation task) due to different actions to be taken (e.g., summarizing proper method names, inferring input parameters list and return statements). To help developers quickly reuse code snippets in Stack Overflow, in this paper, we propose Code2API, a Google Chrome extension that uses Large Language Models (LLMs) to automatically perform APIzation of code snippets on Stack Overflow. Code2API guides LLMs through well-designed prompts to generate reusable APIs, using Chain-of-Thought reasoning and few-shot in-context learning to help LLMs understand and solve the APIzation task in a developer-like manner. The evaluation results show that Code2API significantly outperforms the rule-based approach by a large margin. The full paper of this tool has been published in FSE'24 as a research paper [11].</t>
  </si>
  <si>
    <t>uses llm; input includes stack overflow code snippets; transforms partial code snippets into reusable apis; code snippets are source-code-related input</t>
  </si>
  <si>
    <t>AI Coders Are among Us: Rethinking Programming Language Grammar towards Efficient Code Generation | Proceedings of the 33rd ACM SIGSOFT International Symposium on Software Testing and Analysis</t>
  </si>
  <si>
    <t>https://dl.acm.org/doi/10.1145/3650212.3680347</t>
  </si>
  <si>
    <t>Artificial Intelligence (AI) models have emerged as another important audience for programming languages alongside humans and machines, as we enter the era of large language models (LLMs). LLMs can now perform well in coding competitions and even write programs like developers to solve various tasks, including mathematical problems. However, the grammar and layout of current programs are designed to cater the needs of human developers - with many grammar tokens and formatting tokens being used to make the code easier for humans to read. While this is helpful, such a design adds unnecessary computational work for LLMs, as each token they either use or produce consumes computational resources. To improve inference efficiency and reduce computational costs, we propose the concept of AI-oriented grammar.This aims to represent code in a way that better suits the working mechanism of AI models. Code written with AI-oriented grammar discards formats and uses a minimum number of tokens to convey code semantics effectively. To demonstrate the feasibility of this concept, we explore and implement the first AI-oriented grammar for Python, named Simple Python (SimPy). SimPy is crafted by revising the original Python grammar through a series of heuristic rules. Programs written in SimPy maintain identical Abstract Syntax Tree (AST) structures to those in standard Python. This allows for not only execution via a modified AST parser, but also seamless transformation between programs written in Python and SimPy, enabling human developers and LLMs to use Python and SimPy, respectively, when they need to collaborate. We also look into methods to help existing LLMs understand and use SimPy effectively. In the experiments, compared with Python, SimPy enables a reduction in token usage by 13.5% and 10.4% for CodeLlama and GPT-4, respectively, when completing the same set of code-related tasks. Additionally, these models can maintain or even improve their performance when using SimPy instead of Python for these tasks. With these promising results, we call for further contributions to the development of AI-oriented program grammar within our community.</t>
  </si>
  <si>
    <t>uses llms (codellama, gpt-4); llms given code in ai-oriented grammar format (simpy); input is source code tokens; experiments compare token usage on code tasks</t>
  </si>
  <si>
    <t>Leveraging Natural Language Processing and Data Mining to Augment and Validate APIs | Proceedings of the 33rd ACM SIGSOFT International Symposium on Software Testing and Analysis</t>
  </si>
  <si>
    <t>https://dl.acm.org/doi/10.1145/3650212.3685554</t>
  </si>
  <si>
    <t>APIs are increasingly prominent for modern web applications, allowing millions of users around the world to access data. Reducing the risk of API defects - and consequently failures - is key, notably for security, availability, and maintainability purposes. Documenting an API is crucial, allowing the user to better understand it. Moreover, API testing techniques often require formal documentation as input. However, documenting is a time-consuming and error-prone task, often overlooked by developers. Natural Language Processing (NLP) could assist API development, as recent Large Language Models (LLMs) demonstrated exceptional abilities to automate tasks based on their colossal training data. Data mining could also be utilized, synthesizing API information scattered across the web. Hence, I present my PhD project aimed at exploring the usage of NLP-related technologies and data mining to augment and validate APIs. The research questions of this PhD project are: (1) What types of APIs can benefit from NLP and data mining assistance? (2) What API problems can be solved with such methods? (3) How effective are the methods (i.e. LLMs) in assisting APIs? (4) How efficient are the methods in assisting APIs (i.e.</t>
  </si>
  <si>
    <t>llm mentioned for nlp assistance; focus on augmenting and validating apis; api documentation mentioned which could be considered documentation/specifications; unclear if llm input includes source-code-related context or only natural language api docs; no explicit mention of code or code-related input to llm</t>
  </si>
  <si>
    <t>Search-Based Translations for Tensor Operations | Proceedings of the 33rd ACM SIGSOFT International Symposium on Software Testing and Analysis</t>
  </si>
  <si>
    <t>https://dl.acm.org/doi/10.1145/3650212.3685558</t>
  </si>
  <si>
    <t>QUANTUM ESPRESSO is an integrated suite of computer codes for electronic-structure calculations and materials modeling, based on density-functional theory, plane waves, and pseudopotentials (norm-conserving, ultrasoft, and projector-augmented wave). The acronym ESPRESSO stands for opEn Source Package for Research in Electronic Structure, Simulation, and Optimization. It is freely available to researchers around the world under the terms of the GNU General Public License. QUANTUM ESPRESSO builds upon newly-restructured electronic-structure codes that have been developed and tested by some of the original authors of novel electronic-structure algorithms and applied in the last twenty years by some of the leading materials modeling groups worldwide. Innovation and efficiency are still its main focus, with special attention paid to massively parallel architectures, and a great effort being devoted to user friendliness. QUANTUM ESPRESSO is evolving towards a distribution of independent and interoperable codes in the spirit of an open-source project, where researchers active in the field of electronic-structure calculations are encouraged to participate in the project by contributing their own codes or by implementing their own ideas into existing codes.</t>
  </si>
  <si>
    <t>no mention of llm or large language model; focus on electronic-structure calculations software; no indication of llm usage or source-code-related input to llm</t>
  </si>
  <si>
    <t>Patch the Leak: Strengthening CodeLLMs Against Privacy Extraction Threats | Proceedings of the 34th ACM SIGSOFT International Symposium on Software Testing and Analysis</t>
  </si>
  <si>
    <t>https://dl.acm.org/doi/10.1145/3713081.3732931</t>
  </si>
  <si>
    <t>CodeLLMs tend to memorize their training data and can reconstruct personal information (PI) when given specific prompts. Despite the application of privacy anonymization methods to remove PI in foundational LLMs, the previous experiments using state-of-the-art PI extraction attacks like CODEBREAKER and CodexLeaks on multiple open-source and commercial CodeLLMs demonstrate that such information cannot be fully eliminated. Furthermore, we found that commercial models exhibit significantly lower leakage rates (approximately 20% lower) compared to open-source models, and we hypothesize this is related to the stronger model alignment. Addressing the lack of effective defenses against PI extraction, we treat PI leakage as a form of misalignment and propose PI-ALIGN, a novel framework inspired by adversarial learning. PI-ALIGN pairs CodeLLMs with the CODEBREAKER attack framework as an adversarial dual model and leverages the optimized GRPO (Group Relative Policy Optimization) process to realign the model during fine-tuning. This approach is expected to enhance the model's robustness against PI extraction attacks by adversarially training it against CODEBREAKER. We also outline our experimental evaluation framework to systematically validate PI-ALIGN's effectiveness, aiming to provide insights into countering PI extraction attacks on CodeLLMs.</t>
  </si>
  <si>
    <t>llm used is codellm; focus on privacy extraction attacks; input context type unclear from abstract; no explicit mention of source-code-related input given to llm; adversarial training against attack framework mentioned but input details missing</t>
  </si>
  <si>
    <t>random_freezed</t>
  </si>
  <si>
    <t>context used</t>
  </si>
  <si>
    <t>goal</t>
  </si>
  <si>
    <t>The full textual content of: code snippet 1 code snippet 2</t>
  </si>
  <si>
    <t>endpoint path; parameter-level specification context; endpoint path; OpenAPI Schema Constraints; Few-Shot Examples; Natural Language Instruction Context; No source code; For each parameter: Parameter name e.g., email, password, playlist_id Parameter type e.g., string, integer, boolean Parameter location request body property query parameter path parameter</t>
  </si>
  <si>
    <t>Generate valid, realistic parameter values that satisfy OpenAPI schema constraints during REST API request construction.</t>
  </si>
  <si>
    <t>only OCRed Java code snippet text (≤55 lines, comments removed, plain text).</t>
  </si>
  <si>
    <t>Correct OCRed source code by transforming noisy OCR output into clean, syntactically correct ground-truth code.</t>
  </si>
  <si>
    <t>full class source code; refactoring type instruction; natural-language summaries of:( fan-in/fan-out call relationships variable usage class coupling); candidate functions (for ranking phase)</t>
  </si>
  <si>
    <t>Localize and rank functions that should be refactored to resolve design issues, using code + abstraction-level summaries.</t>
  </si>
  <si>
    <t>commit code diff (full patch content); commit message; issue report title + body pull request title + description PR discussion text (if available); semantically similar historical vulnerability fix commit; summarized 3-aspect intention of historical commit; CVE description; vulnerability metadata</t>
  </si>
  <si>
    <t>determine whether a commit is a vulnerability fix; analyze commit intention beyond raw code diffs; extract structured reasoning about code changes; integrate multiple development artifacts (commit, IR, PR, CVE history); compare current commit with historical vulnerability fixes; generate structured explanations to assist security experts</t>
  </si>
  <si>
    <t xml:space="preserve">decompiled Java function code; </t>
  </si>
  <si>
    <t>analyze decompiled Android Java functions; generate summary of the function; malicious function identification; malware purpose summarization</t>
  </si>
  <si>
    <t>partial Python function body up to API invocation line</t>
  </si>
  <si>
    <t>Evaluate whether LLMs use deprecated vs. replacement APIs during line-level Python code completion and test lightweight mitigation strategies.</t>
  </si>
  <si>
    <t>full program-under-test (PUT) source code; inferred natural-language program intention; instruction to generate alternative implementations from inferred intention; instruction to generate diverse test inputs for PUT</t>
  </si>
  <si>
    <t xml:space="preserve"> to find correct failure-inducing test cases by inferring program intention and applying differential testing against LLM-generated reference implementations.</t>
  </si>
  <si>
    <t>natural-language description of semantic units extracted from creation and runtime bytecode (function-by-function, conditions + behaviors); inferred state variable names and types; recovered function signatures and payable attributes; programming specifications (Solidity best practices and constraints)</t>
  </si>
  <si>
    <t>use frozen LLMs to generate compilable Solidity/Vyper source code from EVM bytecode by converting bytecode into structured natural-language semantic descriptions.</t>
  </si>
  <si>
    <t>refactoring candidate (method to move, source class, target class); moved method source code; target class context; refactoring pre-conditions specification; few-shot examples of valid/invalid refactorings</t>
  </si>
  <si>
    <t>detect Move Method refactoring opportunities by modeling inter-class code dependencies with hypergraph neural networks and validating candidates using an LLM.</t>
  </si>
  <si>
    <t>focal method source code (method-level granularity); paired unit test code (during fine-tuning); prompt markers “The focal method:” and “The test case:”; no additional project-level or external artifacts</t>
  </si>
  <si>
    <t>evaluate how dataset noise affects LLM-based unit test generation by fine-tuning models on cleaned vs. noisy focal-method–test datasets.</t>
  </si>
  <si>
    <t>focal method source code; selected focal-class code context (fields, constructor, other methods); related-class constructors; task instructions (natural-language or code-style); optional reasoning instructions (CoT); retrieved similar method and its tests (RAG)</t>
  </si>
  <si>
    <t>empirically evaluate how prompt design, context choices, and in-context learning strategies affect LLM performance for unit test generation.</t>
  </si>
  <si>
    <t>production code change diff (old and new versions); original test code; retrieved similar historical co-evolution change pairs (production diff + test diff); experience-guided domain principles for PT co-evolution; dynamic validation feedback (compiler errors, test failures, coverage gaps); iterative conversation history</t>
  </si>
  <si>
    <t>identify obsolete test cases and iteratively update them to co-evolve with production code using LLM reasoning combined with dynamic validation feedback.</t>
  </si>
  <si>
    <t>DL library API implementation code containing check statements; extracted check-related code blocks (function header + input parameters + validation checks); API interface signatures; inferred variable types; context-free edge cases derived from checks; initial API invocation programs; execution error messages; selected edge-case constraints for mutation</t>
  </si>
  <si>
    <t>Use LLM reasoning over DL library source code to extract API input edge cases and automatically generate fuzzing programs that discover vulnerabilities in deep learning library APIs.</t>
  </si>
  <si>
    <t>smart contract function source code; vulnerability label supervision (vulnerable/safe); multiple instruction-wrapped code prompts; optional function call graph context (caller/callee relations); candidate vulnerability explanations; agent debate history and evaluation feedback</t>
  </si>
  <si>
    <t>detect smart-contract vulnerabilities and generate justified explanations by combining fine-tuned LLM auditing models with multi-agent reasoning and debate.</t>
  </si>
  <si>
    <t>natural language problem description; function signature; distinguishing program input; multiple candidate outputs produced by program clusters for that input; chain-of-thought reasoning instruction</t>
  </si>
  <si>
    <t>to improve correctness of LLM-generated programs by using the LLM as a semantic oracle to select the correct program among multiple candidates via distinguishing input–output specifications.</t>
  </si>
  <si>
    <t>inter-contract function call sequences derived from adversarial and victim contracts; reconstructed complete attack behavior traces; ordered caller→callee interaction chains; vulnerability classification prompt with reasoning instructions and example attack patterns</t>
  </si>
  <si>
    <t>Detect imminent smart-contract attacks by reconstructing complete inter-contract attack behaviors and using an LLM to classify exploited vulnerabilities before attack execution.</t>
  </si>
  <si>
    <t>buggy code snippet with known bug location; surrounding buggy program context (before/after bug lines); instruction-style problem description and bug explanation; fix code examples used during instruction construction; infilling template with prefix and suffix context around bug location; benchmark test cases for execution-based validation</t>
  </si>
  <si>
    <t>Improve automated program repair performance by instruction-tuning code LLMs using parameter-efficient fine-tuning (PEFT) methods and evaluating patch correctness via execution-based validation.</t>
  </si>
  <si>
    <t>full DNN training program source code including data context and model context; masked DNN element location (&lt;mask&gt;) inside training code; surrounding pre-context and post-context around masked element; static architecture configuration information; model compilation and training parameters; no runtime traces; no execution feedback</t>
  </si>
  <si>
    <t>repair buggy deep neural network training programs by predicting correct configuration elements using a fine-tuned masked language model trained on static DNN source code.</t>
  </si>
  <si>
    <t>smelly code snippet; expert tool detection results and smell type labels; formal smell definitions; retrieved refactoring example; task-specific refactoring instructions; smell-dependent additional context (e.g., parent class for inheritance smells); no raw repository analysis by LLM; no dynamic execution traces</t>
  </si>
  <si>
    <t>to perform targeted refactoring of detected code smells, guided by structured analysis results produced by specialized expert static-analysis tools.</t>
  </si>
  <si>
    <t>suspicious source code file affected by dependency update (failing Java source file ; sometimes AST-trimmed method containing error ; necessary imports / overloads); dependency version change metadata; structured api breaking-change reports (japicmp/revapi); initial compiler or maven error messages; unified diff editing format; repository validation feedback (compile results and test outcomes); agent tool outputs when available</t>
  </si>
  <si>
    <t>repair client code after dependency upgrades by generating patches that resolve API-breaking changes until compilation and tests succeed.</t>
  </si>
  <si>
    <t>original source code under review; reviewer natural-language comment; review line location; extracted structured intention template; last code diff hunk describing previous modification; retrieved historical refinement examples (RAG setting); intention-conditioned refinement instructions; no repository-level context; no execution traces</t>
  </si>
  <si>
    <t>improve automated code refinement by explicitly extracting reviewer intentions from review comments and generating revised code conditioned on structured intentions rather than raw comments.</t>
  </si>
  <si>
    <t>single function-level source code snippet (≤512 tokens); programming-language identifier in instruction; binary classification instruction prompt; no surrounding file context; no structural expansion; no static-analysis results; no execution traces; no historical information; no retrieval context</t>
  </si>
  <si>
    <t>Evaluate whether general-purpose LLMs can directly perform multilingual vulnerability classification by predicting if a given function is vulnerable.</t>
  </si>
  <si>
    <t>original source code file; git diff describing intended modifications; oracle draft code derived from diff; code-edit instruction implicit in diff; comparison diffs between original/prediction/ground truth during evaluation; no repository context; no execution traces; no static analysis outputs</t>
  </si>
  <si>
    <t>Evaluate and improve LLM reliability in code edit application, i.e., correctly applying draft code modifications to an existing file without introducing unintended changes.</t>
  </si>
  <si>
    <t>stack overflow code snippet; question title; question body; answer body; natural language problem description; developer-style reasoning steps (chain-of-thought template); few-shot api transformation examples; role specification as skilled developer; output format constraints; no repository context; no execution traces; no project-level dependencies</t>
  </si>
  <si>
    <t>transform incomplete Stack Overflow code snippets into fully reusable executable APIs by inferring missing program structure and semantics.</t>
  </si>
  <si>
    <t>rfc document sections; natural-language protocol specifications; hierarchical document structure; section summaries; protocol format dsl grammar; extracted subformats from sibling sections; syntax checker feedback; traced rfc subsection during inconsistency diagnosis; no source code input; no execution traces; no repository context</t>
  </si>
  <si>
    <t>construct formal protocol specifications from RFC documents to serve as test oracles for validating network protocol parser correctness</t>
  </si>
  <si>
    <t>standalone malicious function source code in python/c/c++/go/etc; programming language indicator; vanilla translation instruction; no repository context; no call graph; no dependency graph; no execution traces; no metadata; no surrounding project files; no static analysis outputs; no runtime feedback</t>
  </si>
  <si>
    <t>augment malware training data by translating malicious functions from other programming languages into JavaScript to improve malware detection coverage and diversity</t>
  </si>
  <si>
    <t>pre-patch function from source project; post-patch function from source project; corresponding pre-patch function from hard fork; reduced function body focused on patch-relevant regions; placeholder-compressed surrounding code; natural language task instruction; structured prompt template demonstrating patch transformation; no test cases; no execution traces; no repository-level context; no call graph</t>
  </si>
  <si>
    <t>port bug-fix or feature patches from a source project to a diverged hard fork by transferring patch semantics across different implementations</t>
  </si>
  <si>
    <t>problem description + function signature/docstring; a set of sampled code solutions; a set of sampled tests (assertions); pass/fail results of running each code on each test (consistency matrix); the “most inconsistent” test selected for correction; user-provided (or simulated) correct output for that test input; the corrected test; previously corrected tests; the failing code; instruction prompt to fix code to satisfy corrected tests; iterative history up to current round</t>
  </si>
  <si>
    <t>generate correct code by iteratively co-improving (LLM-generated) code candidates and (LLM-generated) tests, using minimal user feedback to correct likely-wrong tests so that “consistency via tests” becomes reliable</t>
  </si>
  <si>
    <t>caller local function body; caller function-pointer declaration context; related struct definitions; related typedef/type aliases; global variable declarations involving the function pointer; callee function body; callee address-taken assignment sites; call-chain contexts where callee is passed/stored; consolidated natural-language summaries of caller and callee semantics</t>
  </si>
  <si>
    <t>use LLM semantic understanding to filter false caller–callee pairs and improve indirect-call resolution in static analysis</t>
  </si>
  <si>
    <t>candidate extracted fields and methods; target class source code context; inheritance and override relationships; constructor and abstract method information; field accessibility information across classes; synchronization and delegation properties; extracted candidate cluster description</t>
  </si>
  <si>
    <t>use an LLM to verify behavioral safety and semantic correctness of automatically suggested extract-class refactorings</t>
  </si>
  <si>
    <t>single test method source code; focal class name; focal method signature; focal method comments; invoked method signatures; standardized smell definitions; dsl-encoded refactoring rules; prioritized smell list; smell-specific checkpoints</t>
  </si>
  <si>
    <t>refactor unit tests by eliminating detected test smells while preserving test intent</t>
  </si>
  <si>
    <t>flaky test method code; related polluter/victim tests or helper methods; localized failure assertion; execution error message; statically identified flaky statements; flakiness type description and repair instructions</t>
  </si>
  <si>
    <t>use an llm to generate patches that repair flaky tests by modifying localized test code identified via program analysis</t>
  </si>
  <si>
    <t>openapi parameter name and description; api specification fragments; server response/error messages; parameter dependency rules; example parameter values; runtime testing feedback</t>
  </si>
  <si>
    <t>use llms to dynamically generate valid api inputs and discover inter-parameter dependencies during black-box rest api testing</t>
  </si>
  <si>
    <t>current file prefix code (code before cursor); optional suffix; user edit history (git diffs); recently opened files; similar repository snippets; cursor interaction history; reconstructed repository snapshot</t>
  </si>
  <si>
    <t>evaluate and improve code completion by studying how different programming-context prompts affect llm suggestions under realistic developer behavior</t>
  </si>
  <si>
    <t>buggy function; retrieved buggy→fixed few-shot examples; commit messages as reasoning paths; target buggy function requiring repair</t>
  </si>
  <si>
    <t>generate correct program repair patches by combining few-shot prompting, chain-of-thought reasoning, and self-consistency sampling</t>
  </si>
  <si>
    <t>natural language malicious descriptions; obfuscated functional descriptions; jailbreak instructions; partial malicious code; complete malicious code; code completion tasks; code translation tasks</t>
  </si>
  <si>
    <t>evaluate whether LLMs refuse or generate malicious code under different prompt and code input conditions</t>
  </si>
  <si>
    <t>code completion context; retrieved repository code snippets; structurally similar statements from code context graph retrieval; surrounding intra-repository code fragments with file paths</t>
  </si>
  <si>
    <t>generate the next repository-level code statement by augmenting an LLM with structurally retrieved repository context</t>
  </si>
  <si>
    <t>buggy Java function with marked vulnerable lines (sometimes masked or commented) so the LLM generates replacement code that fixes the vulnerability</t>
  </si>
  <si>
    <t>automatically generate patches that repair Java security vulnerabilities and evaluate how effective LLMs are compared to neural automated program repair (APR) systems</t>
  </si>
  <si>
    <t>buggy function with infill location; failing test information; compilation/test feedback; previous failed patches; plausible patches accumulated across conversation history</t>
  </si>
  <si>
    <t>use a conversational LLM to iteratively generate and refine program patches by learning from test failures and previous repair attempts</t>
  </si>
  <si>
    <t>Normalized Goal</t>
  </si>
  <si>
    <t>Tags</t>
  </si>
  <si>
    <t>Reasoning/Comments</t>
  </si>
  <si>
    <t>to identify cross-lingual code clones using LLMs and evaluate their effectiveness compared to embedding-based approaches</t>
  </si>
  <si>
    <t>Code clone detection / semantic code similarity analysis</t>
  </si>
  <si>
    <t>LC-STRUCT</t>
  </si>
  <si>
    <t>Based on their artifact, the snippets appear to be standalone classes.</t>
  </si>
  <si>
    <t xml:space="preserve"> parameter-level specification context; endpoint path; OpenAPI Schema Constraints; Few-Shot Examples; Natural Language Instruction Context; No source code; For each parameter: Parameter name e.g., email, password, playlist_id Parameter type e.g., string, integer, boolean Parameter location request body property query parameter path parameter</t>
  </si>
  <si>
    <t>Test input generation (API testing)</t>
  </si>
  <si>
    <t>DOC-SPEC
SEM-ABSTRACT
RET-CODE</t>
  </si>
  <si>
    <t>Param SPEC -&gt; DOC-NL;
OpenAPI specs -&gt; DOC-SPEC; 
semantic summaries -&gt; SEM-ABSTRACT;
few-shot examples -&gt; RET-CODE</t>
  </si>
  <si>
    <t>Code repair / code correction (noise cleanup)</t>
  </si>
  <si>
    <t>LC-SUBSRC</t>
  </si>
  <si>
    <t>full class source code; refactoring type instruction; natural-language summaries of:( fan-in/fan-out call relationships variable usage class coupling); candidate functions (for ranking phase); Task instructions</t>
  </si>
  <si>
    <t>Bug/design issue localization</t>
  </si>
  <si>
    <t>LC-STRUCT
SE-ANALYSIS
SEM-ABSTRACT
DOC-NL
SE-ANALYSIS</t>
  </si>
  <si>
    <t xml:space="preserve">Full class -&gt; LC-STRUCT
Refactoring Type Instructions -&gt; SE-ANALYSIS
nl summaries -&gt; SEM-ABSTRACT
candidate functions with potential issues -&gt; SE-ANALYSIS
Task instructions -&gt; DOC-NL
</t>
  </si>
  <si>
    <t>Commit classification / security analysis</t>
  </si>
  <si>
    <t>HIST-CHANGE
HIST-DEV
HIST-INTERACT
RET-CODE
SEM-INTENT
DOC-NL
DOC-SPEC</t>
  </si>
  <si>
    <t>Commit code diff (full patch content) -&gt; HIST-CHANGE
Commit message -&gt; DOC-NL
Issue report (title + body) -&gt; HIST-DEV
Pull request title + description -&gt; HIST-DEV
PR discussion text -&gt; HIST-INTERACT
Semantically similar historical vulnerability fix commit -&gt; RET-CODE
Summarized 3-aspect intention of historical commit -&gt; SEM-INTENT
CVE description -&gt; DOC-SPEC
Vulnerability metadata (e.g., CWE, severity, labels) -&gt; DOC-SPEC</t>
  </si>
  <si>
    <t>Malicious code detection + code summarization</t>
  </si>
  <si>
    <t>LC-FUNC</t>
  </si>
  <si>
    <t>Code completion evaluation</t>
  </si>
  <si>
    <t>Failure-inducing test generation</t>
  </si>
  <si>
    <t>LC-FUNC
SEM-INTENT
DOC-NL</t>
  </si>
  <si>
    <t>Full program-under-test (PUT) source code -&gt; LC-FUNC
Inferred natural-language program intention -&gt; SEM-INTENT
Instruction to generate alternative implementations from inferred intention -&gt; DOC-NL
Instruction to generate diverse test inputs for PUT -&gt; DOC-NL</t>
  </si>
  <si>
    <t>Decompilation / reverse engineering</t>
  </si>
  <si>
    <t>LC-IR
SE-ANALYSIS
SEM-ABSTRACT
DOC-SPEC</t>
  </si>
  <si>
    <t>Bytecode-derived representation -&gt; LC-IR
Natural-language description of semantic units extracted from bytecode -&gt; SEM-ABSTRACT
Inferred state variable names and types -&gt; SE-ANALYSIS
Recovered function signatures and payable attributes -&gt; SE-ANALYSIS
Programming specifications (Solidity best practices and constraints) -&gt; DOC-SPEC</t>
  </si>
  <si>
    <t>Refactoring recommendation</t>
  </si>
  <si>
    <t>LC-FUNC
LC-STRUCT
DOC-SPEC
RET-CODE</t>
  </si>
  <si>
    <t>Refactoring candidate (method to move, source class, target class) -&gt; LC-STRUCT
Moved method source code -&gt; LC-FUNC
Target class context -&gt; LC-STRUCT
Refactoring pre-conditions specification -&gt; DOC-SPEC
Few-shot examples of valid/invalid refactorings -&gt; RET-CODE</t>
  </si>
  <si>
    <t xml:space="preserve">focal method source code (method-level granularity); paired unit test code (during fine-tuning); </t>
  </si>
  <si>
    <t>Unit test generation</t>
  </si>
  <si>
    <t>LC-FUNC
TEST-CODE</t>
  </si>
  <si>
    <t>Focal method source code (method-level granularity) -&gt; LC-FUNC
Paired unit test code (during fine-tuning) -&gt; TEST-CODE</t>
  </si>
  <si>
    <t>Unit test generation evaluation</t>
  </si>
  <si>
    <t>LC-FUNC
LC-STRUCT
DOC-NL
RET-CODE
SEM-EXPLANATION</t>
  </si>
  <si>
    <t>Focal method source code -&gt; LC-FUNC
Selected focal-class code context (fields, constructor, other methods) -&gt; LC-STRUCT
Related-class constructors -&gt; LC-STRUCT
Task instructions (natural-language or code-style) -&gt; DOC-NL
Optional reasoning instructions (CoT) -&gt; SEM-EXPLANATION
Retrieved similar method and its tests (RAG) -&gt; RET-CODE</t>
  </si>
  <si>
    <t>Program repair (test repair / co-evolution)</t>
  </si>
  <si>
    <t>HIST-CHANGE
TEST-CODE
RET-CODE
DOC-SPEC
TEST-EXEC
HIST-INTERACT</t>
  </si>
  <si>
    <t>Production code change diff (old and new versions) -&gt; HIST-CHANGE
Original test code -&gt; TEST-CODE
Retrieved similar historical co-evolution change pairs (production diff + test diff) -&gt; RET-CODE
Experience-guided domain principles for PT co-evolution -&gt; DOC-SPEC
Dynamic validation feedback (compiler errors, test failures, coverage gaps) -&gt; TEST-EXEC
Iterative conversation history -&gt; HIST-INTERACT</t>
  </si>
  <si>
    <t>Fuzz test generation / vulnerability discovery</t>
  </si>
  <si>
    <t>LC-FUNC
SE-ANALYSIS
SEM-INTENT
TEST-CODE
TEST-EXEC</t>
  </si>
  <si>
    <t>DL library API implementation code containing check statements -&gt; LC-FUNC
Extracted check-related code blocks (function header + input parameters + validation checks) -&gt; SE-ANALYSIS
API interface signatures -&gt; SE-ANALYSIS
Inferred variable types -&gt; SE-ANALYSIS
Context-free edge cases derived from checks -&gt; SEM-INTENT
Initial API invocation programs -&gt; TEST-CODE
Execution error messages -&gt; TEST-EXEC
Selected edge-case constraints for mutation -&gt; SEM-INTENT</t>
  </si>
  <si>
    <t>Vulnerability detection + explanation generation</t>
  </si>
  <si>
    <t>LC-FUNC
DOC-NL
SE-GRAPH
SEM-EXPLANATION
SEM-FEEDBACK</t>
  </si>
  <si>
    <t>Smart contract function source code -&gt; LC-FUNC
Vulnerability label supervision (vulnerable/safe) -&gt; DOC-NL
Multiple instruction-wrapped code prompts -&gt; DOC-NL
Optional function call graph context (caller/callee relations) -&gt; SE-GRAPH
Candidate vulnerability explanations -&gt; SEM-EXPLANATION
Agent debate history and evaluation feedback -&gt; SEM-FEEDBACK</t>
  </si>
  <si>
    <t>Code generation validation / solution selection</t>
  </si>
  <si>
    <t>DOC-NL
DOC-SPEC
TEST-EXEC
SEM-EXPLANATION</t>
  </si>
  <si>
    <t>Natural language problem description -&gt; DOC-NL
Function signature -&gt; DOC-SPEC
Distinguishing program input -&gt; TEST-IO
Multiple candidate outputs produced by program clusters for that input -&gt; TEST-IO
Chain-of-thought reasoning instruction -&gt; SEM-EXPLANATION</t>
  </si>
  <si>
    <t>Security vulnerability classification</t>
  </si>
  <si>
    <t>SE-GRAPH
SEM-ABSTRACT
DOC-NL
RET-KB
SEM-EXPLANATION</t>
  </si>
  <si>
    <t>Inter-contract function call sequences derived from adversarial and victim contracts -&gt; SE-GRAPH
Reconstructed complete attack behavior traces -&gt; SEM-ABSTRACT
Ordered caller→callee interaction chains -&gt; SE-GRAPH
Vulnerability classification prompt -&gt; DOC-NL
Reasoning instructions -&gt; SEM-EXPLANATION
Example attack patterns -&gt; RET-KB</t>
  </si>
  <si>
    <t>Program repair (bug fixing)</t>
  </si>
  <si>
    <t>LC-SUBSRC
DOC-NL
RET-CODE
TEST-EXEC</t>
  </si>
  <si>
    <t>Buggy code snippet with known bug location -&gt; LC-SUBSRC
Surrounding buggy program context (before/after bug lines) -&gt; LC-SUBSRC
Instruction-style problem description and bug explanation -&gt; DOC-NL
Fix code examples used during instruction construction -&gt; RET-CODE
Infilling template with prefix and suffix context around bug location -&gt; LC-SUBSRC
Benchmark test cases for execution-based validation -&gt; TEST-EXEC</t>
  </si>
  <si>
    <t>Program repair (ML model repair)</t>
  </si>
  <si>
    <t>LC-FUNC
LC-SUBSRC
SE-ANALYSIS</t>
  </si>
  <si>
    <t>Full DNN training program source code including data context and model context -&gt; LC-FUNC
Masked DNN element location (&lt;mask&gt;) inside training code -&gt; LC-SUBSRC
Surrounding pre-context and post-context around masked element -&gt; LC-SUBSRC
Static architecture configuration information -&gt; SE-ANALYSIS
Model compilation and training parameters -&gt; SE-ANALYSIS</t>
  </si>
  <si>
    <t>Code smell detection + refactoring</t>
  </si>
  <si>
    <t>LC-SUBSRC
SE-ANALYSIS
DOC-SPEC
RET-CODE
DOC-NL
LC-STRUCT</t>
  </si>
  <si>
    <t>Smelly code snippet -&gt; LC-SUBSRC
Expert tool detection results and smell type labels -&gt; SE-ANALYSIS
Formal smell definitions -&gt; DOC-SPEC
Retrieved refactoring example -&gt; RET-CODE
Task-specific refactoring instructions -&gt; DOC-NL
Smell-dependent additional context (e.g., parent class for inheritance smells) -&gt; LC-STRUCT</t>
  </si>
  <si>
    <t>Program repair (API migration fixing)</t>
  </si>
  <si>
    <t>LC-SUBSRC
HIST-CHANGE
DOC-SPEC
TEST-EXEC
SE-ANALYSIS</t>
  </si>
  <si>
    <t>Suspicious source code file affected by dependency update -&gt; LC-SUBSRC
AST-trimmed method containing error -&gt; LC-SUBSRC
Necessary imports / overloads -&gt; LC-SUBSRC
Dependency version change metadata -&gt; HIST-CHANGE
Structured API breaking-change reports (japicmp/revapi) -&gt; DOC-SPEC
Initial compiler or maven error messages -&gt; TEST-EXEC
Unified diff editing format -&gt; HIST-CHANGE
Repository validation feedback (compile results and test outcomes) -&gt; TEST-EXEC
Agent tool outputs when available -&gt; SE-ANALYSIS</t>
  </si>
  <si>
    <t>Inline code editing / code refinement</t>
  </si>
  <si>
    <t>LC-FUNC
DOC-NL
SEM-INTENT
HIST-CHANGE
RET-CODE</t>
  </si>
  <si>
    <t>Original source code under review -&gt; LC-FUNC
Reviewer natural-language comment -&gt; DOC-NL
Review line location -&gt; LC-FUNC
Extracted structured intention template -&gt; SEM-INTENT
Last code diff hunk describing previous modification -&gt; HIST-CHANGE
Retrieved historical refinement examples (RAG setting) -&gt; RET-CODE
Intention-conditioned refinement instructions -&gt; DOC-NL</t>
  </si>
  <si>
    <t>Vulnerability detection</t>
  </si>
  <si>
    <t>LC-FUNC
DOC-NL</t>
  </si>
  <si>
    <t>Single function-level source code snippet (≤512 tokens) -&gt; LC-FUNC
Programming-language identifier in instruction -&gt; DOC-NL
Binary classification instruction prompt -&gt; DOC-NL</t>
  </si>
  <si>
    <t>Code edit application / patch application</t>
  </si>
  <si>
    <t>LC-STRUCT
HIST-CHANGE</t>
  </si>
  <si>
    <t>Original source code file -&gt; LC-STRUCT
Git diff describing intended modifications -&gt; HIST-CHANGE
Oracle draft code derived from diff -&gt; HIST-CHANGE
Comparison diffs between original/prediction/ground truth during evaluation -&gt; HIST-CHANGE</t>
  </si>
  <si>
    <t>Code transformation / API synthesis</t>
  </si>
  <si>
    <t>LC-SUBSRC
DOC-NL
SEM-EXPLANATION
RET-CODE
DOC-SPEC</t>
  </si>
  <si>
    <t>Stack Overflow code snippet -&gt; LC-SUBSRC
Question title -&gt; DOC-NL
Question body -&gt; DOC-NL
Answer body -&gt; DOC-NL
Natural language problem description -&gt; DOC-NL
Developer-style reasoning steps (chain-of-thought template) -&gt; SEM-EXPLANATION
Few-shot API transformation examples -&gt; RET-CODE
Role specification as skilled developer -&gt; DOC-NL
Output format constraints -&gt; DOC-SPEC</t>
  </si>
  <si>
    <t>Specification extraction + program validation</t>
  </si>
  <si>
    <t>DOC-NL
DOC-SPEC
SEM-ABSTRACT
SE-ANALYSIS</t>
  </si>
  <si>
    <t>RFC document sections -&gt; DOC-NL
Natural-language protocol specifications -&gt; DOC-NL
Protocol format DSL grammar -&gt; DOC-SPEC
Section summaries -&gt; SEM-ABSTRACT
Extracted subformats from sibling sections -&gt; SE-ANALYSIS
Syntax checker feedback -&gt; SE-ANALYSIS</t>
  </si>
  <si>
    <t>Dataset augmentation (code translation)</t>
  </si>
  <si>
    <t>Standalone malicious function source code -&gt; LC-FUNC
Programming language indicator -&gt; DOC-NL
Vanilla translation instruction -&gt; DOC-NL</t>
  </si>
  <si>
    <t>Patch porting / cross-project program repair</t>
  </si>
  <si>
    <t>LC-FUNC
LC-SUBSRC
HIST-CHANGE
DOC-NL
SEM-INTENT</t>
  </si>
  <si>
    <t>Pre-patch function from source project -&gt; HIST-CHANGE
Post-patch function from source project -&gt; HIST-CHANGE
Corresponding pre-patch function from hard fork -&gt; LC-FUNC
Reduced function body focused on patch-relevant regions -&gt; LC-SUBSRC
Placeholder-compressed surrounding code -&gt; LC-SUBSRC
Natural language task instruction -&gt; DOC-NL
Structured prompt template demonstrating patch transformation -&gt; SEM-INTENT</t>
  </si>
  <si>
    <t>Code generation + iterative bug fixing</t>
  </si>
  <si>
    <t>DOC-NL
DOC-SPEC
LC-FUNC
TEST-CODE
TEST-EXEC
SEM-INTENT
HIST-INTERACT</t>
  </si>
  <si>
    <t>Problem description -&gt; DOC-NL
Function signature/docstring -&gt; DOC-SPEC
Sampled code solutions -&gt; LC-FUNC
Sampled tests (assertions) -&gt; TEST-CODE
Pass/fail results of running each code on each test (consistency matrix) -&gt; TEST-EXEC
Most inconsistent test selected for correction -&gt; TEST-EXEC
User-provided (or simulated) correct output for that test input -&gt; TEST-EXEC
Corrected test -&gt; TEST-CODE
Previously corrected tests -&gt; TEST-CODE
Failing code -&gt; LC-FUNC
Instruction prompt to fix code to satisfy corrected tests -&gt; SEM-INTENT
Iterative history up to current round -&gt; HIST-INTERACT</t>
  </si>
  <si>
    <t>Static analysis assistance</t>
  </si>
  <si>
    <t>LC-FUNC
LC-STRUCT
SE-GRAPH
SEM-ABSTRACT</t>
  </si>
  <si>
    <t>Caller local function body -&gt; LC-FUNC
Caller function-pointer declaration context -&gt; LC-STRUCT
Related struct definitions -&gt; LC-STRUCT
Related typedef/type aliases -&gt; LC-STRUCT
Global variable declarations involving the function pointer -&gt; LC-STRUCT
Callee function body -&gt; LC-FUNC
Callee address-taken assignment sites -&gt; SE-GRAPH
Call-chain contexts where callee is passed/stored -&gt; SE-GRAPH
Consolidated natural-language summaries of caller and callee semantics -&gt; SEM-ABSTRACT</t>
  </si>
  <si>
    <t>LC-STRUCT
SE-GRAPH
SE-ANALYSIS
SEM-ABSTRACT</t>
  </si>
  <si>
    <t>Candidate extracted fields and methods -&gt; LC-STRUCT
Target class source code context -&gt; LC-STRUCT
Inheritance and override relationships -&gt; SE-GRAPH
Constructor and abstract method information -&gt; SE-ANALYSIS
Field accessibility information across classes -&gt; SE-ANALYSIS
Synchronization and delegation properties -&gt; SE-ANALYSIS
Extracted candidate cluster description -&gt; SEM-ABSTRACT</t>
  </si>
  <si>
    <t>Test refactoring</t>
  </si>
  <si>
    <t>LC-FUNC
LC-STRUCT
DOC-NL
DOC-SPEC
RET-KB</t>
  </si>
  <si>
    <t>Single test method source code -&gt; LC-FUNC
Focal class name -&gt; LC-STRUCT
Focal method signature -&gt; DOC-SPEC
Focal method comments -&gt; DOC-NL
Invoked method signatures -&gt; DOC-SPEC
Standardized smell definitions -&gt; DOC-SPEC
DSL-encoded refactoring rules -&gt; DOC-SPEC
Prioritized smell list -&gt; RET-KB
Smell-specific checkpoints -&gt; RET-KB</t>
  </si>
  <si>
    <t>Program repair (test flakiness fixing)</t>
  </si>
  <si>
    <t>LC-FUNC
LC-STRUCT
TEST-EXEC
SE-ANALYSIS
DOC-NL</t>
  </si>
  <si>
    <t>Flaky test method code -&gt; LC-FUNC
Related polluter/victim tests or helper methods -&gt; LC-STRUCT
Localized failure assertion -&gt; TEST-EXEC
Execution error message -&gt; TEST-EXEC
Statically identified flaky statements -&gt; SE-ANALYSIS
Flakiness type description and repair instructions -&gt; DOC-NL</t>
  </si>
  <si>
    <t>DOC-SPEC
TEST-EXEC
SEM-ABSTRACT</t>
  </si>
  <si>
    <t>OpenAPI parameter name and description -&gt; DOC-SPEC
API specification fragments -&gt; DOC-SPEC
Server response/error messages -&gt; TEST-EXEC
Parameter dependency rules -&gt; SEM-ABSTRACT
Example parameter values -&gt; DOC-SPEC
Runtime testing feedback -&gt; TEST-EXEC</t>
  </si>
  <si>
    <t>LC-SUBSRC
LC-STRUCT
HIST-CHANGE
HIST-DEV
RET-CODE
HIST-INTERACT</t>
  </si>
  <si>
    <t>Current file prefix code (code before cursor) -&gt; LC-SUBSRC
Optional suffix -&gt; LC-SUBSRC
User edit history (git diffs) -&gt; HIST-CHANGE
Recently opened files -&gt; HIST-DEV
Similar repository snippets -&gt; RET-CODE
Cursor interaction history -&gt; HIST-INTERACT
Reconstructed repository snapshot -&gt; LC-STRUCT</t>
  </si>
  <si>
    <t>LC-FUNC
RET-CODE
DOC-NL
SEM-EXPLANATION</t>
  </si>
  <si>
    <t>Buggy function -&gt; LC-FUNC
Retrieved buggy→fixed few-shot examples -&gt; RET-CODE
Commit messages as reasoning paths -&gt; SEM-EXPLANATION
Target buggy function requiring repair -&gt; LC-FUNC</t>
  </si>
  <si>
    <t>Malicious code generation safety evaluation</t>
  </si>
  <si>
    <t>DOC-NL
LC-SUBSRC
LC-FUNC
SEM-INTENT</t>
  </si>
  <si>
    <t>Natural language malicious descriptions -&gt; DOC-NL
Obfuscated functional descriptions -&gt; DOC-NL
Jailbreak instructions -&gt; SEM-INTENT
Partial malicious code -&gt; LC-SUBSRC
Complete malicious code -&gt; LC-FUNC
Code completion tasks -&gt; SEM-INTENT
Code translation tasks -&gt; SEM-INTENT</t>
  </si>
  <si>
    <t>Repository-level code completion</t>
  </si>
  <si>
    <t>LC-SUBSRC
RET-CODE
SE-GRAPH
LC-STRUCT</t>
  </si>
  <si>
    <t>Code completion context -&gt; LC-SUBSRC
Retrieved repository code snippets -&gt; RET-CODE
Structurally similar statements from code context graph retrieval -&gt; SE-GRAPH
Surrounding intra-repository code fragments with file paths -&gt; LC-STRUCT</t>
  </si>
  <si>
    <t>Program repair (security bug fixing)</t>
  </si>
  <si>
    <t>LC-FUNC
SEM-INTENT</t>
  </si>
  <si>
    <t>Marked lines -&gt; SEM-INTENT</t>
  </si>
  <si>
    <t>Conversational program repair</t>
  </si>
  <si>
    <t>LC-FUNC
TEST-EXEC
HIST-INTERACT
SEM-FEEDBACK</t>
  </si>
  <si>
    <t>Buggy function with infill location -&gt; LC-FUNC
Failing test information -&gt; TEST-EXEC
Compilation/test feedback -&gt; TEST-EXEC
Previous failed patches -&gt; SEM-FEEDBACK
Plausible patches accumulated across conversation history -&gt; HIST-INTERACT</t>
  </si>
  <si>
    <t>Category</t>
  </si>
  <si>
    <t>Tag</t>
  </si>
  <si>
    <t>Occurrences</t>
  </si>
  <si>
    <t>Local Code Context (44)</t>
  </si>
  <si>
    <t>LC-IR</t>
  </si>
  <si>
    <t>Structural Expansion Context (15)</t>
  </si>
  <si>
    <t>SE-ANALYSIS</t>
  </si>
  <si>
    <t>SE-GRAPH</t>
  </si>
  <si>
    <t>Documentation &amp; Retrieval Context(45)</t>
  </si>
  <si>
    <t>DOC-NL</t>
  </si>
  <si>
    <t>DOC-SPEC</t>
  </si>
  <si>
    <t>RET-CODE</t>
  </si>
  <si>
    <t>RET-KB</t>
  </si>
  <si>
    <t>Historical / Temporal Context (14)</t>
  </si>
  <si>
    <t>HIST-CHANGE</t>
  </si>
  <si>
    <t>HIST-DEV</t>
  </si>
  <si>
    <t>HIST-INTERACT</t>
  </si>
  <si>
    <t>Semantic Context (22)</t>
  </si>
  <si>
    <t>SEM-INTENT</t>
  </si>
  <si>
    <t>SEM-ABSTRACT</t>
  </si>
  <si>
    <t>SEM-EXPLANATION</t>
  </si>
  <si>
    <t>SEM-FEEDBACK</t>
  </si>
  <si>
    <t>Testing &amp; Execution Context (14)</t>
  </si>
  <si>
    <t>TEST-EXEC</t>
  </si>
  <si>
    <t>TEST-CODE</t>
  </si>
  <si>
    <t>Test-IO</t>
  </si>
  <si>
    <t>ID</t>
  </si>
  <si>
    <t>Random number</t>
  </si>
  <si>
    <t>Venue</t>
  </si>
  <si>
    <t>Title</t>
  </si>
  <si>
    <t>Link</t>
  </si>
  <si>
    <t>Abstract</t>
  </si>
  <si>
    <t>Original broad labels</t>
  </si>
  <si>
    <t>Proposed tree codes</t>
  </si>
  <si>
    <t>Coding basis</t>
  </si>
  <si>
    <t>Evidence status</t>
  </si>
  <si>
    <t>Possible taxonomy gap</t>
  </si>
  <si>
    <t>Source URL</t>
  </si>
  <si>
    <t>Source verification note</t>
  </si>
  <si>
    <t>HIST-CHANGE
SEM-EXPLANATION
HIST-INTERACT</t>
  </si>
  <si>
    <t>Prompt supplies git diff and a prior FIDEX explanation in staged interaction.</t>
  </si>
  <si>
    <t>PDF verified</t>
  </si>
  <si>
    <t>https://arxiv.org/pdf/2408.02502</t>
  </si>
  <si>
    <t>HIST-CHANGE
HIST-DEV</t>
  </si>
  <si>
    <t>Author venue description explicitly says the LLM reads code changes and commit messages and produces richer patch descriptions.</t>
  </si>
  <si>
    <t>Author method verified</t>
  </si>
  <si>
    <t>https://conf.researchr.org/details/issta-2025/issta-2025-papers/66/PatchScope-LLM-Enhanced-Fine-Grained-Stable-Patch-Classification-for-Linux-Kernel</t>
  </si>
  <si>
    <t>LC-FUNC
RET-CODE</t>
  </si>
  <si>
    <t>Both method-level mutant programs are supplied; few-shot variant also provides labeled mutant-pair examples. AST/model architecture of baselines is not prompt context.</t>
  </si>
  <si>
    <t>https://arxiv.org/pdf/2408.01760</t>
  </si>
  <si>
    <t>LC-SUBSRC
SEM-INTENT</t>
  </si>
  <si>
    <t>The authors state the LLM infers resource acquisition, release, and reachability intentions from a given code snippet; static control-flow path checking is a later component.</t>
  </si>
  <si>
    <t>https://arxiv.org/abs/2311.04448</t>
  </si>
  <si>
    <t>LC-FUNC
LC-STRUCT
RET-CODE
HIST-DEV
SE-ANALYSIS
HIST-INTERACT</t>
  </si>
  <si>
    <t>Agent receives retrieved class signatures/method implementations, issue text, and fault localization in iterative search.</t>
  </si>
  <si>
    <t>https://haifengruan.com/assets/pdf/autocoderover_issta24.pdf</t>
  </si>
  <si>
    <t>The paper evaluates representations ranging from whole buggy methods to fault-marked hunks as model input. Patch testing is subsequent validation.</t>
  </si>
  <si>
    <t>https://zhangj111.github.io/files/ASE23_APR_Study.pdf</t>
  </si>
  <si>
    <t>LC-SUBSRC
RET-CODE
TEST-EXEC
HIST-INTERACT
SEM-FEEDBACK</t>
  </si>
  <si>
    <t>Tool results and previous agent actions enter later prompts, including inspected source and test feedback.</t>
  </si>
  <si>
    <t>https://arxiv.org/pdf/2403.17134</t>
  </si>
  <si>
    <t>DOC-NL
TEST-CODE</t>
  </si>
  <si>
    <t>Paper explicitly compares prompts containing the programming problem statement and supplied tests for code generation.</t>
  </si>
  <si>
    <t>https://conf.researchr.org/details/ase-2024/ase-2024-research/127/Test-Driven-Development-and-LLM-based-Code-Generation</t>
  </si>
  <si>
    <t>LC-FUNC
LC-STRUCT
DOC-SPEC</t>
  </si>
  <si>
    <t>Prompt includes code up to the current function and refinement type definitions; validator output is not established as LLM input.</t>
  </si>
  <si>
    <t>https://ranjitjhala.github.io/static/icse25-neurosymbolic-refinement-inference.pdf</t>
  </si>
  <si>
    <t>LC-SUBSRC
SE-ANALYSIS
HIST-INTERACT</t>
  </si>
  <si>
    <t>PredEx feeds predictive backward source slices with known/predicted variable values into value evaluator across execution steps; PDG itself drives slicing, not prompt.</t>
  </si>
  <si>
    <t>https://aashishyadavally.github.io/assets/pdf/pub-fse2025-(2).pdf</t>
  </si>
  <si>
    <t>HIST-DEV
SEM-INTENT
SEM-FEEDBACK
LC-SUBSRC</t>
  </si>
  <si>
    <t>Author describes Jira design rationales in prompt instructions and subsequent feedback with a proposed patch and identifiers.</t>
  </si>
  <si>
    <t>https://arxiv.org/abs/2408.12056</t>
  </si>
  <si>
    <t>LC-FUNC
RET-CODE
SEM-EXPLANATION</t>
  </si>
  <si>
    <t>Prompt supplies labeled full C program and worked C program/invariant examples, with optional invariant explanations; ESBMC verifies downstream.</t>
  </si>
  <si>
    <t>https://pure.manchester.ac.uk/ws/portalfiles/portal/344502006/ESBMC_and_Vampire.pdf</t>
  </si>
  <si>
    <t>RET-CODE
DOC-NL
HIST-INTERACT
TEST-EXEC
SEM-FEEDBACK</t>
  </si>
  <si>
    <t>TradeSweep prompts with retrieved preprocessing functions, dataframe structure and user request; errors and user correction enter later prompts. Spreadsheet data is a modality gap.</t>
  </si>
  <si>
    <t>Spreadsheet column names are data context, not source code.</t>
  </si>
  <si>
    <t>https://people.cs.vt.edu/naren/papers/ICSE2025-LLM-Spreadsheet.pdf</t>
  </si>
  <si>
    <t>DOC-NL
LC-FUNC</t>
  </si>
  <si>
    <t>Author venue description identifies CVE descriptions, corresponding source code, and pattern-based in-context examples used to extract vulnerability entities and localize vulnerable functions.</t>
  </si>
  <si>
    <t>https://conf.researchr.org/details/ase-2024/ase-2024-research/32/Effective-Vulnerable-Function-Identification-based-on-CVE-Description-Empowered-by-La</t>
  </si>
  <si>
    <t>LC-SUBSRC
TEST-EXEC
HIST-INTERACT
SEM-INTENT</t>
  </si>
  <si>
    <t>Initial LLM prompt contains the user's debugging question, error, input, enriched runtime stack with variable values and nearby source lines. Subsequent tool/debugger replies and dialogue are fed back.</t>
  </si>
  <si>
    <t>https://arxiv.org/pdf/2403.16354</t>
  </si>
  <si>
    <t>LC-FUNC
LC-STRUCT
LC-SUBSRC</t>
  </si>
  <si>
    <t>Calico tests source programs and reruns tasks with source annotated for overlooked AST facts; actual model input is augmented source, not raw AST.</t>
  </si>
  <si>
    <t>https://www.cs.ucr.edu/~heng/pubs/calico_issta24.pdf</t>
  </si>
  <si>
    <t>DOC-NL
DOC-SPEC</t>
  </si>
  <si>
    <t>LLM classifies API behavior from natural-language API descriptions, class labels and examples; program behavior graph is built by other modules, not shown to LLM.</t>
  </si>
  <si>
    <t>https://chenbihuan.github.io/paper/ase24-huang-spiderscan.pdf</t>
  </si>
  <si>
    <t>LC-SUBSRC
LC-FUNC
HIST-INTERACT</t>
  </si>
  <si>
    <t>Prompt shows code declarations and predecessor transformations, plus preceding refactor history.</t>
  </si>
  <si>
    <t>https://www.microsoft.com/en-us/research/wp-content/uploads/2024/08/main.pdf</t>
  </si>
  <si>
    <t>LC-FUNC
LC-STRUCT
DOC-NL
HIST-DEV
TEST-CODE
TEST-EXEC
TEST-IO
SE-ANALYSIS</t>
  </si>
  <si>
    <t>The prompt always includes buggy function and docstring, with evaluated fact choices: class/signatures, failing-test code, error/stack trace and runtime values, angelic input/output requirements, and GitHub issue. These are varying configurations, not simultaneous for every prompt.</t>
  </si>
  <si>
    <t>https://arxiv.org/pdf/2404.05520</t>
  </si>
  <si>
    <t>Venue method describes an LLM used to generate API invocation snippets from parameterized API descriptions and scope definitions. The target miniApp's method-oriented AST is used in a separate verifier, so LC-IR is not assigned to LLM input.</t>
  </si>
  <si>
    <t>https://conf.researchr.org/details/issta-2025/issta-2025-papers/84/Uncovering-API-Scope-Misalignment-in-the-App-in-App-Ecosystem</t>
  </si>
  <si>
    <t>LC-FUNC
SE-ANALYSIS
SE-GRAPH
DOC-SPEC
RET-CODE</t>
  </si>
  <si>
    <t>Three LLM stages: API signature/body to partition input; constructor/type dependency relations (TDG represented in text) plus partition specification to choose constructors; chosen constructor code and specifications to instantiate objects. No runtime coverage fed to LLM.</t>
  </si>
  <si>
    <t>https://zhendong2050.github.io/res/ICSE25.pdf</t>
  </si>
  <si>
    <t>LC-SUBSRC
LC-FUNC
LC-STRUCT
RET-CODE
SE-ANALYSIS</t>
  </si>
  <si>
    <t>The model input includes unfinished snippet, retrieved functionally similar code, caller/lifecycle callback methods, resource identifiers, and in-file signatures/globals/libraries. Retrieval and in-project context are arranged as input both during training and completion.</t>
  </si>
  <si>
    <t>https://pppppkun.github.io/files/ase24.pdf</t>
  </si>
  <si>
    <t>Copilot Chat receives selected code; paper does not specify that selection is a whole function.</t>
  </si>
  <si>
    <t>https://arxiv.org/pdf/2401.14176</t>
  </si>
  <si>
    <t>LC-FUNC
LC-SUBSRC
DOC-NL</t>
  </si>
  <si>
    <t>Judge evaluates model responses to code translation, summarization or generation tasks; task instructions include source code or functional descriptions depending task.</t>
  </si>
  <si>
    <t>https://arxiv.org/pdf/2502.06193</t>
  </si>
  <si>
    <t>Program and question are prompted with few-shot code reasoning examples; CoT variant includes demonstration thoughts.</t>
  </si>
  <si>
    <t>https://arxiv.org/pdf/2403.16437</t>
  </si>
  <si>
    <t>DOC-NL
LC-STRUCT
HIST-CHANGE</t>
  </si>
  <si>
    <t>Author names project documents and historical source as pre-training/domain knowledge for bug localization; the knowledge graph participates in a separate representation pipeline, with no evidence that graph edges are serialized in an LLM prompt.</t>
  </si>
  <si>
    <t>https://ink.library.smu.edu.sg/sis_research/10890/</t>
  </si>
  <si>
    <t>LC-STRUCT
DOC-SPEC
SEM-ABSTRACT
HIST-INTERACT</t>
  </si>
  <si>
    <t>Converter supplies Java class code, ThreadBridge API explanations/examples, and a summary of Java code in later translation prompts.</t>
  </si>
  <si>
    <t>https://gaoxiang9430.github.io/papers/ase2024_demo.pdf</t>
  </si>
  <si>
    <t>LLM reads segmented API documentation and parameter lists, with four documentation sentence-to-logical-constraint examples. Code path constraints are extracted by a separate symbolic-execution component and compared downstream.</t>
  </si>
  <si>
    <t>https://xie00059.github.io/publications/pythondoc-paper.pdf</t>
  </si>
  <si>
    <t>Author paper evaluates LLM prompts on cross-language pairs of source snippets for clone classification.</t>
  </si>
  <si>
    <t>https://orbilu.uni.lu/bitstream/10993/67396/1/clccd.pdf</t>
  </si>
  <si>
    <t>LC-STRUCT
LC-FUNC</t>
  </si>
  <si>
    <t>Holistic translation prompts include whole class; min-dependency prompts include class skeleton, method and necessary source-code fields/methods/libraries; standalone prompts omit dependencies. Compilation/execution metrics are downstream evaluation.</t>
  </si>
  <si>
    <t>https://arxiv.org/pdf/2411.06145</t>
  </si>
  <si>
    <t>SEM-INTENT
TEST-IO
LC-FUNC</t>
  </si>
  <si>
    <t>Author describes explicit test intentions consisting of input, mock behavior and expected results for tests targeting focal methods.</t>
  </si>
  <si>
    <t>https://conf.researchr.org/details/icse-2025/icse-2025-research-track/242/Test-Intention-Guided-LLM-based-Unit-Test-Generation</t>
  </si>
  <si>
    <t>LC-SUBSRC
SE-ANALYSIS
SEM-ABSTRACT
RET-CODE</t>
  </si>
  <si>
    <t>Prompt contains target code, input test case and computed feasible coverage options; exemplar contains code and reasoning plan.</t>
  </si>
  <si>
    <t>https://aashishyadavally.github.io/assets/pdf/pub-fse2025-(1).pdf</t>
  </si>
  <si>
    <t>LC-STRUCT
RET-CODE
DOC-SPEC
HIST-INTERACT
SEM-FEEDBACK</t>
  </si>
  <si>
    <t>Java class plus sampled program/specification examples; verifier errors fed into later conversations.</t>
  </si>
  <si>
    <t>https://arxiv.org/pdf/2401.08807</t>
  </si>
  <si>
    <t>LC-FUNC
SEM-ABSTRACT</t>
  </si>
  <si>
    <t>Author venue describes code summarization with code-conditioned learned prompt vectors from a Mapper pre-trained on code; the vectors are learned representations rather than human natural-language documentation.</t>
  </si>
  <si>
    <t>https://conf.researchr.org/details/issta-2025/issta-2025-papers/71/Enhanced-Prompting-Framework-for-Code-Summarization-with-Large-Language-Models</t>
  </si>
  <si>
    <t>Doctoral symposium proposal describes three proposed collaborative works but does not give one implemented prompt configuration. Exclude from counts pending individual implementations.</t>
  </si>
  <si>
    <t>Proposal: exclude</t>
  </si>
  <si>
    <t>https://conf.researchr.org/details/issta-ecoop-2024/issta-ecoop-2024-doctoral-symposium/13/Collaboration-to-Repository-Level-Vulnerability-Detection</t>
  </si>
  <si>
    <t>LC-SUBSRC
SE-ANALYSIS
RET-CODE
SEM-EXPLANATION</t>
  </si>
  <si>
    <t>Prompt includes target code slice, static type hints, example slices and static-analysis reasoning demonstrations.</t>
  </si>
  <si>
    <t>https://arxiv.org/pdf/2307.09163</t>
  </si>
  <si>
    <t>Author full paper includes Java repair prompt and buggy program; experimental hypothesis framework is evaluation logic, not additional prompt context.</t>
  </si>
  <si>
    <t>https://ink.library.smu.edu.sg/cgi/viewcontent.cgi?article=11324&amp;context=sis_research</t>
  </si>
  <si>
    <t>LC-FUNC
TEST-CODE
HIST-CHANGE</t>
  </si>
  <si>
    <t>Three tasks use focal method, test prefix for assertion generation, and original/updated method plus original test for test evolution.</t>
  </si>
  <si>
    <t>https://arxiv.org/pdf/2412.16620</t>
  </si>
  <si>
    <t>LC-STRUCT
LC-FUNC
RET-CODE
HIST-DEV
HIST-INTERACT
TEST-EXEC</t>
  </si>
  <si>
    <t>Model navigates repository tree and issue description, retrieves class/function implementations via search tools, then receives validation and git operation observations while repairing. AST analysis powers retrieval, not a supplied AST representation.</t>
  </si>
  <si>
    <t>https://arxiv.org/pdf/2411.00622</t>
  </si>
  <si>
    <t>DOC-SPEC
LC-FUNC</t>
  </si>
  <si>
    <t>Study uses model-based oracle and smart-contract source for guided exploit generation; model-based specification guides candidate generation.</t>
  </si>
  <si>
    <t>HIST-DEV
DOC-NL</t>
  </si>
  <si>
    <t>Author says agents process textual semantics of pull requests and reviewer profiles for recommendation.</t>
  </si>
  <si>
    <t>https://conf.researchr.org/details/ase-2024/ase-2024-nier-track/9/Unity-Is-Strength-Collaborative-LLM-Based-Agents-for-Code-Reviewer-Recommendation</t>
  </si>
  <si>
    <t>LC-IR
TEST-EXEC
TEST-IO
SEM-FEEDBACK</t>
  </si>
  <si>
    <t>Decompiler pseudocode is supplied; successive prompts carry compiler errors, sanitizer error type/location, and observed versus expected program outputs. Binary is input to a separate decompiler.</t>
  </si>
  <si>
    <t>https://daoyuan14.github.io/papers/ISSTA25_DecLLM.pdf</t>
  </si>
  <si>
    <t>LC-SUBSRC
SE-GRAPH
DOC-SPEC
SEM-ABSTRACT</t>
  </si>
  <si>
    <t>First prompt uses source slice and taint graph; second uses its analysis report plus formal Ponzi definition.</t>
  </si>
  <si>
    <t>https://arxiv.org/pdf/2411.07498</t>
  </si>
  <si>
    <t>LC-FUNC
LC-SUBSRC
RET-CODE
SEM-INTENT</t>
  </si>
  <si>
    <t>Three prompt tasks: method-level code summarization, buggy code plus fix instruction, and synthesis from natural-language requirement. In-context demonstrations are labeled input/output code/task examples; task-specific codes vary rather than all co-occurring.</t>
  </si>
  <si>
    <t>https://arxiv.org/pdf/2304.07575</t>
  </si>
  <si>
    <t>LC-SUBSRC
LC-STRUCT
TEST-EXEC
SEM-FEEDBACK</t>
  </si>
  <si>
    <t>Prompt includes a selected source-code segment, imports and classes when needed, and uncovered line/branch identifiers. Generated tests are run and coverage feedback directs successive attempts.</t>
  </si>
  <si>
    <t>https://arxiv.org/pdf/2403.16218</t>
  </si>
  <si>
    <t>LC-STRUCT
RET-KB
DOC-SPEC
SE-ANALYSIS
TEST-RENDER</t>
  </si>
  <si>
    <t>Frontend source, rendered-page properties extracted through Playwright, and retrieved Material Design guidelines guide the LLM-assisted analysis and repair. TEST-RENDER denotes properties of the executed/rendered interface supplied as context; screenshot pixels in a specific prompt are not established.</t>
  </si>
  <si>
    <t>TEST-RENDER (NEW): properties of the rendered frontend supplied to the LLM; proposed subcategory of TEST-EXEC. Screenshot pixels in a particular prompt are not established.</t>
  </si>
  <si>
    <t>https://github.com/UGAIForge/DesignRepair</t>
  </si>
  <si>
    <t>LC-FUNC
SE-GRAPH
TEST-EXEC</t>
  </si>
  <si>
    <t>Author describes source-code translation guided by a project call graph, with debugger and dynamic-test feedback reducing runtime errors.</t>
  </si>
  <si>
    <t>https://conf.researchr.org/details/ase-2024/ase-2024-posters/2/Bridging-Gaps-in-LLM-Code-Translation-Reducing-Errors-with-Call-Graphs-and-Bridged-D</t>
  </si>
  <si>
    <t>DOC-NL
SEM-EXPLANATION</t>
  </si>
  <si>
    <t>The LLM reads DApp natural-language descriptions, and its boolean extraction prompt includes explanatory phrases and illustrative examples. Bytecode dataflow and symbolic execution occur in a separate analysis component, not LLM input.</t>
  </si>
  <si>
    <t>https://arxiv.org/pdf/2408.06037</t>
  </si>
  <si>
    <t>LC-STRUCT
SE-ANALYSIS</t>
  </si>
  <si>
    <t>Prompt placeholders include focal class and extracted Java version/testing framework/dependency configuration.</t>
  </si>
  <si>
    <t>https://ricerca.uniba.it/retrieve/70623043-3b6a-4cb6-b5b8-9dc7ccf8757a/ASE24-VoR.pdf</t>
  </si>
  <si>
    <t>Author implementation attacks vulnerability classifiers including fine-tuned CodeLlama using adversarially modified source code as the model input.</t>
  </si>
  <si>
    <t>https://github.com/CGCL-codes/SLODA/blob/main/README.md</t>
  </si>
  <si>
    <t>Author PDF indexed text states ChatGPT receives a code-transformation instruction and a code snippet for the stylometry experiment.</t>
  </si>
  <si>
    <t>https://dl.acm.org/doi/pdf/10.1145/3691620.3695370</t>
  </si>
  <si>
    <t>TEST-CODE
LC-FUNC
DOC-NL</t>
  </si>
  <si>
    <t>Controlled prompt pairs contain a test prefix, sometimes target method signature or full method, and optionally Javadoc comments; context varies by arm.</t>
  </si>
  <si>
    <t>https://arxiv.org/pdf/2412.09360</t>
  </si>
  <si>
    <t>Code completion prompt is a mutable code prefix. Token attribution guides how the external attacker transforms that prefix; it is not separately supplied as context to the victim model.</t>
  </si>
  <si>
    <t>https://impillar.github.io/files/ase2024advpro.pdf</t>
  </si>
  <si>
    <t>Unit testing improves software quality by evaluating isolated sections of the program. This approach alleviates the need for comprehensive program-wide testing and confines the potential error scope within the software. However, unit test development is time-consuming, requiring developers to create appropriate test contexts and determine input values to cover different code regions. This problem is particularly pronounced in Rust due to its intricate type system, making traditional unit test generation tools ineffective in Rust projects. Recently, large language models (LLMs) have demonstrated their proficiency in understanding programming language and completing software engineering tasks. However, merely prompting LLMs with a basic prompt like “generate unit test for the following source code” often results in code with compilation errors. In addition, LLM-generated unit tests often have limited test coverage. To bridge this gap and harness the capabilities of LLM, we design and implement RUG, an end-to-end solution to automatically generate the unit test for Rust projects. To help LLM's generated test pass Rust strict compilation checks, RUG designs a semantic-aware bottom-up approach to divide the context construction problem into dependent sub-problems. It solves these sub-problems sequentially using an LLM and merges them to a complete context. To increase test coverage, RUG integrates coverage-guided fuzzing with LLM to prepare fuzzing harnesses. Applying RUG on 17 real-world Rust programs (average</t>
  </si>
  <si>
    <t>LC-FUNC
LC-STRUCT
SE-GRAPH
HIST-INTERACT</t>
  </si>
  <si>
    <t>Test generation prompt contains target function body and code context for dependent Rust types; subproblem outputs are reused.</t>
  </si>
  <si>
    <t>https://mainarke.github.io/assets/papers/icse25_cheng.pdf</t>
  </si>
  <si>
    <t>LC-SUBSRC
DOC-NL
DOC-SPEC
RET-CODE
TEST-EXEC
HIST-INTERACT</t>
  </si>
  <si>
    <t>Prompt includes task description, interface method specifications and retrieved examples; verifier/compiler diagnostics enter retries.</t>
  </si>
  <si>
    <t>https://web.cs.ucdavis.edu/~cdstanford/doc/2024/ASEW24b.pdf</t>
  </si>
  <si>
    <t>LC-SUBSRC
SE-GRAPH</t>
  </si>
  <si>
    <t>Author describes predictive execution of incomplete code snippets through their control-flow graph; graph navigation is part of the LLM's plan.</t>
  </si>
  <si>
    <t>https://conf.researchr.org/details/icse-2025/icse-2025-research-track/172/Planning-a-Large-Language-Model-for-Static-Detection-of-Runtime-Errors-in-Code-Snippe</t>
  </si>
  <si>
    <t>Publication states the hypergraph is fed into a separate hypergraph neural network; do not assign SE-GRAPH to the LLM merely because the method contains a graph. The precise source input to the collaborating LLM is not published in its abstract.</t>
  </si>
  <si>
    <t>Method incompletely specified</t>
  </si>
  <si>
    <t>https://2024.issta.org/details/issta-2024-papers/122/One-to-One-or-One-to-Many-Suggesting-Extract-Class-Refactoring-Opportunities-with-In</t>
  </si>
  <si>
    <t>LC-FUNC
LC-SUBSRC
TEST-CODE
DOC-NL</t>
  </si>
  <si>
    <t>Six prompt variants include test prefix; subsets additionally include MUT signature, documentation or full method implementation.</t>
  </si>
  <si>
    <t>https://arxiv.org/pdf/2405.03786</t>
  </si>
  <si>
    <t>LC-STRUCT
DOC-NL</t>
  </si>
  <si>
    <t>GPT-4 receives complete Java/Python program for automated reviews; rephrasing treatment receives code and human review comment.</t>
  </si>
  <si>
    <t>https://arxiv.org/pdf/2411.11401</t>
  </si>
  <si>
    <t>LC-FUNC
LC-STRUCT
RET-CODE
TEST-CODE
SEM-FEEDBACK
TEST-EXEC
HIST-INTERACT</t>
  </si>
  <si>
    <t>Translation prompt includes source Java method, target-language class skeleton and ICL example; retries use syntax/test diagnostics and translated tests.</t>
  </si>
  <si>
    <t>https://alirezai.cs.illinois.edu/assets/pdf/alphatrans.pdf</t>
  </si>
  <si>
    <t>LC-SUBSRC
LC-IR
SEM-ABSTRACT</t>
  </si>
  <si>
    <t>LLM comments individual code statements; structured comment trees combine generated comments with AST templates for a downstream pretrained vulnerability classifier. AST tree is not established as input to the comment-generating LLM.</t>
  </si>
  <si>
    <t>https://github.com/Xin-Cheng-Wen/Comment4Vul</t>
  </si>
  <si>
    <t>HIST-CHANGE
SE-GRAPH
LC-FUNC
HIST-DEV
RET-CODE</t>
  </si>
  <si>
    <t>LLM receives changed methods and contextualized minimal call subgraph, fine-grained diff hunks and selected exemplars for release note generation.</t>
  </si>
  <si>
    <t>https://chapering.github.io/pubs/issta25jiawei.pdf</t>
  </si>
  <si>
    <t>This paper compares 12 different repair systems. There is no single model input attributable to the study as a whole.</t>
  </si>
  <si>
    <t>Mixed systems: exclude</t>
  </si>
  <si>
    <t>Exclude from study-level frequency until the individual LLM-based repair systems are coded separately.</t>
  </si>
  <si>
    <t>LC-SUBSRC
SE-ANALYSIS
TEST-EXEC
HIST-INTERACT</t>
  </si>
  <si>
    <t>ROCODE uses incomplete program context; error reports and rollback state guide renewed generation after failures.</t>
  </si>
  <si>
    <t>https://arxiv.org/pdf/2411.07112</t>
  </si>
  <si>
    <t>LC-FUNC
RET-CODE
SEM-EXPLANATION
TEST-EXEC
HIST-INTERACT</t>
  </si>
  <si>
    <t>Buggy function and selected prior reasoning/fix examples enter repair prompt; failing-test information enters retry.</t>
  </si>
  <si>
    <t>https://arxiv.org/pdf/2407.20898</t>
  </si>
  <si>
    <t>Author implementation specifies code prefix as language-model input. Domain examples live in a decoupled retrieval database and affect combined prediction probabilities rather than being supplied as prompt text; RET-CODE is therefore not assigned.</t>
  </si>
  <si>
    <t>https://github.com/zetang94/ASE2023_kNM-LM</t>
  </si>
  <si>
    <t>LC-FUNC
DOC-NL
TEST-IO</t>
  </si>
  <si>
    <t>RankEF receives problem specification and candidate solution code; sample input/output may be in specification. Execution feedback supervises training output, not input at ranking time.</t>
  </si>
  <si>
    <t>https://arxiv.org/pdf/2408.13976</t>
  </si>
  <si>
    <t>LC-STRUCT
LC-SUBSRC
RET-CODE
HIST-DEV
SEM-ABSTRACT</t>
  </si>
  <si>
    <t>Agentless prompts with issue description, repository directory structure and compressed file skeletons; retrieved relevant files enter localization.</t>
  </si>
  <si>
    <t>https://lingming.cs.illinois.edu/publications/fse2025.pdf</t>
  </si>
  <si>
    <t>HIST-CHANGE
RET-CODE</t>
  </si>
  <si>
    <t>Code change enters each commit-message prompt; few-shot variants include demonstration commit examples.</t>
  </si>
  <si>
    <t>https://arxiv.org/pdf/2502.18904</t>
  </si>
  <si>
    <t>LC-FUNC
RET-CODE
SEM-ABSTRACT
SE-ANALYSIS
HIST-INTERACT</t>
  </si>
  <si>
    <t>Repair agent sees buggy functions grouped along error propagation paths, summaries and dependent snippets, and retrieved examples of error-handling strategies. It can request additional cleanup code and gets patch validation feedback.</t>
  </si>
  <si>
    <t>https://leopard-lab.github.io/paper/FSE2025-HaoranLiu.pdf</t>
  </si>
  <si>
    <t>User prompt supplies full npm package source files for malicious code assessment.</t>
  </si>
  <si>
    <t>https://arxiv.org/pdf/2403.12196</t>
  </si>
  <si>
    <t>LC-SUBSRC
TEST-EXEC
HIST-INTERACT
SEM-EXPLANATION</t>
  </si>
  <si>
    <t>Value prediction prompts use the undefined code element and type with few-shot worked examples; refinement includes preceding generated assignments and execution errors.</t>
  </si>
  <si>
    <t>https://arxiv.org/pdf/2407.16974</t>
  </si>
  <si>
    <t>LC-FUNC
HIST-INTERACT</t>
  </si>
  <si>
    <t>Each translation prompt receives source or previous intermediate-language translation; tests select successful path, not necessarily model input.</t>
  </si>
  <si>
    <t>https://arxiv.org/pdf/2411.01063</t>
  </si>
  <si>
    <t>HIST-DEV
DOC-NL
LC-STRUCT</t>
  </si>
  <si>
    <t>Benchmark includes issue text, screenshots of code/logs and website links; image context is outside text-only tree.</t>
  </si>
  <si>
    <t>Issue screenshots sometimes depict code; image is an input format, not a distinct source-code context type.</t>
  </si>
  <si>
    <t>https://arxiv.org/pdf/2505.04606</t>
  </si>
  <si>
    <t>LC-SUBSRC
SE-GRAPH
SE-ANALYSIS
DOC-NL
SEM-INTENT</t>
  </si>
  <si>
    <t>Multi-stage prompts include audit report vulnerability description, dependency graph, program slices and mitigation strategy.</t>
  </si>
  <si>
    <t>https://arxiv.org/pdf/2409.09661</t>
  </si>
  <si>
    <t>HIST-DEV
HIST-CHANGE
RET-CODE
DOC-SPEC</t>
  </si>
  <si>
    <t>Author method transfers prior issue knowledge from one deep-learning framework to another to generate issue-mirroring tests; target API knowledge and original issue history enter test-generation context.</t>
  </si>
  <si>
    <t>https://github.com/CrossProbe2024/CrossProbe</t>
  </si>
  <si>
    <t>RET-CODE
LC-FUNC
HIST-DEV
SEM-ABSTRACT
SEM-INTENT
TEST-CODE
TEST-EXEC
HIST-INTERACT</t>
  </si>
  <si>
    <t>Agents receive GitHub issue, retrieved method/class snippets and inferred function intent; reviewer sees generated test, patch, and results of running on buggy and patched code. Regression test suite is downstream oracle.</t>
  </si>
  <si>
    <t>https://arxiv.org/pdf/2408.02232</t>
  </si>
  <si>
    <t>TEST-CODE
LC-STRUCT
TEST-EXEC
HIST-INTERACT</t>
  </si>
  <si>
    <t>Author implementation collects failing flaky test, stack traces and related source; optional further rounds supply previous chosen code, patch and execution results.</t>
  </si>
  <si>
    <t>https://github.com/NIOTester/NIODebugger</t>
  </si>
  <si>
    <t>LC-STRUCT
LC-FUNC
DOC-NL
HIST-DEV
TEST-CODE
RET-CODE</t>
  </si>
  <si>
    <t>Benchmark varies by task: class skeleton/signatures/comments, buggy function, existing test-class context, issue text and code demonstrations in different prompts. The task's prompts should not be treated as one simultaneous context.</t>
  </si>
  <si>
    <t>https://arxiv.org/pdf/2403.19287</t>
  </si>
  <si>
    <t>LC-FUNC
DOC-NL
TEST-IO
TEST-EXEC</t>
  </si>
  <si>
    <t>Bug report prompt contains full buggy function, program documents, failed tests and error information.</t>
  </si>
  <si>
    <t>https://arxiv.org/pdf/2404.08877</t>
  </si>
  <si>
    <t>LC-SUBSRC
DOC-SPEC
RET-CODE
TEST-EXEC
HIST-INTERACT</t>
  </si>
  <si>
    <t>Proof goal/hypotheses, selected same-file premises as few-shot context; failed compilation error enters retry.</t>
  </si>
  <si>
    <t>https://arxiv.org/pdf/2410.19605</t>
  </si>
  <si>
    <t>LC-SUBSRC
DOC-SPEC
SEM-EXPLANATION</t>
  </si>
  <si>
    <t>LLM vulnerability detector receives target Stack Overflow smart-contract code and named vulnerability classes; subsequent semantic-analysis prompt carries prior conclusion and explanatory analysis.</t>
  </si>
  <si>
    <t>https://nzjohng.github.io/publications/papers/issta2024_2.pdf</t>
  </si>
  <si>
    <t>DOC-NL
RET-CODE
LC-FUNC
LC-SUBSRC
DOC-SPEC</t>
  </si>
  <si>
    <t>LiSSA pairs source/target artifacts for link classification: requirements or documentation sentences with retrieved method/code chunks, and architecture documentation with architecture models. Granularity varies by preprocessor; architecture models are a possible distinct structured-artifact modality.</t>
  </si>
  <si>
    <t>Architecture model elements are design artifacts distinct from source code.</t>
  </si>
  <si>
    <t>https://publikationen.bibliothek.kit.edu/1000179816/164563088</t>
  </si>
  <si>
    <t>LC-SUBSRC
DOC-NL
RET-KB</t>
  </si>
  <si>
    <t>LLM receives target snippet and crowd-sourced Stack Overflow question/answer descriptions summarized from similar snippets; type dictionary checks output separately.</t>
  </si>
  <si>
    <t>https://seal-queensu.github.io/publications/pdf/FSE-Anji-25.pdf</t>
  </si>
  <si>
    <t>LC-IR
SE-ANALYSIS</t>
  </si>
  <si>
    <t>Author implementation specifies WebAssembly Text loop snippets, invoked function declarations, previously defined locals and offset-to-string mappings as input.</t>
  </si>
  <si>
    <t>https://github.com/security-pride/WaDec</t>
  </si>
  <si>
    <t>LC-FUNC
SE-ANALYSIS
TEST-EXEC
SEM-FEEDBACK</t>
  </si>
  <si>
    <t>Author describes vulnerable smart contract plus statically extracted attack flows for generation and compiler/exploit-trigger feedback in self-reflection.</t>
  </si>
  <si>
    <t>https://ink.library.smu.edu.sg/sis_research/9798/</t>
  </si>
  <si>
    <t>LWDIFF: An LLM-Assisted Differential Testing Framework for WebAssembly Runtimes</t>
  </si>
  <si>
    <t>DOC-SPEC
SEM-FEEDBACK
HIST-INTERACT</t>
  </si>
  <si>
    <t>Wasm language specification passages retrieved into prompt; format-check errors appended in repeated LLM requests.</t>
  </si>
  <si>
    <t>https://www4.comp.polyu.edu.hk/~csxluo/LWDIFF.pdf</t>
  </si>
  <si>
    <t>TEST-CODE
LC-FUNC</t>
  </si>
  <si>
    <t>Author tool states LLM generates meaningful assertions for new test inputs obtained by static analysis and random testing of a target Java patch; existing test code and target patch/method serve as context.</t>
  </si>
  <si>
    <t>https://github.com/facumolina/fixcheck</t>
  </si>
  <si>
    <t>B4 is a Bayesian ranker of pre-generated solutions and test outcomes; LLM code/test generators are upstream systems.</t>
  </si>
  <si>
    <t>No LLM input: exclude</t>
  </si>
  <si>
    <t>https://openreview.net/pdf?id=3CL08TGtmA</t>
  </si>
  <si>
    <t>Exclude B4 from model-context frequency. Upstream generator prompts are not the B4 method.</t>
  </si>
  <si>
    <t>HIST-CHANGE
HIST-DEV
DOC-NL
SEM-EXPLANATION
LC-SUBSRC</t>
  </si>
  <si>
    <t>Prompt includes commit patch and message plus generated root-cause explanations and candidate code snippet.</t>
  </si>
  <si>
    <t>https://arxiv.org/pdf/2504.01404</t>
  </si>
  <si>
    <t>Paper describes summary-generation input as code snippet plus requested summary category; varied prompts are evaluated.</t>
  </si>
  <si>
    <t>https://arxiv.org/pdf/2407.07959</t>
  </si>
  <si>
    <t>LC-FUNC
LC-SUBSRC
TEST-CODE</t>
  </si>
  <si>
    <t>Publication explicitly states that its prompt contains focal method code, dependencies and a structured seed test case.</t>
  </si>
  <si>
    <t>https://doi.org/10.1145/3728970</t>
  </si>
  <si>
    <t>DOC-SPEC
LC-SUBSRC
HIST-CHANGE</t>
  </si>
  <si>
    <t>API documentation and API code examples appear in the pair-generation prompt; historical bug code is input to the later LLM code-conversion stage. Execution testing is a downstream oracle.</t>
  </si>
  <si>
    <t>https://arxiv.org/html/2412.01317</t>
  </si>
  <si>
    <t>DOC-SPEC
SE-GRAPH
RET-CODE
TEST-EXEC
HIST-INTERACT</t>
  </si>
  <si>
    <t>SyzGPT prompts with syscall DSL syntax and retrieved dependency-related Syz programs, then regenerates with failed-program feedback.</t>
  </si>
  <si>
    <t>https://zhiyu.netlify.app/files/issta25main_syzgpt.pdf</t>
  </si>
  <si>
    <t>LC-STRUCT
DOC-NL
TEST-IO
HIST-INTERACT</t>
  </si>
  <si>
    <t>Baseline includes incorrect program and problem description; augmented prompts include tutor guidance, solution description, failing input/output pairs; CREF iterates.</t>
  </si>
  <si>
    <t>https://jacquesklein2302.github.io/papers/2024-ISSTA-CREF.pdf</t>
  </si>
  <si>
    <t>LC-FUNC
LC-STRUCT
DOC-NL
SEM-ABSTRACT
RET-CODE</t>
  </si>
  <si>
    <t>Focal method and dependent class declarations/invoked bodies/Javadocs prefix all prompts. A first LLM stage produces slices with descriptions; test stage is guided by those slice descriptions and code.</t>
  </si>
  <si>
    <t>https://arxiv.org/pdf/2408.11324</t>
  </si>
  <si>
    <t>LC-SUBSRC
LC-FUNC</t>
  </si>
  <si>
    <t>Translation model consumes source snippets or complete functions; AST and compiler validate synthetic parallel data separately and are not shown as prompt context.</t>
  </si>
  <si>
    <t>https://yaogroup.cs.vt.edu/ASE_2024_Submission_final.pdf</t>
  </si>
  <si>
    <t>LC-FUNC
TEST-CODE
TEST-IO
SEM-INTENT</t>
  </si>
  <si>
    <t>Prompt supplies method under test and existing metamorphic test; later passes source/follow-up input pairs to infer transformation.</t>
  </si>
  <si>
    <t>https://mr-adopt.github.io/main.pdf</t>
  </si>
  <si>
    <t>LC-FUNC
LC-STRUCT
DOC-NL
DOC-SPEC
TEST-CODE</t>
  </si>
  <si>
    <t>Benchmark annotates samples with source context, docstrings, signatures, API and tests; evaluated tasks use differing subsets of those fields.</t>
  </si>
  <si>
    <t>https://arxiv.org/pdf/2409.10280</t>
  </si>
  <si>
    <t>HIST-CHANGE
HIST-DEV
LC-SUBSRC
RET-CODE
SEM-INTENT</t>
  </si>
  <si>
    <t>Study spans commit categorization from unified diffs and commit summaries, plus code refinement from code chunks and reviewer suggestions, with concrete demonstration examples. These are distinct tasks, not simultaneous inputs.</t>
  </si>
  <si>
    <t>https://connglli.github.io/pdfs/hqcm_ase24.pdf</t>
  </si>
  <si>
    <t>DOC-NL
SEM-ABSTRACT
SEM-FEEDBACK</t>
  </si>
  <si>
    <t>Author explicitly lists functional description, retrieved functional-description/name examples, likely name tokens with positions, pivot words, and earlier model evaluation results in the prompt. Retrieved source bodies are not established, so RET-CODE is not assigned.</t>
  </si>
  <si>
    <t>https://conf.researchr.org/details/fse-2025/fse-2025-research-papers/84/LLM-based-Method-Name-Suggestion-with-Automatically-Generated-Context-Rich-Prompts</t>
  </si>
  <si>
    <t>SEM-INTENT
LC-SUBSRC
DOC-NL
SEM-FEEDBACK</t>
  </si>
  <si>
    <t>Initial generation uses natural-language task; refinement receives generated code with human-edited inline comments localizing corrections. AST segmentation is external preprocessing, not an AST prompt.</t>
  </si>
  <si>
    <t>https://arxiv.org/pdf/2505.07768</t>
  </si>
  <si>
    <t>LC-SUBSRC
LC-STRUCT
RET-CODE
DOC-NL
HIST-INTERACT
SEM-FEEDBACK</t>
  </si>
  <si>
    <t>Adaptation prompts include class context, target method description and retrieved snippet; enhanced variants add other method implementations/docstrings and interaction responses.</t>
  </si>
  <si>
    <t>https://arxiv.org/pdf/2411.15501</t>
  </si>
  <si>
    <t>LC-SUBSRC
RET-CODE
DOC-SPEC
SE-ANALYSIS</t>
  </si>
  <si>
    <t>Author describes syntax-mismatching TS/JS code, few-shot real adaptation examples from a knowledge repository, porting rules and dependency-aware adaptation priority.</t>
  </si>
  <si>
    <t>https://conf.researchr.org/details/issta-2025/issta-2025-papers/63/Porting-Software-Libraries-to-OpenHarmony-Transitioning-from-TypeScript-or-JavaScrip</t>
  </si>
  <si>
    <t>UniTSyn aligns focal function and test function as training sequences for UniTester; AST and language-server use are dataset construction, not model input.</t>
  </si>
  <si>
    <t>https://arxiv.org/pdf/2402.03396</t>
  </si>
  <si>
    <t>Completion prompt is the line containing the truncated secret plus up to seven preceding source lines; token probabilities are then analyzed, not extra input context.</t>
  </si>
  <si>
    <t>https://arxiv.org/pdf/2410.08858</t>
  </si>
  <si>
    <t>LC-STRUCT
DOC-SPEC
RET-CODE</t>
  </si>
  <si>
    <t>Model receives the content of a file, a target CWE category, and a fixed vulnerability demonstration in the output-format prompt. Bug explanations generated by model are outputs.</t>
  </si>
  <si>
    <t>https://arxiv.org/pdf/2502.06898</t>
  </si>
  <si>
    <t>LC-FUNC
LC-SUBSRC
HIST-CHANGE
SE-ANALYSIS</t>
  </si>
  <si>
    <t>Patch-porting prompt uses source pre/post patch signatures and vulnerable target signature; generation fine-tunes on patch pairs.</t>
  </si>
  <si>
    <t>https://chenbihuan.github.io/paper/fse25-wu-mystique.pdf</t>
  </si>
  <si>
    <t>Rango: Adaptive Retrieval-Augmented Proving for Automated Software Verification</t>
  </si>
  <si>
    <t>DOC-SPEC
RET-CODE</t>
  </si>
  <si>
    <t>Prompt includes theorem/proof state and retrieved relevant lemmas and similar proofs.</t>
  </si>
  <si>
    <t>https://arxiv.org/pdf/2412.14063</t>
  </si>
  <si>
    <t>LC-SUBSRC
DOC-SPEC
RET-KB</t>
  </si>
  <si>
    <t>Dialect-transfer prompt includes source SQL and retrieved DBMS feature descriptions/examples; mutation prompt includes metamorphic oracle.</t>
  </si>
  <si>
    <t>https://matafeiyanll.github.io/paper/Issta25.pdf</t>
  </si>
  <si>
    <t>LC-SUBSRC
TEST-EXEC
HIST-INTERACT</t>
  </si>
  <si>
    <t>LLM prompt includes compiler command/error and ±50-line code windows around reported and related locations; later repair iterations retain interactive errors and prior edits.</t>
  </si>
  <si>
    <t>https://www.microsoft.com/en-us/research/wp-content/uploads/2024/08/paper.pdf</t>
  </si>
  <si>
    <t>LC-SUBSRC
HIST-CHANGE</t>
  </si>
  <si>
    <t>Infilling input is real Rust test/issue code with a bracketed region masked. Historical bug-triggering snippets are training data and seeds; compiler outcomes are downstream fuzzing oracle.</t>
  </si>
  <si>
    <t>https://arxiv.org/pdf/2605.00413</t>
  </si>
  <si>
    <t>RET-CODE
LC-FUNC</t>
  </si>
  <si>
    <t>Instruction, retrieved code examples and target code form prompt; LLM feedback trains retriever but is not itself necessarily returned to LLM.</t>
  </si>
  <si>
    <t>https://arxiv.org/pdf/2410.11300</t>
  </si>
  <si>
    <t>HIST-CHANGE
HIST-DEV
LC-SUBSRC</t>
  </si>
  <si>
    <t>Edit model sees code window, developer commit-message prompt, and selected prior edits.</t>
  </si>
  <si>
    <t>https://arxiv.org/pdf/2408.01733</t>
  </si>
  <si>
    <t>LC-FUNC
DOC-SPEC
SEM-FEEDBACK
HIST-INTERACT</t>
  </si>
  <si>
    <t>Rust unsafe-call and Safety-contract context enter LLM; contract category definitions/demonstrations and judge comments inform iterative refinement.</t>
  </si>
  <si>
    <t>https://xing-hu.github.io/assets/papers/issta25safe4U.pdf</t>
  </si>
  <si>
    <t>Author describes retrieval of relevant code, followed by refactoring retrieved code to remove redundant information before generation; documentation is not established as a prompt input.</t>
  </si>
  <si>
    <t>https://arxiv.org/abs/2409.15895</t>
  </si>
  <si>
    <t>Author states the LLM interprets Rust natural-language code comments to extract design constraints; program analysis subsequently verifies constraints, so source code and analysis are not assumed to have entered that LLM prompt.</t>
  </si>
  <si>
    <t>https://conf.researchr.org/details/ase-2024/ase-2024-research/29/Leveraging-Large-Language-Model-to-Assist-Detecting-Rust-Code-Comment-Inconsistency</t>
  </si>
  <si>
    <t>LC-SUBSRC
LC-FUNC
DOC-NL</t>
  </si>
  <si>
    <t>Variants expose partial target code for completion or function description/declaration for generation.</t>
  </si>
  <si>
    <t>https://arxiv.org/pdf/2412.08109</t>
  </si>
  <si>
    <t>Study changes grammar of program representation supplied for code generation; no graph or historical artifact verified as LLM input.</t>
  </si>
  <si>
    <t>https://researchmgt.monash.edu/ws/portalfiles/portal/658860576/631362779.pdf</t>
  </si>
  <si>
    <t>HIST-CHANGE
LC-SUBSRC
DOC-NL</t>
  </si>
  <si>
    <t>GPT-3 prompt encodes merge conflict description from upstream/downstream changes.</t>
  </si>
  <si>
    <t>https://www.cs.yale.edu/homes/piskac/papers/2022ZhangETALmerge.pdf</t>
  </si>
  <si>
    <t>LC-SUBSRC
DOC-NL
TEST-IO</t>
  </si>
  <si>
    <t>Repair training prompt contains assignment description, buggy code and example input/output pairs.</t>
  </si>
  <si>
    <t>https://arxiv.org/pdf/2410.21285</t>
  </si>
  <si>
    <t>LC-FUNC
SEM-FEEDBACK
HIST-INTERACT</t>
  </si>
  <si>
    <t>Initial prompt includes source program; intermediate prompts include bounded-model-checking feedback on candidate invariants.</t>
  </si>
  <si>
    <t>https://chentaolue.github.io/pub-papers/ASE24.pdf</t>
  </si>
  <si>
    <t>HIST-CHANGE
HIST-DEV
DOC-NL</t>
  </si>
  <si>
    <t>SmartNote LLM prompt summarizes commit details, file patches and project/developer context into release entries.</t>
  </si>
  <si>
    <t>https://arxiv.org/pdf/2505.17977</t>
  </si>
  <si>
    <t>LC-STRUCT
LC-FUNC
SE-ANALYSIS</t>
  </si>
  <si>
    <t>Benchmark tests maximum entire skeleton, minimum target class, and selected dependencies/signatures from related classes. Test execution is scoring after generation, not prompt input.</t>
  </si>
  <si>
    <t>https://arxiv.org/pdf/2406.12902</t>
  </si>
  <si>
    <t>LC-SUBSRC
HIST-CHANGE
DOC-SPEC
RET-CODE</t>
  </si>
  <si>
    <t>Model prompt includes historical bug-triggering code examples and domain-knowledge descriptions of mutation rules, API/type/value/exception patterns. Tests execute generated code downstream.</t>
  </si>
  <si>
    <t>https://yepangliu.github.io/files/ISSTA2024-YanHui.pdf</t>
  </si>
  <si>
    <t>LC-STRUCT
RET-CODE</t>
  </si>
  <si>
    <t>RAG treatment retrieves repository code snippets and adds them to code-generation prompt.</t>
  </si>
  <si>
    <t>https://arxiv.org/pdf/2409.20550</t>
  </si>
  <si>
    <t>Author retrieves called-function source and asks LLM for summaries of those functions. Summaries are passed to downstream neural vulnerability models, not returned as LLM input in the reported pipeline.</t>
  </si>
  <si>
    <t>https://conf.researchr.org/details/issta-2025/issta-2025-papers/37/Enhancing-Vulnerability-Detection-via-Inter-procedural-Semantic-Completion</t>
  </si>
  <si>
    <t>DOC-SPEC
RET-KB
LC-FUNC
HIST-INTERACT
SEM-FEEDBACK</t>
  </si>
  <si>
    <t>Generated code is checked using retrieved API exception/condition facts; prompts request checks and rewrite using those facts.</t>
  </si>
  <si>
    <t>https://arxiv.org/pdf/2309.15606</t>
  </si>
  <si>
    <t>Author implementation masks tokens in a JavaScript seed and passes masked program to language-model mutator. Coverage maps and validity determine PPO reward and queue, not model prompt content.</t>
  </si>
  <si>
    <t>https://github.com/seclab-yonsei/CovRL-Fuzz</t>
  </si>
  <si>
    <t>Clause generation prompt shows complete program and loop preconditions/body/postconditions; generated clauses are checked downstream.</t>
  </si>
  <si>
    <t>https://chentaolue.github.io/pub-papers/ISSTA25.pdf</t>
  </si>
  <si>
    <t>LC-SUBSRC
DOC-NL</t>
  </si>
  <si>
    <t>Author study supplies source with self-admitted technical-debt comment; historical debt removal is training/evaluation data rather than necessarily inference-time prompt context.</t>
  </si>
  <si>
    <t>https://arxiv.org/abs/2308.08943</t>
  </si>
  <si>
    <t>LC-SUBSRC
RET-CODE
SEM-EXPLANATION</t>
  </si>
  <si>
    <t>Perturbed code is supplied for code summarization/classification; few-shot defensive prompts include labeled adversarial code examples and instructions for reversing perturbations.</t>
  </si>
  <si>
    <t>https://arxiv.org/pdf/2311.13445</t>
  </si>
  <si>
    <t>DOC-NL
LC-SUBSRC</t>
  </si>
  <si>
    <t>Author paper describes prompt-based extraction from security discussion posts containing code examples and written explanations; the public secure-coding practices are matched at a later stage, so DOC-SPEC is not counted as LLM input.</t>
  </si>
  <si>
    <t>https://zenodo.org/records/8254682/files/ASE23_SCPatcher%20%284%29.pdf</t>
  </si>
  <si>
    <t>LC-FUNC
SE-GRAPH</t>
  </si>
  <si>
    <t>Seed-generation prompt contains focal caller/callee code plus call chain and extracted argument/receiver placeholders.</t>
  </si>
  <si>
    <t>https://chenbihuan.github.io/paper/ase24-zhou-magneto.pdf</t>
  </si>
  <si>
    <t>LC-STRUCT
LC-SUBSRC
HIST-INTERACT</t>
  </si>
  <si>
    <t>LLM is prompted with the current program and transformation instruction, first to locate transformation targets, then to rewrite targets through follow-up questions. Reducer/test oracle are separate downstream stages.</t>
  </si>
  <si>
    <t>https://www.shinhwei.com/lpr.pdf</t>
  </si>
  <si>
    <t>SE-ANALYSIS
SEM-FEEDBACK
TEST-EXEC</t>
  </si>
  <si>
    <t>Author describes state-oriented workload generation and iterative program-analysis feedback for reproducing a failing workload; failure context and refinement enter model rounds.</t>
  </si>
  <si>
    <t>https://www.microsoft.com/en-us/research/publication/reprocopilot-llm-driven-failure-reproduction-with-dynamic-refinement/</t>
  </si>
  <si>
    <t>LC-FUNC
SEM-INTENT
SEM-EXPLANATION
HIST-INTERACT</t>
  </si>
  <si>
    <t>Agent prompts with code and earlier inferred intent; adversarial intent prompts request tests with same inputs and alternative outputs.</t>
  </si>
  <si>
    <t>https://discovery.ucl.ac.uk/id/eprint/10216689/1/3728939.pdf</t>
  </si>
  <si>
    <t>LC-SUBSRC
RET-CODE
SE-ANALYSIS</t>
  </si>
  <si>
    <t>FitRepair infilling includes buggy-code context and relevant identifiers/types extracted from similar lines in project files.</t>
  </si>
  <si>
    <t>https://lingming.cs.illinois.edu/publications/ase2023.pdf</t>
  </si>
  <si>
    <t>LC-STRUCT
SEM-EXPLANATION</t>
  </si>
  <si>
    <t>Vulnerability classifier prompt contains smart-contract source and training responses include expert vulnerability explanations.</t>
  </si>
  <si>
    <t>https://arxiv.org/pdf/2506.18245</t>
  </si>
  <si>
    <t>LC-SUBSRC
DOC-SPEC
SEM-FEEDBACK</t>
  </si>
  <si>
    <t>Initial prompt gives code and CWE misuse categories; verification prompt gives code plus prior candidate misuse reports for false-positive review.</t>
  </si>
  <si>
    <t>https://arxiv.org/pdf/2407.16576</t>
  </si>
  <si>
    <t>LC-SUBSRC
DOC-NL
TEST-IO
RET-CODE</t>
  </si>
  <si>
    <t>Prompt contains earlier notebook code/text, input and output dataframes and sampled demonstrations.</t>
  </si>
  <si>
    <t>Input/output dataframes are already represented by TEST-IO; tabular format can be noted separately.</t>
  </si>
  <si>
    <t>https://arxiv.org/pdf/2409.13551</t>
  </si>
  <si>
    <t>LC-FUNC
RET-CODE
SE-ANALYSIS</t>
  </si>
  <si>
    <t>Summarization prompts include target method and retrieved method/comment exemplars; ASAP variant augments prompt with static-analysis products. Confidence calibration is downstream.</t>
  </si>
  <si>
    <t>https://arxiv.org/pdf/2404.19318</t>
  </si>
  <si>
    <t>LLM sees snippet with statically identified undefined names/attributes. Follow-up prompts include exception details and prior conversation; coverage-guided prompts identify uncovered code.</t>
  </si>
  <si>
    <t>https://software-lab.org/publications/icse2025_Treefix.pdf</t>
  </si>
  <si>
    <t>LLM is prompted once with code to produce a comment and once with natural-language query to generate pseudo-code; matching and fusion occur downstream.</t>
  </si>
  <si>
    <t>https://arxiv.org/pdf/2504.07740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</si>
</sst>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sz val="11"/>
      <color theme="1"/>
      <name val="Calibri"/>
    </font>
    <font>
      <sz val="11"/>
      <color theme="10"/>
      <name val="Calibri"/>
    </font>
    <font>
      <sz val="11"/>
      <color theme="1"/>
      <name val="Calibri"/>
    </font>
    <font>
      <sz val="11"/>
      <color theme="10"/>
      <name val="Calibri"/>
    </font>
    <font>
      <b/>
      <sz val="11"/>
      <color theme="1"/>
      <name val="Calibri"/>
    </font>
    <font>
      <b/>
      <sz val="11"/>
      <color rgb="FFFFFFFF"/>
      <name val="Calibri"/>
    </font>
    <font>
      <sz val="11"/>
      <color rgb="FFC00000"/>
      <name val="Calibri"/>
    </font>
    <font>
      <b/>
      <sz val="11"/>
      <color rgb="FFC00000"/>
      <name val="Calibri"/>
    </font>
    <font>
      <u/>
      <sz val="11"/>
      <color theme="10"/>
      <name val="Calibri"/>
    </font>
  </fonts>
  <fills count="7">
    <fill>
      <patternFill patternType="none"/>
    </fill>
    <fill>
      <patternFill patternType="gray125"/>
    </fill>
    <fill>
      <patternFill patternType="solid">
        <fgColor rgb="FF143B53"/>
      </patternFill>
    </fill>
    <fill>
      <patternFill patternType="solid">
        <fgColor rgb="FFE2F0D9"/>
      </patternFill>
    </fill>
    <fill>
      <patternFill patternType="solid">
        <fgColor rgb="FFFCE4D6"/>
      </patternFill>
    </fill>
    <fill>
      <patternFill patternType="solid">
        <fgColor rgb="FFFBE5D6"/>
      </patternFill>
    </fill>
    <fill>
      <patternFill patternType="solid">
        <fgColor rgb="FFFFF2CC"/>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0">
    <xf numFmtId="0" fontId="0" fillId="0" borderId="0" xfId="0"/>
    <xf numFmtId="0" fontId="1" fillId="0" borderId="0" xfId="0" applyFont="1"/>
    <xf numFmtId="0" fontId="2" fillId="0" borderId="0" xfId="0" applyFont="1"/>
    <xf numFmtId="0" fontId="3" fillId="0" borderId="0" xfId="0" applyFont="1" applyAlignment="1">
      <alignment wrapText="1"/>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left" vertical="center"/>
    </xf>
    <xf numFmtId="0" fontId="5" fillId="0" borderId="0" xfId="0" applyFont="1"/>
    <xf numFmtId="0" fontId="3" fillId="0" borderId="0" xfId="0" applyFont="1"/>
    <xf numFmtId="0" fontId="6"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7" fillId="0" borderId="0" xfId="0" applyFont="1" applyAlignment="1">
      <alignment vertical="top" wrapText="1"/>
    </xf>
    <xf numFmtId="0" fontId="8" fillId="4" borderId="0" xfId="0" applyFont="1" applyFill="1" applyAlignment="1">
      <alignment vertical="top" wrapText="1"/>
    </xf>
    <xf numFmtId="0" fontId="0" fillId="6" borderId="0" xfId="0" applyFill="1" applyAlignment="1">
      <alignment vertical="top" wrapText="1"/>
    </xf>
    <xf numFmtId="0" fontId="9"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571500</xdr:colOff>
      <xdr:row>4</xdr:row>
      <xdr:rowOff>114300</xdr:rowOff>
    </xdr:from>
    <xdr:ext cx="2543175" cy="1457325"/>
    <xdr:sp macro="" textlink="">
      <xdr:nvSpPr>
        <xdr:cNvPr id="2" name="Shape 3">
          <a:extLst>
            <a:ext uri="{FF2B5EF4-FFF2-40B4-BE49-F238E27FC236}">
              <a16:creationId xmlns:a16="http://schemas.microsoft.com/office/drawing/2014/main" id="{00000000-0008-0000-0100-000002000000}"/>
            </a:ext>
          </a:extLst>
        </xdr:cNvPr>
        <xdr:cNvSpPr>
          <a:spLocks noGrp="1"/>
        </xdr:cNvSpPr>
      </xdr:nvSpPr>
      <xdr:spPr>
        <a:xfrm>
          <a:off x="4079175" y="3056100"/>
          <a:ext cx="2533650" cy="1447800"/>
        </a:xfrm>
        <a:prstGeom prst="rect">
          <a:avLst/>
        </a:prstGeom>
        <a:solidFill>
          <a:srgbClr val="FBD4B4"/>
        </a:solidFill>
        <a:ln w="9525" cap="flat">
          <a:solidFill>
            <a:srgbClr val="BABABA"/>
          </a:solidFill>
          <a:prstDash val="solid"/>
          <a:round/>
          <a:headEnd type="none" w="sm" len="sm"/>
          <a:tailEnd type="none" w="sm" len="sm"/>
        </a:ln>
      </xdr:spPr>
      <xdr:txBody>
        <a:bodyPr spcFirstLastPara="1" wrap="square" lIns="91425" tIns="45700" rIns="91425" bIns="45700" anchor="t">
          <a:noAutofit/>
        </a:bodyPr>
        <a:lstStyle/>
        <a:p>
          <a:pPr marL="0" indent="0" algn="l">
            <a:spcBef>
              <a:spcPts val="0"/>
            </a:spcBef>
            <a:spcAft>
              <a:spcPts val="0"/>
            </a:spcAft>
            <a:buNone/>
          </a:pPr>
          <a:r>
            <a:rPr sz="1100">
              <a:solidFill>
                <a:schemeClr val="dk1"/>
              </a:solidFill>
              <a:latin typeface="Calibri"/>
              <a:ea typeface="Calibri"/>
              <a:cs typeface="Calibri"/>
            </a:rPr>
            <a:t>We assigned a random number to each row, sorted the rows based on that number, and selected the first 40 rows as samples.</a:t>
          </a:r>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14</xdr:row>
      <xdr:rowOff>0</xdr:rowOff>
    </xdr:from>
    <xdr:ext cx="2638425" cy="657225"/>
    <xdr:sp macro="" textlink="">
      <xdr:nvSpPr>
        <xdr:cNvPr id="2" name="Shape 4">
          <a:extLst>
            <a:ext uri="{FF2B5EF4-FFF2-40B4-BE49-F238E27FC236}">
              <a16:creationId xmlns:a16="http://schemas.microsoft.com/office/drawing/2014/main" id="{00000000-0008-0000-0200-000002000000}"/>
            </a:ext>
          </a:extLst>
        </xdr:cNvPr>
        <xdr:cNvSpPr>
          <a:spLocks noGrp="1"/>
        </xdr:cNvSpPr>
      </xdr:nvSpPr>
      <xdr:spPr>
        <a:xfrm>
          <a:off x="4026788" y="3456150"/>
          <a:ext cx="2638425" cy="647700"/>
        </a:xfrm>
        <a:prstGeom prst="rect">
          <a:avLst/>
        </a:prstGeom>
        <a:solidFill>
          <a:srgbClr val="FBD4B4"/>
        </a:solidFill>
        <a:ln w="9525" cap="flat">
          <a:solidFill>
            <a:srgbClr val="BABABA"/>
          </a:solidFill>
          <a:prstDash val="solid"/>
          <a:round/>
          <a:headEnd type="none" w="sm" len="sm"/>
          <a:tailEnd type="none" w="sm" len="sm"/>
        </a:ln>
      </xdr:spPr>
      <xdr:txBody>
        <a:bodyPr spcFirstLastPara="1" wrap="square" lIns="91425" tIns="45700" rIns="91425" bIns="45700" anchor="t">
          <a:noAutofit/>
        </a:bodyPr>
        <a:lstStyle/>
        <a:p>
          <a:pPr marL="0" indent="0" algn="l">
            <a:spcBef>
              <a:spcPts val="0"/>
            </a:spcBef>
            <a:spcAft>
              <a:spcPts val="0"/>
            </a:spcAft>
            <a:buNone/>
          </a:pPr>
          <a:r>
            <a:rPr sz="1100">
              <a:solidFill>
                <a:schemeClr val="dk1"/>
              </a:solidFill>
              <a:latin typeface="Calibri"/>
              <a:ea typeface="Calibri"/>
              <a:cs typeface="Calibri"/>
            </a:rPr>
            <a:t>We assigned a random number to each row, sorted the rows based on that number, and selected the first 40 rows as samples.</a:t>
          </a:r>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11</xdr:col>
      <xdr:colOff>209550</xdr:colOff>
      <xdr:row>0</xdr:row>
      <xdr:rowOff>38100</xdr:rowOff>
    </xdr:from>
    <xdr:ext cx="3409950" cy="19983450"/>
    <xdr:sp macro="" textlink="">
      <xdr:nvSpPr>
        <xdr:cNvPr id="2" name="Shape 5">
          <a:extLst>
            <a:ext uri="{FF2B5EF4-FFF2-40B4-BE49-F238E27FC236}">
              <a16:creationId xmlns:a16="http://schemas.microsoft.com/office/drawing/2014/main" id="{00000000-0008-0000-0300-000002000000}"/>
            </a:ext>
          </a:extLst>
        </xdr:cNvPr>
        <xdr:cNvSpPr>
          <a:spLocks noGrp="1"/>
        </xdr:cNvSpPr>
      </xdr:nvSpPr>
      <xdr:spPr>
        <a:xfrm>
          <a:off x="3645788" y="0"/>
          <a:ext cx="3400425" cy="7560000"/>
        </a:xfrm>
        <a:prstGeom prst="rect">
          <a:avLst/>
        </a:prstGeom>
        <a:solidFill>
          <a:srgbClr val="FBD4B4"/>
        </a:solidFill>
        <a:ln w="9525" cap="flat">
          <a:solidFill>
            <a:srgbClr val="BABABA"/>
          </a:solidFill>
          <a:prstDash val="solid"/>
          <a:round/>
          <a:headEnd type="none" w="sm" len="sm"/>
          <a:tailEnd type="none" w="sm" len="sm"/>
        </a:ln>
      </xdr:spPr>
      <xdr:txBody>
        <a:bodyPr spcFirstLastPara="1" wrap="square" lIns="91425" tIns="45700" rIns="91425" bIns="45700" anchor="t">
          <a:noAutofit/>
        </a:bodyPr>
        <a:lstStyle/>
        <a:p>
          <a:pPr marL="0" indent="0" algn="l">
            <a:spcBef>
              <a:spcPts val="0"/>
            </a:spcBef>
            <a:spcAft>
              <a:spcPts val="0"/>
            </a:spcAft>
            <a:buNone/>
          </a:pPr>
          <a:r>
            <a:rPr sz="1100">
              <a:solidFill>
                <a:schemeClr val="dk1"/>
              </a:solidFill>
              <a:latin typeface="Calibri"/>
              <a:ea typeface="Calibri"/>
              <a:cs typeface="Calibri"/>
            </a:rPr>
            <a:t>Context Provided to LLM</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1. Local Code Context (LC)</a:t>
          </a:r>
          <a:endParaRPr/>
        </a:p>
        <a:p>
          <a:pPr marL="0" indent="0" algn="l">
            <a:spcBef>
              <a:spcPts val="0"/>
            </a:spcBef>
            <a:spcAft>
              <a:spcPts val="0"/>
            </a:spcAft>
            <a:buNone/>
          </a:pPr>
          <a:r>
            <a:rPr sz="1100">
              <a:solidFill>
                <a:schemeClr val="dk1"/>
              </a:solidFill>
              <a:latin typeface="Calibri"/>
              <a:ea typeface="Calibri"/>
              <a:cs typeface="Calibri"/>
            </a:rPr>
            <a:t>│   Direct program representation given to the model.</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LC-SUBSRC</a:t>
          </a:r>
          <a:endParaRPr/>
        </a:p>
        <a:p>
          <a:pPr marL="0" indent="0" algn="l">
            <a:spcBef>
              <a:spcPts val="0"/>
            </a:spcBef>
            <a:spcAft>
              <a:spcPts val="0"/>
            </a:spcAft>
            <a:buNone/>
          </a:pPr>
          <a:r>
            <a:rPr sz="1100">
              <a:solidFill>
                <a:schemeClr val="dk1"/>
              </a:solidFill>
              <a:latin typeface="Calibri"/>
              <a:ea typeface="Calibri"/>
              <a:cs typeface="Calibri"/>
            </a:rPr>
            <a:t>│   │   Partial source code smaller than a full function.</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LC-FUNC</a:t>
          </a:r>
          <a:endParaRPr/>
        </a:p>
        <a:p>
          <a:pPr marL="0" indent="0" algn="l">
            <a:spcBef>
              <a:spcPts val="0"/>
            </a:spcBef>
            <a:spcAft>
              <a:spcPts val="0"/>
            </a:spcAft>
            <a:buNone/>
          </a:pPr>
          <a:r>
            <a:rPr sz="1100">
              <a:solidFill>
                <a:schemeClr val="dk1"/>
              </a:solidFill>
              <a:latin typeface="Calibri"/>
              <a:ea typeface="Calibri"/>
              <a:cs typeface="Calibri"/>
            </a:rPr>
            <a:t>│   │   A complete function or method body.</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LC-STRUCT</a:t>
          </a:r>
          <a:endParaRPr/>
        </a:p>
        <a:p>
          <a:pPr marL="0" indent="0" algn="l">
            <a:spcBef>
              <a:spcPts val="0"/>
            </a:spcBef>
            <a:spcAft>
              <a:spcPts val="0"/>
            </a:spcAft>
            <a:buNone/>
          </a:pPr>
          <a:r>
            <a:rPr sz="1100">
              <a:solidFill>
                <a:schemeClr val="dk1"/>
              </a:solidFill>
              <a:latin typeface="Calibri"/>
              <a:ea typeface="Calibri"/>
              <a:cs typeface="Calibri"/>
            </a:rPr>
            <a:t>│   │   Larger structural unit such as class, module, or file.</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LC-IR</a:t>
          </a:r>
          <a:endParaRPr/>
        </a:p>
        <a:p>
          <a:pPr marL="0" indent="0" algn="l">
            <a:spcBef>
              <a:spcPts val="0"/>
            </a:spcBef>
            <a:spcAft>
              <a:spcPts val="0"/>
            </a:spcAft>
            <a:buNone/>
          </a:pPr>
          <a:r>
            <a:rPr sz="1100">
              <a:solidFill>
                <a:schemeClr val="dk1"/>
              </a:solidFill>
              <a:latin typeface="Calibri"/>
              <a:ea typeface="Calibri"/>
              <a:cs typeface="Calibri"/>
            </a:rPr>
            <a:t>│       Non-source representation of code (AST, bytecode, IR).</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2. Structural Expansion Context (SE)</a:t>
          </a:r>
          <a:endParaRPr/>
        </a:p>
        <a:p>
          <a:pPr marL="0" indent="0" algn="l">
            <a:spcBef>
              <a:spcPts val="0"/>
            </a:spcBef>
            <a:spcAft>
              <a:spcPts val="0"/>
            </a:spcAft>
            <a:buNone/>
          </a:pPr>
          <a:r>
            <a:rPr sz="1100">
              <a:solidFill>
                <a:schemeClr val="dk1"/>
              </a:solidFill>
              <a:latin typeface="Calibri"/>
              <a:ea typeface="Calibri"/>
              <a:cs typeface="Calibri"/>
            </a:rPr>
            <a:t>│   Context derived from program analysis or structural modeling.</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SE-ANALYSIS</a:t>
          </a:r>
          <a:endParaRPr/>
        </a:p>
        <a:p>
          <a:pPr marL="0" indent="0" algn="l">
            <a:spcBef>
              <a:spcPts val="0"/>
            </a:spcBef>
            <a:spcAft>
              <a:spcPts val="0"/>
            </a:spcAft>
            <a:buNone/>
          </a:pPr>
          <a:r>
            <a:rPr sz="1100">
              <a:solidFill>
                <a:schemeClr val="dk1"/>
              </a:solidFill>
              <a:latin typeface="Calibri"/>
              <a:ea typeface="Calibri"/>
              <a:cs typeface="Calibri"/>
            </a:rPr>
            <a:t>│   │   Static-analysis or type-system information augmenting code.</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SE-GRAPH</a:t>
          </a:r>
          <a:endParaRPr/>
        </a:p>
        <a:p>
          <a:pPr marL="0" indent="0" algn="l">
            <a:spcBef>
              <a:spcPts val="0"/>
            </a:spcBef>
            <a:spcAft>
              <a:spcPts val="0"/>
            </a:spcAft>
            <a:buNone/>
          </a:pPr>
          <a:r>
            <a:rPr sz="1100">
              <a:solidFill>
                <a:schemeClr val="dk1"/>
              </a:solidFill>
              <a:latin typeface="Calibri"/>
              <a:ea typeface="Calibri"/>
              <a:cs typeface="Calibri"/>
            </a:rPr>
            <a:t>│       Graph representations exposing program dependencies.</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3. Documentation &amp; Retrieval Context (DOC / RET)</a:t>
          </a:r>
          <a:endParaRPr/>
        </a:p>
        <a:p>
          <a:pPr marL="0" indent="0" algn="l">
            <a:spcBef>
              <a:spcPts val="0"/>
            </a:spcBef>
            <a:spcAft>
              <a:spcPts val="0"/>
            </a:spcAft>
            <a:buNone/>
          </a:pPr>
          <a:r>
            <a:rPr sz="1100">
              <a:solidFill>
                <a:schemeClr val="dk1"/>
              </a:solidFill>
              <a:latin typeface="Calibri"/>
              <a:ea typeface="Calibri"/>
              <a:cs typeface="Calibri"/>
            </a:rPr>
            <a:t>│   Non-code artifacts or externally retrieved knowledge.</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DOC-NL</a:t>
          </a:r>
          <a:endParaRPr/>
        </a:p>
        <a:p>
          <a:pPr marL="0" indent="0" algn="l">
            <a:spcBef>
              <a:spcPts val="0"/>
            </a:spcBef>
            <a:spcAft>
              <a:spcPts val="0"/>
            </a:spcAft>
            <a:buNone/>
          </a:pPr>
          <a:r>
            <a:rPr sz="1100">
              <a:solidFill>
                <a:schemeClr val="dk1"/>
              </a:solidFill>
              <a:latin typeface="Calibri"/>
              <a:ea typeface="Calibri"/>
              <a:cs typeface="Calibri"/>
            </a:rPr>
            <a:t>│   │   Human-written natural-language artifacts about the code.</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DOC-SPEC</a:t>
          </a:r>
          <a:endParaRPr/>
        </a:p>
        <a:p>
          <a:pPr marL="0" indent="0" algn="l">
            <a:spcBef>
              <a:spcPts val="0"/>
            </a:spcBef>
            <a:spcAft>
              <a:spcPts val="0"/>
            </a:spcAft>
            <a:buNone/>
          </a:pPr>
          <a:r>
            <a:rPr sz="1100">
              <a:solidFill>
                <a:schemeClr val="dk1"/>
              </a:solidFill>
              <a:latin typeface="Calibri"/>
              <a:ea typeface="Calibri"/>
              <a:cs typeface="Calibri"/>
            </a:rPr>
            <a:t>│   │   Formal specifications, APIs, rules, or standards.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RET-CODE</a:t>
          </a:r>
          <a:endParaRPr/>
        </a:p>
        <a:p>
          <a:pPr marL="0" indent="0" algn="l">
            <a:spcBef>
              <a:spcPts val="0"/>
            </a:spcBef>
            <a:spcAft>
              <a:spcPts val="0"/>
            </a:spcAft>
            <a:buNone/>
          </a:pPr>
          <a:r>
            <a:rPr sz="1100">
              <a:solidFill>
                <a:schemeClr val="dk1"/>
              </a:solidFill>
              <a:latin typeface="Calibri"/>
              <a:ea typeface="Calibri"/>
              <a:cs typeface="Calibri"/>
            </a:rPr>
            <a:t>│   │   Code retrieved from repositories or datasets to extend context.</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RET-KB</a:t>
          </a:r>
          <a:endParaRPr/>
        </a:p>
        <a:p>
          <a:pPr marL="0" indent="0" algn="l">
            <a:spcBef>
              <a:spcPts val="0"/>
            </a:spcBef>
            <a:spcAft>
              <a:spcPts val="0"/>
            </a:spcAft>
            <a:buNone/>
          </a:pPr>
          <a:r>
            <a:rPr sz="1100">
              <a:solidFill>
                <a:schemeClr val="dk1"/>
              </a:solidFill>
              <a:latin typeface="Calibri"/>
              <a:ea typeface="Calibri"/>
              <a:cs typeface="Calibri"/>
            </a:rPr>
            <a:t>│       Knowledge retrieved from curated external databases.</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4. Historical / Temporal Context (HIST)</a:t>
          </a:r>
          <a:endParaRPr/>
        </a:p>
        <a:p>
          <a:pPr marL="0" indent="0" algn="l">
            <a:spcBef>
              <a:spcPts val="0"/>
            </a:spcBef>
            <a:spcAft>
              <a:spcPts val="0"/>
            </a:spcAft>
            <a:buNone/>
          </a:pPr>
          <a:r>
            <a:rPr sz="1100">
              <a:solidFill>
                <a:schemeClr val="dk1"/>
              </a:solidFill>
              <a:latin typeface="Calibri"/>
              <a:ea typeface="Calibri"/>
              <a:cs typeface="Calibri"/>
            </a:rPr>
            <a:t>│   Information derived from software evolution and development history.</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HIST-CHANGE</a:t>
          </a:r>
          <a:endParaRPr/>
        </a:p>
        <a:p>
          <a:pPr marL="0" indent="0" algn="l">
            <a:spcBef>
              <a:spcPts val="0"/>
            </a:spcBef>
            <a:spcAft>
              <a:spcPts val="0"/>
            </a:spcAft>
            <a:buNone/>
          </a:pPr>
          <a:r>
            <a:rPr sz="1100">
              <a:solidFill>
                <a:schemeClr val="dk1"/>
              </a:solidFill>
              <a:latin typeface="Calibri"/>
              <a:ea typeface="Calibri"/>
              <a:cs typeface="Calibri"/>
            </a:rPr>
            <a:t>│   │   Version differences, patches, or past code fixes.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HIST-DEV</a:t>
          </a:r>
          <a:endParaRPr/>
        </a:p>
        <a:p>
          <a:pPr marL="0" indent="0" algn="l">
            <a:spcBef>
              <a:spcPts val="0"/>
            </a:spcBef>
            <a:spcAft>
              <a:spcPts val="0"/>
            </a:spcAft>
            <a:buNone/>
          </a:pPr>
          <a:r>
            <a:rPr sz="1100">
              <a:solidFill>
                <a:schemeClr val="dk1"/>
              </a:solidFill>
              <a:latin typeface="Calibri"/>
              <a:ea typeface="Calibri"/>
              <a:cs typeface="Calibri"/>
            </a:rPr>
            <a:t>│   │   Developer workflow artifacts and collaboration history.</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HIST-INTERACT</a:t>
          </a:r>
          <a:endParaRPr/>
        </a:p>
        <a:p>
          <a:pPr marL="0" indent="0" algn="l">
            <a:spcBef>
              <a:spcPts val="0"/>
            </a:spcBef>
            <a:spcAft>
              <a:spcPts val="0"/>
            </a:spcAft>
            <a:buNone/>
          </a:pPr>
          <a:r>
            <a:rPr sz="1100">
              <a:solidFill>
                <a:schemeClr val="dk1"/>
              </a:solidFill>
              <a:latin typeface="Calibri"/>
              <a:ea typeface="Calibri"/>
              <a:cs typeface="Calibri"/>
            </a:rPr>
            <a:t>│       Prior interaction rounds between user and LLM.</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5. Semantic Context (SEM)</a:t>
          </a:r>
          <a:endParaRPr/>
        </a:p>
        <a:p>
          <a:pPr marL="0" indent="0" algn="l">
            <a:spcBef>
              <a:spcPts val="0"/>
            </a:spcBef>
            <a:spcAft>
              <a:spcPts val="0"/>
            </a:spcAft>
            <a:buNone/>
          </a:pPr>
          <a:r>
            <a:rPr sz="1100">
              <a:solidFill>
                <a:schemeClr val="dk1"/>
              </a:solidFill>
              <a:latin typeface="Calibri"/>
              <a:ea typeface="Calibri"/>
              <a:cs typeface="Calibri"/>
            </a:rPr>
            <a:t>│   Abstract representations capturing meaning or intent.</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SEM-ABSTRACT</a:t>
          </a:r>
          <a:endParaRPr/>
        </a:p>
        <a:p>
          <a:pPr marL="0" indent="0" algn="l">
            <a:spcBef>
              <a:spcPts val="0"/>
            </a:spcBef>
            <a:spcAft>
              <a:spcPts val="0"/>
            </a:spcAft>
            <a:buNone/>
          </a:pPr>
          <a:r>
            <a:rPr sz="1100">
              <a:solidFill>
                <a:schemeClr val="dk1"/>
              </a:solidFill>
              <a:latin typeface="Calibri"/>
              <a:ea typeface="Calibri"/>
              <a:cs typeface="Calibri"/>
            </a:rPr>
            <a:t>│   │   Semantic summaries or higher-level program abstractions.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SEM-INTENT</a:t>
          </a:r>
          <a:endParaRPr/>
        </a:p>
        <a:p>
          <a:pPr marL="0" indent="0" algn="l">
            <a:spcBef>
              <a:spcPts val="0"/>
            </a:spcBef>
            <a:spcAft>
              <a:spcPts val="0"/>
            </a:spcAft>
            <a:buNone/>
          </a:pPr>
          <a:r>
            <a:rPr sz="1100">
              <a:solidFill>
                <a:schemeClr val="dk1"/>
              </a:solidFill>
              <a:latin typeface="Calibri"/>
              <a:ea typeface="Calibri"/>
              <a:cs typeface="Calibri"/>
            </a:rPr>
            <a:t>│   │   Explicit representation of task or developer goals.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SEM-EXPLANATION</a:t>
          </a:r>
          <a:endParaRPr/>
        </a:p>
        <a:p>
          <a:pPr marL="0" indent="0" algn="l">
            <a:spcBef>
              <a:spcPts val="0"/>
            </a:spcBef>
            <a:spcAft>
              <a:spcPts val="0"/>
            </a:spcAft>
            <a:buNone/>
          </a:pPr>
          <a:r>
            <a:rPr sz="1100">
              <a:solidFill>
                <a:schemeClr val="dk1"/>
              </a:solidFill>
              <a:latin typeface="Calibri"/>
              <a:ea typeface="Calibri"/>
              <a:cs typeface="Calibri"/>
            </a:rPr>
            <a:t>│   │   Reasoning traces or explanatory artifacts used as context.</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SEM-FEEDBACK</a:t>
          </a:r>
          <a:endParaRPr/>
        </a:p>
        <a:p>
          <a:pPr marL="0" indent="0" algn="l">
            <a:spcBef>
              <a:spcPts val="0"/>
            </a:spcBef>
            <a:spcAft>
              <a:spcPts val="0"/>
            </a:spcAft>
            <a:buNone/>
          </a:pPr>
          <a:r>
            <a:rPr sz="1100">
              <a:solidFill>
                <a:schemeClr val="dk1"/>
              </a:solidFill>
              <a:latin typeface="Calibri"/>
              <a:ea typeface="Calibri"/>
              <a:cs typeface="Calibri"/>
            </a:rPr>
            <a:t>│       Evaluation or correction signals guiding refinement.</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6. Testing &amp; Execution Context (TEST)</a:t>
          </a:r>
          <a:endParaRPr/>
        </a:p>
        <a:p>
          <a:pPr marL="0" indent="0" algn="l">
            <a:spcBef>
              <a:spcPts val="0"/>
            </a:spcBef>
            <a:spcAft>
              <a:spcPts val="0"/>
            </a:spcAft>
            <a:buNone/>
          </a:pPr>
          <a:r>
            <a:rPr sz="1100">
              <a:solidFill>
                <a:schemeClr val="dk1"/>
              </a:solidFill>
              <a:latin typeface="Calibri"/>
              <a:ea typeface="Calibri"/>
              <a:cs typeface="Calibri"/>
            </a:rPr>
            <a:t>    Context obtained from program execution or testing artifacts.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TEST-EXEC</a:t>
          </a:r>
          <a:endParaRPr/>
        </a:p>
        <a:p>
          <a:pPr marL="0" indent="0" algn="l">
            <a:spcBef>
              <a:spcPts val="0"/>
            </a:spcBef>
            <a:spcAft>
              <a:spcPts val="0"/>
            </a:spcAft>
            <a:buNone/>
          </a:pPr>
          <a:r>
            <a:rPr sz="1100">
              <a:solidFill>
                <a:schemeClr val="dk1"/>
              </a:solidFill>
              <a:latin typeface="Calibri"/>
              <a:ea typeface="Calibri"/>
              <a:cs typeface="Calibri"/>
            </a:rPr>
            <a:t>    │   Runtime feedback such as failures, traces, or generated tests.</a:t>
          </a:r>
          <a:endParaRPr/>
        </a:p>
        <a:p>
          <a:pPr marL="0" marR="0" indent="0" algn="l">
            <a:lnSpc>
              <a:spcPct val="100000"/>
            </a:lnSpc>
            <a:spcBef>
              <a:spcPts val="0"/>
            </a:spcBef>
            <a:spcAft>
              <a:spcPts val="0"/>
            </a:spcAft>
            <a:buSzPts val="1100"/>
            <a:buFont typeface="Arial"/>
            <a:buNone/>
          </a:pPr>
          <a:r>
            <a:rPr sz="1100">
              <a:solidFill>
                <a:schemeClr val="dk1"/>
              </a:solidFill>
              <a:latin typeface="Calibri"/>
              <a:ea typeface="Calibri"/>
              <a:cs typeface="Calibri"/>
            </a:rPr>
            <a:t>    |── TEST-IO</a:t>
          </a:r>
          <a:endParaRPr/>
        </a:p>
        <a:p>
          <a:pPr marL="0" marR="0" indent="0" algn="l">
            <a:lnSpc>
              <a:spcPct val="100000"/>
            </a:lnSpc>
            <a:spcBef>
              <a:spcPts val="0"/>
            </a:spcBef>
            <a:spcAft>
              <a:spcPts val="0"/>
            </a:spcAft>
            <a:buSzPts val="1100"/>
            <a:buFont typeface="Arial"/>
            <a:buNone/>
          </a:pPr>
          <a:r>
            <a:rPr sz="1100">
              <a:solidFill>
                <a:schemeClr val="dk1"/>
              </a:solidFill>
              <a:latin typeface="Calibri"/>
              <a:ea typeface="Calibri"/>
              <a:cs typeface="Calibri"/>
            </a:rPr>
            <a:t>    |.     Pairs of expected Input/output </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TEST-CODE</a:t>
          </a:r>
          <a:endParaRPr/>
        </a:p>
        <a:p>
          <a:pPr marL="0" indent="0" algn="l">
            <a:spcBef>
              <a:spcPts val="0"/>
            </a:spcBef>
            <a:spcAft>
              <a:spcPts val="0"/>
            </a:spcAft>
            <a:buNone/>
          </a:pPr>
          <a:r>
            <a:rPr sz="1100">
              <a:solidFill>
                <a:schemeClr val="dk1"/>
              </a:solidFill>
              <a:latin typeface="Calibri"/>
              <a:ea typeface="Calibri"/>
              <a:cs typeface="Calibri"/>
            </a:rPr>
            <a:t>        Existing test suites provided as input context.</a:t>
          </a:r>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6</xdr:col>
      <xdr:colOff>590550</xdr:colOff>
      <xdr:row>0</xdr:row>
      <xdr:rowOff>76200</xdr:rowOff>
    </xdr:from>
    <xdr:ext cx="5210175" cy="14735175"/>
    <xdr:sp macro="" textlink="">
      <xdr:nvSpPr>
        <xdr:cNvPr id="2" name="Shape 6">
          <a:extLst>
            <a:ext uri="{FF2B5EF4-FFF2-40B4-BE49-F238E27FC236}">
              <a16:creationId xmlns:a16="http://schemas.microsoft.com/office/drawing/2014/main" id="{00000000-0008-0000-0400-000002000000}"/>
            </a:ext>
          </a:extLst>
        </xdr:cNvPr>
        <xdr:cNvSpPr>
          <a:spLocks noGrp="1"/>
        </xdr:cNvSpPr>
      </xdr:nvSpPr>
      <xdr:spPr>
        <a:xfrm>
          <a:off x="2745675" y="0"/>
          <a:ext cx="5200650" cy="7560000"/>
        </a:xfrm>
        <a:prstGeom prst="rect">
          <a:avLst/>
        </a:prstGeom>
        <a:solidFill>
          <a:srgbClr val="FBD4B4"/>
        </a:solidFill>
        <a:ln w="9525" cap="flat">
          <a:solidFill>
            <a:srgbClr val="BABABA"/>
          </a:solidFill>
          <a:prstDash val="solid"/>
          <a:round/>
          <a:headEnd type="none" w="sm" len="sm"/>
          <a:tailEnd type="none" w="sm" len="sm"/>
        </a:ln>
      </xdr:spPr>
      <xdr:txBody>
        <a:bodyPr spcFirstLastPara="1" wrap="square" lIns="91425" tIns="45700" rIns="91425" bIns="45700" anchor="t">
          <a:noAutofit/>
        </a:bodyPr>
        <a:lstStyle/>
        <a:p>
          <a:pPr marL="0" indent="0" algn="l">
            <a:spcBef>
              <a:spcPts val="0"/>
            </a:spcBef>
            <a:spcAft>
              <a:spcPts val="0"/>
            </a:spcAft>
            <a:buNone/>
          </a:pPr>
          <a:r>
            <a:rPr sz="1100">
              <a:solidFill>
                <a:schemeClr val="dk1"/>
              </a:solidFill>
              <a:latin typeface="Calibri"/>
              <a:ea typeface="Calibri"/>
              <a:cs typeface="Calibri"/>
            </a:rPr>
            <a:t>Context Provided to LLM</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1. Local Code Context (LC)</a:t>
          </a:r>
          <a:endParaRPr/>
        </a:p>
        <a:p>
          <a:pPr marL="0" indent="0" algn="l">
            <a:spcBef>
              <a:spcPts val="0"/>
            </a:spcBef>
            <a:spcAft>
              <a:spcPts val="0"/>
            </a:spcAft>
            <a:buNone/>
          </a:pPr>
          <a:r>
            <a:rPr sz="1100">
              <a:solidFill>
                <a:schemeClr val="dk1"/>
              </a:solidFill>
              <a:latin typeface="Calibri"/>
              <a:ea typeface="Calibri"/>
              <a:cs typeface="Calibri"/>
            </a:rPr>
            <a:t>│   Direct program representation given to the model.</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LC-SUBSRC</a:t>
          </a:r>
          <a:endParaRPr/>
        </a:p>
        <a:p>
          <a:pPr marL="0" indent="0" algn="l">
            <a:spcBef>
              <a:spcPts val="0"/>
            </a:spcBef>
            <a:spcAft>
              <a:spcPts val="0"/>
            </a:spcAft>
            <a:buNone/>
          </a:pPr>
          <a:r>
            <a:rPr sz="1100">
              <a:solidFill>
                <a:schemeClr val="dk1"/>
              </a:solidFill>
              <a:latin typeface="Calibri"/>
              <a:ea typeface="Calibri"/>
              <a:cs typeface="Calibri"/>
            </a:rPr>
            <a:t>│   │   Partial source code smaller than a full function.</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LC-FUNC</a:t>
          </a:r>
          <a:endParaRPr/>
        </a:p>
        <a:p>
          <a:pPr marL="0" indent="0" algn="l">
            <a:spcBef>
              <a:spcPts val="0"/>
            </a:spcBef>
            <a:spcAft>
              <a:spcPts val="0"/>
            </a:spcAft>
            <a:buNone/>
          </a:pPr>
          <a:r>
            <a:rPr sz="1100">
              <a:solidFill>
                <a:schemeClr val="dk1"/>
              </a:solidFill>
              <a:latin typeface="Calibri"/>
              <a:ea typeface="Calibri"/>
              <a:cs typeface="Calibri"/>
            </a:rPr>
            <a:t>│   │   A complete function or method body.</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LC-STRUCT</a:t>
          </a:r>
          <a:endParaRPr/>
        </a:p>
        <a:p>
          <a:pPr marL="0" indent="0" algn="l">
            <a:spcBef>
              <a:spcPts val="0"/>
            </a:spcBef>
            <a:spcAft>
              <a:spcPts val="0"/>
            </a:spcAft>
            <a:buNone/>
          </a:pPr>
          <a:r>
            <a:rPr sz="1100">
              <a:solidFill>
                <a:schemeClr val="dk1"/>
              </a:solidFill>
              <a:latin typeface="Calibri"/>
              <a:ea typeface="Calibri"/>
              <a:cs typeface="Calibri"/>
            </a:rPr>
            <a:t>│   │   Larger structural unit such as class, module, or file.</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LC-IR</a:t>
          </a:r>
          <a:endParaRPr/>
        </a:p>
        <a:p>
          <a:pPr marL="0" indent="0" algn="l">
            <a:spcBef>
              <a:spcPts val="0"/>
            </a:spcBef>
            <a:spcAft>
              <a:spcPts val="0"/>
            </a:spcAft>
            <a:buNone/>
          </a:pPr>
          <a:r>
            <a:rPr sz="1100">
              <a:solidFill>
                <a:schemeClr val="dk1"/>
              </a:solidFill>
              <a:latin typeface="Calibri"/>
              <a:ea typeface="Calibri"/>
              <a:cs typeface="Calibri"/>
            </a:rPr>
            <a:t>│       Non-source representation of code (AST, bytecode, IR).</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2. Structural Expansion Context (SE)</a:t>
          </a:r>
          <a:endParaRPr/>
        </a:p>
        <a:p>
          <a:pPr marL="0" indent="0" algn="l">
            <a:spcBef>
              <a:spcPts val="0"/>
            </a:spcBef>
            <a:spcAft>
              <a:spcPts val="0"/>
            </a:spcAft>
            <a:buNone/>
          </a:pPr>
          <a:r>
            <a:rPr sz="1100">
              <a:solidFill>
                <a:schemeClr val="dk1"/>
              </a:solidFill>
              <a:latin typeface="Calibri"/>
              <a:ea typeface="Calibri"/>
              <a:cs typeface="Calibri"/>
            </a:rPr>
            <a:t>│   Context derived from program analysis or structural modeling.</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SE-ANALYSIS</a:t>
          </a:r>
          <a:endParaRPr/>
        </a:p>
        <a:p>
          <a:pPr marL="0" indent="0" algn="l">
            <a:spcBef>
              <a:spcPts val="0"/>
            </a:spcBef>
            <a:spcAft>
              <a:spcPts val="0"/>
            </a:spcAft>
            <a:buNone/>
          </a:pPr>
          <a:r>
            <a:rPr sz="1100">
              <a:solidFill>
                <a:schemeClr val="dk1"/>
              </a:solidFill>
              <a:latin typeface="Calibri"/>
              <a:ea typeface="Calibri"/>
              <a:cs typeface="Calibri"/>
            </a:rPr>
            <a:t>│   │   Static-analysis or type-system information augmenting code.</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SE-GRAPH</a:t>
          </a:r>
          <a:endParaRPr/>
        </a:p>
        <a:p>
          <a:pPr marL="0" indent="0" algn="l">
            <a:spcBef>
              <a:spcPts val="0"/>
            </a:spcBef>
            <a:spcAft>
              <a:spcPts val="0"/>
            </a:spcAft>
            <a:buNone/>
          </a:pPr>
          <a:r>
            <a:rPr sz="1100">
              <a:solidFill>
                <a:schemeClr val="dk1"/>
              </a:solidFill>
              <a:latin typeface="Calibri"/>
              <a:ea typeface="Calibri"/>
              <a:cs typeface="Calibri"/>
            </a:rPr>
            <a:t>│       Graph representations exposing program dependencies.</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3. Documentation &amp; Retrieval Context (DOC / RET)</a:t>
          </a:r>
          <a:endParaRPr/>
        </a:p>
        <a:p>
          <a:pPr marL="0" indent="0" algn="l">
            <a:spcBef>
              <a:spcPts val="0"/>
            </a:spcBef>
            <a:spcAft>
              <a:spcPts val="0"/>
            </a:spcAft>
            <a:buNone/>
          </a:pPr>
          <a:r>
            <a:rPr sz="1100">
              <a:solidFill>
                <a:schemeClr val="dk1"/>
              </a:solidFill>
              <a:latin typeface="Calibri"/>
              <a:ea typeface="Calibri"/>
              <a:cs typeface="Calibri"/>
            </a:rPr>
            <a:t>│   Non-code artifacts or externally retrieved knowledge.</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DOC-NL</a:t>
          </a:r>
          <a:endParaRPr/>
        </a:p>
        <a:p>
          <a:pPr marL="0" indent="0" algn="l">
            <a:spcBef>
              <a:spcPts val="0"/>
            </a:spcBef>
            <a:spcAft>
              <a:spcPts val="0"/>
            </a:spcAft>
            <a:buNone/>
          </a:pPr>
          <a:r>
            <a:rPr sz="1100">
              <a:solidFill>
                <a:schemeClr val="dk1"/>
              </a:solidFill>
              <a:latin typeface="Calibri"/>
              <a:ea typeface="Calibri"/>
              <a:cs typeface="Calibri"/>
            </a:rPr>
            <a:t>│   │   Human-written natural-language artifacts about the code.</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DOC-SPEC</a:t>
          </a:r>
          <a:endParaRPr/>
        </a:p>
        <a:p>
          <a:pPr marL="0" indent="0" algn="l">
            <a:spcBef>
              <a:spcPts val="0"/>
            </a:spcBef>
            <a:spcAft>
              <a:spcPts val="0"/>
            </a:spcAft>
            <a:buNone/>
          </a:pPr>
          <a:r>
            <a:rPr sz="1100">
              <a:solidFill>
                <a:schemeClr val="dk1"/>
              </a:solidFill>
              <a:latin typeface="Calibri"/>
              <a:ea typeface="Calibri"/>
              <a:cs typeface="Calibri"/>
            </a:rPr>
            <a:t>│   │   Formal specifications, APIs, rules, or standards.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RET-CODE</a:t>
          </a:r>
          <a:endParaRPr/>
        </a:p>
        <a:p>
          <a:pPr marL="0" indent="0" algn="l">
            <a:spcBef>
              <a:spcPts val="0"/>
            </a:spcBef>
            <a:spcAft>
              <a:spcPts val="0"/>
            </a:spcAft>
            <a:buNone/>
          </a:pPr>
          <a:r>
            <a:rPr sz="1100">
              <a:solidFill>
                <a:schemeClr val="dk1"/>
              </a:solidFill>
              <a:latin typeface="Calibri"/>
              <a:ea typeface="Calibri"/>
              <a:cs typeface="Calibri"/>
            </a:rPr>
            <a:t>│   │   Code retrieved from repositories or datasets to extend context.</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RET-KB</a:t>
          </a:r>
          <a:endParaRPr/>
        </a:p>
        <a:p>
          <a:pPr marL="0" indent="0" algn="l">
            <a:spcBef>
              <a:spcPts val="0"/>
            </a:spcBef>
            <a:spcAft>
              <a:spcPts val="0"/>
            </a:spcAft>
            <a:buNone/>
          </a:pPr>
          <a:r>
            <a:rPr sz="1100">
              <a:solidFill>
                <a:schemeClr val="dk1"/>
              </a:solidFill>
              <a:latin typeface="Calibri"/>
              <a:ea typeface="Calibri"/>
              <a:cs typeface="Calibri"/>
            </a:rPr>
            <a:t>│       Knowledge retrieved from curated external databases.</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4. Historical / Temporal Context (HIST)</a:t>
          </a:r>
          <a:endParaRPr/>
        </a:p>
        <a:p>
          <a:pPr marL="0" indent="0" algn="l">
            <a:spcBef>
              <a:spcPts val="0"/>
            </a:spcBef>
            <a:spcAft>
              <a:spcPts val="0"/>
            </a:spcAft>
            <a:buNone/>
          </a:pPr>
          <a:r>
            <a:rPr sz="1100">
              <a:solidFill>
                <a:schemeClr val="dk1"/>
              </a:solidFill>
              <a:latin typeface="Calibri"/>
              <a:ea typeface="Calibri"/>
              <a:cs typeface="Calibri"/>
            </a:rPr>
            <a:t>│   Information derived from software evolution and development history.</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HIST-CHANGE</a:t>
          </a:r>
          <a:endParaRPr/>
        </a:p>
        <a:p>
          <a:pPr marL="0" indent="0" algn="l">
            <a:spcBef>
              <a:spcPts val="0"/>
            </a:spcBef>
            <a:spcAft>
              <a:spcPts val="0"/>
            </a:spcAft>
            <a:buNone/>
          </a:pPr>
          <a:r>
            <a:rPr sz="1100">
              <a:solidFill>
                <a:schemeClr val="dk1"/>
              </a:solidFill>
              <a:latin typeface="Calibri"/>
              <a:ea typeface="Calibri"/>
              <a:cs typeface="Calibri"/>
            </a:rPr>
            <a:t>│   │   Version differences, patches, or past code fixes.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HIST-DEV</a:t>
          </a:r>
          <a:endParaRPr/>
        </a:p>
        <a:p>
          <a:pPr marL="0" indent="0" algn="l">
            <a:spcBef>
              <a:spcPts val="0"/>
            </a:spcBef>
            <a:spcAft>
              <a:spcPts val="0"/>
            </a:spcAft>
            <a:buNone/>
          </a:pPr>
          <a:r>
            <a:rPr sz="1100">
              <a:solidFill>
                <a:schemeClr val="dk1"/>
              </a:solidFill>
              <a:latin typeface="Calibri"/>
              <a:ea typeface="Calibri"/>
              <a:cs typeface="Calibri"/>
            </a:rPr>
            <a:t>│   │   Developer workflow artifacts and collaboration history.</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HIST-INTERACT</a:t>
          </a:r>
          <a:endParaRPr/>
        </a:p>
        <a:p>
          <a:pPr marL="0" indent="0" algn="l">
            <a:spcBef>
              <a:spcPts val="0"/>
            </a:spcBef>
            <a:spcAft>
              <a:spcPts val="0"/>
            </a:spcAft>
            <a:buNone/>
          </a:pPr>
          <a:r>
            <a:rPr sz="1100">
              <a:solidFill>
                <a:schemeClr val="dk1"/>
              </a:solidFill>
              <a:latin typeface="Calibri"/>
              <a:ea typeface="Calibri"/>
              <a:cs typeface="Calibri"/>
            </a:rPr>
            <a:t>│       Prior interaction rounds between user and LLM.</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5. Semantic Context (SEM)</a:t>
          </a:r>
          <a:endParaRPr/>
        </a:p>
        <a:p>
          <a:pPr marL="0" indent="0" algn="l">
            <a:spcBef>
              <a:spcPts val="0"/>
            </a:spcBef>
            <a:spcAft>
              <a:spcPts val="0"/>
            </a:spcAft>
            <a:buNone/>
          </a:pPr>
          <a:r>
            <a:rPr sz="1100">
              <a:solidFill>
                <a:schemeClr val="dk1"/>
              </a:solidFill>
              <a:latin typeface="Calibri"/>
              <a:ea typeface="Calibri"/>
              <a:cs typeface="Calibri"/>
            </a:rPr>
            <a:t>│   Abstract representations capturing meaning or intent.</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 SEM-ABSTRACT</a:t>
          </a:r>
          <a:endParaRPr/>
        </a:p>
        <a:p>
          <a:pPr marL="0" indent="0" algn="l">
            <a:spcBef>
              <a:spcPts val="0"/>
            </a:spcBef>
            <a:spcAft>
              <a:spcPts val="0"/>
            </a:spcAft>
            <a:buNone/>
          </a:pPr>
          <a:r>
            <a:rPr sz="1100">
              <a:solidFill>
                <a:schemeClr val="dk1"/>
              </a:solidFill>
              <a:latin typeface="Calibri"/>
              <a:ea typeface="Calibri"/>
              <a:cs typeface="Calibri"/>
            </a:rPr>
            <a:t>│   │   Semantic summaries or higher-level program abstractions.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SEM-INTENT</a:t>
          </a:r>
          <a:endParaRPr/>
        </a:p>
        <a:p>
          <a:pPr marL="0" indent="0" algn="l">
            <a:spcBef>
              <a:spcPts val="0"/>
            </a:spcBef>
            <a:spcAft>
              <a:spcPts val="0"/>
            </a:spcAft>
            <a:buNone/>
          </a:pPr>
          <a:r>
            <a:rPr sz="1100">
              <a:solidFill>
                <a:schemeClr val="dk1"/>
              </a:solidFill>
              <a:latin typeface="Calibri"/>
              <a:ea typeface="Calibri"/>
              <a:cs typeface="Calibri"/>
            </a:rPr>
            <a:t>│   │   Explicit representation of task or developer goals.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SEM-EXPLANATION</a:t>
          </a:r>
          <a:endParaRPr/>
        </a:p>
        <a:p>
          <a:pPr marL="0" indent="0" algn="l">
            <a:spcBef>
              <a:spcPts val="0"/>
            </a:spcBef>
            <a:spcAft>
              <a:spcPts val="0"/>
            </a:spcAft>
            <a:buNone/>
          </a:pPr>
          <a:r>
            <a:rPr sz="1100">
              <a:solidFill>
                <a:schemeClr val="dk1"/>
              </a:solidFill>
              <a:latin typeface="Calibri"/>
              <a:ea typeface="Calibri"/>
              <a:cs typeface="Calibri"/>
            </a:rPr>
            <a:t>│   │   Reasoning traces or explanatory artifacts used as context.</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SEM-FEEDBACK</a:t>
          </a:r>
          <a:endParaRPr/>
        </a:p>
        <a:p>
          <a:pPr marL="0" indent="0" algn="l">
            <a:spcBef>
              <a:spcPts val="0"/>
            </a:spcBef>
            <a:spcAft>
              <a:spcPts val="0"/>
            </a:spcAft>
            <a:buNone/>
          </a:pPr>
          <a:r>
            <a:rPr sz="1100">
              <a:solidFill>
                <a:schemeClr val="dk1"/>
              </a:solidFill>
              <a:latin typeface="Calibri"/>
              <a:ea typeface="Calibri"/>
              <a:cs typeface="Calibri"/>
            </a:rPr>
            <a:t>│       Evaluation or correction signals guiding refinement.</a:t>
          </a:r>
          <a:endParaRPr/>
        </a:p>
        <a:p>
          <a:pPr marL="0" indent="0" algn="l">
            <a:spcBef>
              <a:spcPts val="0"/>
            </a:spcBef>
            <a:spcAft>
              <a:spcPts val="0"/>
            </a:spcAft>
            <a:buNone/>
          </a:pPr>
          <a:r>
            <a:rPr sz="1100">
              <a:solidFill>
                <a:schemeClr val="dk1"/>
              </a:solidFill>
              <a:latin typeface="Calibri"/>
              <a:ea typeface="Calibri"/>
              <a:cs typeface="Calibri"/>
            </a:rPr>
            <a:t>│</a:t>
          </a:r>
          <a:endParaRPr/>
        </a:p>
        <a:p>
          <a:pPr marL="0" indent="0" algn="l">
            <a:spcBef>
              <a:spcPts val="0"/>
            </a:spcBef>
            <a:spcAft>
              <a:spcPts val="0"/>
            </a:spcAft>
            <a:buNone/>
          </a:pPr>
          <a:r>
            <a:rPr sz="1100">
              <a:solidFill>
                <a:schemeClr val="dk1"/>
              </a:solidFill>
              <a:latin typeface="Calibri"/>
              <a:ea typeface="Calibri"/>
              <a:cs typeface="Calibri"/>
            </a:rPr>
            <a:t>└── 6. Testing &amp; Execution Context (TEST)</a:t>
          </a:r>
          <a:endParaRPr/>
        </a:p>
        <a:p>
          <a:pPr marL="0" indent="0" algn="l">
            <a:spcBef>
              <a:spcPts val="0"/>
            </a:spcBef>
            <a:spcAft>
              <a:spcPts val="0"/>
            </a:spcAft>
            <a:buNone/>
          </a:pPr>
          <a:r>
            <a:rPr sz="1100">
              <a:solidFill>
                <a:schemeClr val="dk1"/>
              </a:solidFill>
              <a:latin typeface="Calibri"/>
              <a:ea typeface="Calibri"/>
              <a:cs typeface="Calibri"/>
            </a:rPr>
            <a:t>    Context obtained from program execution or testing artifacts.</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TEST-EXEC</a:t>
          </a:r>
          <a:endParaRPr/>
        </a:p>
        <a:p>
          <a:pPr marL="0" indent="0" algn="l">
            <a:spcBef>
              <a:spcPts val="0"/>
            </a:spcBef>
            <a:spcAft>
              <a:spcPts val="0"/>
            </a:spcAft>
            <a:buNone/>
          </a:pPr>
          <a:r>
            <a:rPr sz="1100">
              <a:solidFill>
                <a:schemeClr val="dk1"/>
              </a:solidFill>
              <a:latin typeface="Calibri"/>
              <a:ea typeface="Calibri"/>
              <a:cs typeface="Calibri"/>
            </a:rPr>
            <a:t>    │   Runtime feedback such as failures, traces, or generated tests.</a:t>
          </a:r>
          <a:endParaRPr/>
        </a:p>
        <a:p>
          <a:pPr marL="0" marR="0" indent="0" algn="l">
            <a:lnSpc>
              <a:spcPct val="100000"/>
            </a:lnSpc>
            <a:spcBef>
              <a:spcPts val="0"/>
            </a:spcBef>
            <a:spcAft>
              <a:spcPts val="0"/>
            </a:spcAft>
            <a:buSzPts val="1100"/>
            <a:buFont typeface="Arial"/>
            <a:buNone/>
          </a:pPr>
          <a:r>
            <a:rPr sz="1100">
              <a:solidFill>
                <a:schemeClr val="dk1"/>
              </a:solidFill>
              <a:latin typeface="Calibri"/>
              <a:ea typeface="Calibri"/>
              <a:cs typeface="Calibri"/>
            </a:rPr>
            <a:t>    |── TEST-IO</a:t>
          </a:r>
          <a:endParaRPr/>
        </a:p>
        <a:p>
          <a:pPr marL="0" marR="0" indent="0" algn="l">
            <a:lnSpc>
              <a:spcPct val="100000"/>
            </a:lnSpc>
            <a:spcBef>
              <a:spcPts val="0"/>
            </a:spcBef>
            <a:spcAft>
              <a:spcPts val="0"/>
            </a:spcAft>
            <a:buSzPts val="1100"/>
            <a:buFont typeface="Arial"/>
            <a:buNone/>
          </a:pPr>
          <a:r>
            <a:rPr sz="1100">
              <a:solidFill>
                <a:schemeClr val="dk1"/>
              </a:solidFill>
              <a:latin typeface="Calibri"/>
              <a:ea typeface="Calibri"/>
              <a:cs typeface="Calibri"/>
            </a:rPr>
            <a:t>    |.     Pairs of expected Input/output </a:t>
          </a:r>
          <a:endParaRPr/>
        </a:p>
        <a:p>
          <a:pPr marL="0" indent="0" algn="l">
            <a:spcBef>
              <a:spcPts val="0"/>
            </a:spcBef>
            <a:spcAft>
              <a:spcPts val="0"/>
            </a:spcAft>
            <a:buNone/>
          </a:pPr>
          <a:r>
            <a:rPr sz="1100">
              <a:solidFill>
                <a:schemeClr val="dk1"/>
              </a:solidFill>
              <a:latin typeface="Calibri"/>
              <a:ea typeface="Calibri"/>
              <a:cs typeface="Calibri"/>
            </a:rPr>
            <a:t>    │</a:t>
          </a:r>
          <a:endParaRPr/>
        </a:p>
        <a:p>
          <a:pPr marL="0" indent="0" algn="l">
            <a:spcBef>
              <a:spcPts val="0"/>
            </a:spcBef>
            <a:spcAft>
              <a:spcPts val="0"/>
            </a:spcAft>
            <a:buNone/>
          </a:pPr>
          <a:r>
            <a:rPr sz="1100">
              <a:solidFill>
                <a:schemeClr val="dk1"/>
              </a:solidFill>
              <a:latin typeface="Calibri"/>
              <a:ea typeface="Calibri"/>
              <a:cs typeface="Calibri"/>
            </a:rPr>
            <a:t>    └── TEST-CODE</a:t>
          </a:r>
          <a:endParaRPr/>
        </a:p>
        <a:p>
          <a:pPr marL="0" indent="0" algn="l">
            <a:spcBef>
              <a:spcPts val="0"/>
            </a:spcBef>
            <a:spcAft>
              <a:spcPts val="0"/>
            </a:spcAft>
            <a:buNone/>
          </a:pPr>
          <a:r>
            <a:rPr sz="1100">
              <a:solidFill>
                <a:schemeClr val="dk1"/>
              </a:solidFill>
              <a:latin typeface="Calibri"/>
              <a:ea typeface="Calibri"/>
              <a:cs typeface="Calibri"/>
            </a:rPr>
            <a:t>        Existing test suites provided as input context.</a:t>
          </a:r>
          <a:endParaRPr/>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3" Type="http://schemas.openxmlformats.org/officeDocument/2006/relationships/hyperlink" Target="https://dl.acm.org/doi/10.1145/3728930" TargetMode="External"/><Relationship Id="rId18" Type="http://schemas.openxmlformats.org/officeDocument/2006/relationships/hyperlink" Target="https://dl.acm.org/doi/10.1145/3691620.3695066" TargetMode="External"/><Relationship Id="rId26" Type="http://schemas.openxmlformats.org/officeDocument/2006/relationships/hyperlink" Target="https://dl.acm.org/doi/10.1145/3650212.3680397" TargetMode="External"/><Relationship Id="rId39" Type="http://schemas.openxmlformats.org/officeDocument/2006/relationships/hyperlink" Target="https://dl.acm.org/doi/10.1145/3650212.3680323" TargetMode="External"/><Relationship Id="rId21" Type="http://schemas.openxmlformats.org/officeDocument/2006/relationships/hyperlink" Target="https://dl.acm.org/doi/10.1145/3729366" TargetMode="External"/><Relationship Id="rId34" Type="http://schemas.openxmlformats.org/officeDocument/2006/relationships/hyperlink" Target="https://dl.acm.org/doi/10.1145/3691620.3695299" TargetMode="External"/><Relationship Id="rId7" Type="http://schemas.openxmlformats.org/officeDocument/2006/relationships/hyperlink" Target="https://ieeexplore.ieee.org/document/11029774/" TargetMode="External"/><Relationship Id="rId12" Type="http://schemas.openxmlformats.org/officeDocument/2006/relationships/hyperlink" Target="https://dl.acm.org/doi/10.1145/3691620.3695529" TargetMode="External"/><Relationship Id="rId17" Type="http://schemas.openxmlformats.org/officeDocument/2006/relationships/hyperlink" Target="https://dl.acm.org/doi/10.1145/3691620.3695526" TargetMode="External"/><Relationship Id="rId25" Type="http://schemas.openxmlformats.org/officeDocument/2006/relationships/hyperlink" Target="https://dl.acm.org/doi/10.1145/3713081.3731741" TargetMode="External"/><Relationship Id="rId33" Type="http://schemas.openxmlformats.org/officeDocument/2006/relationships/hyperlink" Target="https://dl.acm.org/doi/10.1145/3715737" TargetMode="External"/><Relationship Id="rId38" Type="http://schemas.openxmlformats.org/officeDocument/2006/relationships/hyperlink" Target="https://dl.acm.org/doi/10.1145/3597926.3598135" TargetMode="External"/><Relationship Id="rId2" Type="http://schemas.openxmlformats.org/officeDocument/2006/relationships/hyperlink" Target="https://ieeexplore.ieee.org/document/11029879/" TargetMode="External"/><Relationship Id="rId16" Type="http://schemas.openxmlformats.org/officeDocument/2006/relationships/hyperlink" Target="https://dl.acm.org/doi/10.1145/3650212.3680308" TargetMode="External"/><Relationship Id="rId20" Type="http://schemas.openxmlformats.org/officeDocument/2006/relationships/hyperlink" Target="https://dl.acm.org/doi/10.1145/3691620.3695508" TargetMode="External"/><Relationship Id="rId29" Type="http://schemas.openxmlformats.org/officeDocument/2006/relationships/hyperlink" Target="https://dl.acm.org/doi/10.1145/3691620.3695016" TargetMode="External"/><Relationship Id="rId1" Type="http://schemas.openxmlformats.org/officeDocument/2006/relationships/hyperlink" Target="https://dl.acm.org/doi/10.1145/3715764" TargetMode="External"/><Relationship Id="rId6" Type="http://schemas.openxmlformats.org/officeDocument/2006/relationships/hyperlink" Target="https://dl.acm.org/doi/10.1145/3713081.3731745" TargetMode="External"/><Relationship Id="rId11" Type="http://schemas.openxmlformats.org/officeDocument/2006/relationships/hyperlink" Target="https://dl.acm.org/doi/10.1145/3715778" TargetMode="External"/><Relationship Id="rId24" Type="http://schemas.openxmlformats.org/officeDocument/2006/relationships/hyperlink" Target="https://dl.acm.org/doi/10.1145/3713081.3732929" TargetMode="External"/><Relationship Id="rId32" Type="http://schemas.openxmlformats.org/officeDocument/2006/relationships/hyperlink" Target="https://dl.acm.org/doi/10.1145/3650212.3680369" TargetMode="External"/><Relationship Id="rId37" Type="http://schemas.openxmlformats.org/officeDocument/2006/relationships/hyperlink" Target="https://dl.acm.org/doi/10.1145/3691620.3695054" TargetMode="External"/><Relationship Id="rId40" Type="http://schemas.openxmlformats.org/officeDocument/2006/relationships/drawing" Target="../drawings/drawing2.xml"/><Relationship Id="rId5" Type="http://schemas.openxmlformats.org/officeDocument/2006/relationships/hyperlink" Target="https://dl.acm.org/doi/10.1145/3715738" TargetMode="External"/><Relationship Id="rId15" Type="http://schemas.openxmlformats.org/officeDocument/2006/relationships/hyperlink" Target="https://ieeexplore.ieee.org/document/11029966/" TargetMode="External"/><Relationship Id="rId23" Type="http://schemas.openxmlformats.org/officeDocument/2006/relationships/hyperlink" Target="https://dl.acm.org/doi/10.1145/3713081.3731746" TargetMode="External"/><Relationship Id="rId28" Type="http://schemas.openxmlformats.org/officeDocument/2006/relationships/hyperlink" Target="https://dl.acm.org/doi/10.1145/3728902" TargetMode="External"/><Relationship Id="rId36" Type="http://schemas.openxmlformats.org/officeDocument/2006/relationships/hyperlink" Target="https://dl.acm.org/doi/10.1145/3691620.3695480" TargetMode="External"/><Relationship Id="rId10" Type="http://schemas.openxmlformats.org/officeDocument/2006/relationships/hyperlink" Target="https://dl.acm.org/doi/10.1145/3691620.3695068" TargetMode="External"/><Relationship Id="rId19" Type="http://schemas.openxmlformats.org/officeDocument/2006/relationships/hyperlink" Target="https://dl.acm.org/doi/10.1145/3715716" TargetMode="External"/><Relationship Id="rId31" Type="http://schemas.openxmlformats.org/officeDocument/2006/relationships/hyperlink" Target="https://dl.acm.org/doi/10.1145/3715750" TargetMode="External"/><Relationship Id="rId4" Type="http://schemas.openxmlformats.org/officeDocument/2006/relationships/hyperlink" Target="https://ieeexplore.ieee.org/document/11029742/" TargetMode="External"/><Relationship Id="rId9" Type="http://schemas.openxmlformats.org/officeDocument/2006/relationships/hyperlink" Target="https://dl.acm.org/doi/10.1145/3729373" TargetMode="External"/><Relationship Id="rId14" Type="http://schemas.openxmlformats.org/officeDocument/2006/relationships/hyperlink" Target="https://ieeexplore.ieee.org/document/11029835/" TargetMode="External"/><Relationship Id="rId22" Type="http://schemas.openxmlformats.org/officeDocument/2006/relationships/hyperlink" Target="https://ieeexplore.ieee.org/document/11029878/" TargetMode="External"/><Relationship Id="rId27" Type="http://schemas.openxmlformats.org/officeDocument/2006/relationships/hyperlink" Target="https://dl.acm.org/doi/10.1145/3650212.3652134" TargetMode="External"/><Relationship Id="rId30" Type="http://schemas.openxmlformats.org/officeDocument/2006/relationships/hyperlink" Target="https://dl.acm.org/doi/10.1145/3650212.3685307" TargetMode="External"/><Relationship Id="rId35" Type="http://schemas.openxmlformats.org/officeDocument/2006/relationships/hyperlink" Target="https://dl.acm.org/doi/10.1109/ASE56229.2023.00065" TargetMode="External"/><Relationship Id="rId8" Type="http://schemas.openxmlformats.org/officeDocument/2006/relationships/hyperlink" Target="https://dl.acm.org/doi/10.1109/ASE56229.2023.00089" TargetMode="External"/><Relationship Id="rId3" Type="http://schemas.openxmlformats.org/officeDocument/2006/relationships/hyperlink" Target="https://dl.acm.org/doi/10.1109/ASE56229.2023.00184"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l.acm.org/doi/10.1145/3728930" TargetMode="External"/><Relationship Id="rId18" Type="http://schemas.openxmlformats.org/officeDocument/2006/relationships/hyperlink" Target="https://dl.acm.org/doi/10.1145/3691620.3695066" TargetMode="External"/><Relationship Id="rId26" Type="http://schemas.openxmlformats.org/officeDocument/2006/relationships/hyperlink" Target="https://dl.acm.org/doi/10.1145/3650212.3680397" TargetMode="External"/><Relationship Id="rId39" Type="http://schemas.openxmlformats.org/officeDocument/2006/relationships/hyperlink" Target="https://dl.acm.org/doi/10.1145/3650212.3680323" TargetMode="External"/><Relationship Id="rId21" Type="http://schemas.openxmlformats.org/officeDocument/2006/relationships/hyperlink" Target="https://dl.acm.org/doi/10.1145/3729366" TargetMode="External"/><Relationship Id="rId34" Type="http://schemas.openxmlformats.org/officeDocument/2006/relationships/hyperlink" Target="https://dl.acm.org/doi/10.1145/3691620.3695299" TargetMode="External"/><Relationship Id="rId7" Type="http://schemas.openxmlformats.org/officeDocument/2006/relationships/hyperlink" Target="https://ieeexplore.ieee.org/document/11029774/" TargetMode="External"/><Relationship Id="rId12" Type="http://schemas.openxmlformats.org/officeDocument/2006/relationships/hyperlink" Target="https://dl.acm.org/doi/10.1145/3691620.3695529" TargetMode="External"/><Relationship Id="rId17" Type="http://schemas.openxmlformats.org/officeDocument/2006/relationships/hyperlink" Target="https://dl.acm.org/doi/10.1145/3691620.3695526" TargetMode="External"/><Relationship Id="rId25" Type="http://schemas.openxmlformats.org/officeDocument/2006/relationships/hyperlink" Target="https://dl.acm.org/doi/10.1145/3713081.3731741" TargetMode="External"/><Relationship Id="rId33" Type="http://schemas.openxmlformats.org/officeDocument/2006/relationships/hyperlink" Target="https://dl.acm.org/doi/10.1145/3715737" TargetMode="External"/><Relationship Id="rId38" Type="http://schemas.openxmlformats.org/officeDocument/2006/relationships/hyperlink" Target="https://dl.acm.org/doi/10.1145/3597926.3598135" TargetMode="External"/><Relationship Id="rId2" Type="http://schemas.openxmlformats.org/officeDocument/2006/relationships/hyperlink" Target="https://ieeexplore.ieee.org/document/11029879/" TargetMode="External"/><Relationship Id="rId16" Type="http://schemas.openxmlformats.org/officeDocument/2006/relationships/hyperlink" Target="https://dl.acm.org/doi/10.1145/3650212.3680308" TargetMode="External"/><Relationship Id="rId20" Type="http://schemas.openxmlformats.org/officeDocument/2006/relationships/hyperlink" Target="https://dl.acm.org/doi/10.1145/3691620.3695508" TargetMode="External"/><Relationship Id="rId29" Type="http://schemas.openxmlformats.org/officeDocument/2006/relationships/hyperlink" Target="https://dl.acm.org/doi/10.1145/3691620.3695016" TargetMode="External"/><Relationship Id="rId1" Type="http://schemas.openxmlformats.org/officeDocument/2006/relationships/hyperlink" Target="https://dl.acm.org/doi/10.1145/3715764" TargetMode="External"/><Relationship Id="rId6" Type="http://schemas.openxmlformats.org/officeDocument/2006/relationships/hyperlink" Target="https://dl.acm.org/doi/10.1145/3713081.3731745" TargetMode="External"/><Relationship Id="rId11" Type="http://schemas.openxmlformats.org/officeDocument/2006/relationships/hyperlink" Target="https://dl.acm.org/doi/10.1145/3715778" TargetMode="External"/><Relationship Id="rId24" Type="http://schemas.openxmlformats.org/officeDocument/2006/relationships/hyperlink" Target="https://dl.acm.org/doi/10.1145/3713081.3732929" TargetMode="External"/><Relationship Id="rId32" Type="http://schemas.openxmlformats.org/officeDocument/2006/relationships/hyperlink" Target="https://dl.acm.org/doi/10.1145/3650212.3680369" TargetMode="External"/><Relationship Id="rId37" Type="http://schemas.openxmlformats.org/officeDocument/2006/relationships/hyperlink" Target="https://dl.acm.org/doi/10.1145/3691620.3695054" TargetMode="External"/><Relationship Id="rId40" Type="http://schemas.openxmlformats.org/officeDocument/2006/relationships/drawing" Target="../drawings/drawing3.xml"/><Relationship Id="rId5" Type="http://schemas.openxmlformats.org/officeDocument/2006/relationships/hyperlink" Target="https://dl.acm.org/doi/10.1145/3715738" TargetMode="External"/><Relationship Id="rId15" Type="http://schemas.openxmlformats.org/officeDocument/2006/relationships/hyperlink" Target="https://ieeexplore.ieee.org/document/11029966/" TargetMode="External"/><Relationship Id="rId23" Type="http://schemas.openxmlformats.org/officeDocument/2006/relationships/hyperlink" Target="https://dl.acm.org/doi/10.1145/3713081.3731746" TargetMode="External"/><Relationship Id="rId28" Type="http://schemas.openxmlformats.org/officeDocument/2006/relationships/hyperlink" Target="https://dl.acm.org/doi/10.1145/3728902" TargetMode="External"/><Relationship Id="rId36" Type="http://schemas.openxmlformats.org/officeDocument/2006/relationships/hyperlink" Target="https://dl.acm.org/doi/10.1145/3691620.3695480" TargetMode="External"/><Relationship Id="rId10" Type="http://schemas.openxmlformats.org/officeDocument/2006/relationships/hyperlink" Target="https://dl.acm.org/doi/10.1145/3691620.3695068" TargetMode="External"/><Relationship Id="rId19" Type="http://schemas.openxmlformats.org/officeDocument/2006/relationships/hyperlink" Target="https://dl.acm.org/doi/10.1145/3715716" TargetMode="External"/><Relationship Id="rId31" Type="http://schemas.openxmlformats.org/officeDocument/2006/relationships/hyperlink" Target="https://dl.acm.org/doi/10.1145/3715750" TargetMode="External"/><Relationship Id="rId4" Type="http://schemas.openxmlformats.org/officeDocument/2006/relationships/hyperlink" Target="https://ieeexplore.ieee.org/document/11029742/" TargetMode="External"/><Relationship Id="rId9" Type="http://schemas.openxmlformats.org/officeDocument/2006/relationships/hyperlink" Target="https://dl.acm.org/doi/10.1145/3729373" TargetMode="External"/><Relationship Id="rId14" Type="http://schemas.openxmlformats.org/officeDocument/2006/relationships/hyperlink" Target="https://ieeexplore.ieee.org/document/11029835/" TargetMode="External"/><Relationship Id="rId22" Type="http://schemas.openxmlformats.org/officeDocument/2006/relationships/hyperlink" Target="https://ieeexplore.ieee.org/document/11029878/" TargetMode="External"/><Relationship Id="rId27" Type="http://schemas.openxmlformats.org/officeDocument/2006/relationships/hyperlink" Target="https://dl.acm.org/doi/10.1145/3650212.3652134" TargetMode="External"/><Relationship Id="rId30" Type="http://schemas.openxmlformats.org/officeDocument/2006/relationships/hyperlink" Target="https://dl.acm.org/doi/10.1145/3650212.3685307" TargetMode="External"/><Relationship Id="rId35" Type="http://schemas.openxmlformats.org/officeDocument/2006/relationships/hyperlink" Target="https://dl.acm.org/doi/10.1109/ASE56229.2023.00065" TargetMode="External"/><Relationship Id="rId8" Type="http://schemas.openxmlformats.org/officeDocument/2006/relationships/hyperlink" Target="https://dl.acm.org/doi/10.1109/ASE56229.2023.00089" TargetMode="External"/><Relationship Id="rId3" Type="http://schemas.openxmlformats.org/officeDocument/2006/relationships/hyperlink" Target="https://dl.acm.org/doi/10.1109/ASE56229.2023.0018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hyperlink" Target="https://ieeexplore.ieee.org/document/110302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workbookViewId="0"/>
  </sheetViews>
  <sheetFormatPr baseColWidth="10" defaultColWidth="14.5" defaultRowHeight="15" x14ac:dyDescent="0.2"/>
  <cols>
    <col min="1" max="26" width="8.8320312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s="1" t="s">
        <v>11</v>
      </c>
      <c r="B2" s="1" t="s">
        <v>12</v>
      </c>
      <c r="C2" s="1" t="s">
        <v>13</v>
      </c>
      <c r="D2" s="1" t="s">
        <v>14</v>
      </c>
      <c r="E2" s="1" t="s">
        <v>8</v>
      </c>
      <c r="F2" s="1" t="s">
        <v>15</v>
      </c>
      <c r="G2" s="1" t="s">
        <v>16</v>
      </c>
      <c r="I2" s="1">
        <f t="shared" ref="I2:I256" si="0">IF(E2="include",1,0)</f>
        <v>1</v>
      </c>
      <c r="J2" s="1">
        <f t="shared" ref="J2:J256" si="1">IF(E2="exclude",1,0)</f>
        <v>0</v>
      </c>
      <c r="K2" s="1">
        <f t="shared" ref="K2:K256" si="2">IF(E2="uncertain",1,0)</f>
        <v>0</v>
      </c>
    </row>
    <row r="3" spans="1:11" x14ac:dyDescent="0.2">
      <c r="A3" s="1" t="s">
        <v>11</v>
      </c>
      <c r="B3" s="1" t="s">
        <v>17</v>
      </c>
      <c r="C3" s="1" t="s">
        <v>18</v>
      </c>
      <c r="D3" s="1" t="s">
        <v>19</v>
      </c>
      <c r="E3" s="1" t="s">
        <v>10</v>
      </c>
      <c r="F3" s="1" t="s">
        <v>20</v>
      </c>
      <c r="G3" s="1" t="s">
        <v>21</v>
      </c>
      <c r="I3" s="1">
        <f t="shared" si="0"/>
        <v>0</v>
      </c>
      <c r="J3" s="1">
        <f t="shared" si="1"/>
        <v>0</v>
      </c>
      <c r="K3" s="1">
        <f t="shared" si="2"/>
        <v>1</v>
      </c>
    </row>
    <row r="4" spans="1:11" x14ac:dyDescent="0.2">
      <c r="A4" s="1" t="s">
        <v>11</v>
      </c>
      <c r="B4" s="1" t="s">
        <v>22</v>
      </c>
      <c r="C4" s="1" t="s">
        <v>23</v>
      </c>
      <c r="D4" s="1" t="s">
        <v>24</v>
      </c>
      <c r="E4" s="1" t="s">
        <v>8</v>
      </c>
      <c r="F4" s="1" t="s">
        <v>25</v>
      </c>
      <c r="G4" s="1" t="s">
        <v>26</v>
      </c>
      <c r="I4" s="1">
        <f t="shared" si="0"/>
        <v>1</v>
      </c>
      <c r="J4" s="1">
        <f t="shared" si="1"/>
        <v>0</v>
      </c>
      <c r="K4" s="1">
        <f t="shared" si="2"/>
        <v>0</v>
      </c>
    </row>
    <row r="5" spans="1:11" x14ac:dyDescent="0.2">
      <c r="A5" s="1" t="s">
        <v>11</v>
      </c>
      <c r="B5" s="1" t="s">
        <v>27</v>
      </c>
      <c r="C5" s="1" t="s">
        <v>28</v>
      </c>
      <c r="D5" s="1" t="s">
        <v>29</v>
      </c>
      <c r="E5" s="1" t="s">
        <v>10</v>
      </c>
      <c r="F5" s="1" t="s">
        <v>30</v>
      </c>
      <c r="G5" s="1" t="s">
        <v>31</v>
      </c>
      <c r="I5" s="1">
        <f t="shared" si="0"/>
        <v>0</v>
      </c>
      <c r="J5" s="1">
        <f t="shared" si="1"/>
        <v>0</v>
      </c>
      <c r="K5" s="1">
        <f t="shared" si="2"/>
        <v>1</v>
      </c>
    </row>
    <row r="6" spans="1:11" x14ac:dyDescent="0.2">
      <c r="A6" s="1" t="s">
        <v>11</v>
      </c>
      <c r="B6" s="1" t="s">
        <v>32</v>
      </c>
      <c r="C6" s="1" t="s">
        <v>33</v>
      </c>
      <c r="D6" s="1" t="s">
        <v>34</v>
      </c>
      <c r="E6" s="1" t="s">
        <v>8</v>
      </c>
      <c r="F6" s="1" t="s">
        <v>35</v>
      </c>
      <c r="G6" s="1" t="s">
        <v>36</v>
      </c>
      <c r="I6" s="1">
        <f t="shared" si="0"/>
        <v>1</v>
      </c>
      <c r="J6" s="1">
        <f t="shared" si="1"/>
        <v>0</v>
      </c>
      <c r="K6" s="1">
        <f t="shared" si="2"/>
        <v>0</v>
      </c>
    </row>
    <row r="7" spans="1:11" x14ac:dyDescent="0.2">
      <c r="A7" s="1" t="s">
        <v>11</v>
      </c>
      <c r="B7" s="1" t="s">
        <v>37</v>
      </c>
      <c r="C7" s="1" t="s">
        <v>38</v>
      </c>
      <c r="D7" s="1" t="s">
        <v>39</v>
      </c>
      <c r="E7" s="1" t="s">
        <v>8</v>
      </c>
      <c r="F7" s="1" t="s">
        <v>40</v>
      </c>
      <c r="G7" s="1" t="s">
        <v>41</v>
      </c>
      <c r="I7" s="1">
        <f t="shared" si="0"/>
        <v>1</v>
      </c>
      <c r="J7" s="1">
        <f t="shared" si="1"/>
        <v>0</v>
      </c>
      <c r="K7" s="1">
        <f t="shared" si="2"/>
        <v>0</v>
      </c>
    </row>
    <row r="8" spans="1:11" x14ac:dyDescent="0.2">
      <c r="A8" s="1" t="s">
        <v>11</v>
      </c>
      <c r="B8" s="1" t="s">
        <v>42</v>
      </c>
      <c r="C8" s="1" t="s">
        <v>43</v>
      </c>
      <c r="D8" s="1" t="s">
        <v>44</v>
      </c>
      <c r="E8" s="1" t="s">
        <v>8</v>
      </c>
      <c r="F8" s="1" t="s">
        <v>45</v>
      </c>
      <c r="G8" s="1" t="s">
        <v>46</v>
      </c>
      <c r="I8" s="1">
        <f t="shared" si="0"/>
        <v>1</v>
      </c>
      <c r="J8" s="1">
        <f t="shared" si="1"/>
        <v>0</v>
      </c>
      <c r="K8" s="1">
        <f t="shared" si="2"/>
        <v>0</v>
      </c>
    </row>
    <row r="9" spans="1:11" x14ac:dyDescent="0.2">
      <c r="A9" s="1" t="s">
        <v>11</v>
      </c>
      <c r="B9" s="1" t="s">
        <v>47</v>
      </c>
      <c r="C9" s="1" t="s">
        <v>48</v>
      </c>
      <c r="D9" s="1" t="s">
        <v>49</v>
      </c>
      <c r="E9" s="1" t="s">
        <v>8</v>
      </c>
      <c r="F9" s="1" t="s">
        <v>50</v>
      </c>
      <c r="G9" s="1" t="s">
        <v>51</v>
      </c>
      <c r="I9" s="1">
        <f t="shared" si="0"/>
        <v>1</v>
      </c>
      <c r="J9" s="1">
        <f t="shared" si="1"/>
        <v>0</v>
      </c>
      <c r="K9" s="1">
        <f t="shared" si="2"/>
        <v>0</v>
      </c>
    </row>
    <row r="10" spans="1:11" x14ac:dyDescent="0.2">
      <c r="A10" s="1" t="s">
        <v>11</v>
      </c>
      <c r="B10" s="1" t="s">
        <v>52</v>
      </c>
      <c r="C10" s="1" t="s">
        <v>53</v>
      </c>
      <c r="D10" s="1" t="s">
        <v>54</v>
      </c>
      <c r="E10" s="1" t="s">
        <v>8</v>
      </c>
      <c r="F10" s="1" t="s">
        <v>55</v>
      </c>
      <c r="G10" s="1" t="s">
        <v>56</v>
      </c>
      <c r="I10" s="1">
        <f t="shared" si="0"/>
        <v>1</v>
      </c>
      <c r="J10" s="1">
        <f t="shared" si="1"/>
        <v>0</v>
      </c>
      <c r="K10" s="1">
        <f t="shared" si="2"/>
        <v>0</v>
      </c>
    </row>
    <row r="11" spans="1:11" x14ac:dyDescent="0.2">
      <c r="A11" s="1" t="s">
        <v>11</v>
      </c>
      <c r="B11" s="1" t="s">
        <v>57</v>
      </c>
      <c r="C11" s="1" t="s">
        <v>58</v>
      </c>
      <c r="D11" s="1" t="s">
        <v>59</v>
      </c>
      <c r="E11" s="1" t="s">
        <v>10</v>
      </c>
      <c r="F11" s="1" t="s">
        <v>60</v>
      </c>
      <c r="G11" s="1" t="s">
        <v>31</v>
      </c>
      <c r="I11" s="1">
        <f t="shared" si="0"/>
        <v>0</v>
      </c>
      <c r="J11" s="1">
        <f t="shared" si="1"/>
        <v>0</v>
      </c>
      <c r="K11" s="1">
        <f t="shared" si="2"/>
        <v>1</v>
      </c>
    </row>
    <row r="12" spans="1:11" x14ac:dyDescent="0.2">
      <c r="A12" s="1" t="s">
        <v>11</v>
      </c>
      <c r="B12" s="1" t="s">
        <v>32</v>
      </c>
      <c r="C12" s="1" t="s">
        <v>33</v>
      </c>
      <c r="D12" s="1" t="s">
        <v>34</v>
      </c>
      <c r="E12" s="1" t="s">
        <v>8</v>
      </c>
      <c r="F12" s="1" t="s">
        <v>61</v>
      </c>
      <c r="G12" s="1" t="s">
        <v>36</v>
      </c>
      <c r="I12" s="1">
        <f t="shared" si="0"/>
        <v>1</v>
      </c>
      <c r="J12" s="1">
        <f t="shared" si="1"/>
        <v>0</v>
      </c>
      <c r="K12" s="1">
        <f t="shared" si="2"/>
        <v>0</v>
      </c>
    </row>
    <row r="13" spans="1:11" x14ac:dyDescent="0.2">
      <c r="A13" s="1" t="s">
        <v>11</v>
      </c>
      <c r="B13" s="1" t="s">
        <v>62</v>
      </c>
      <c r="C13" s="1" t="s">
        <v>63</v>
      </c>
      <c r="D13" s="1" t="s">
        <v>64</v>
      </c>
      <c r="E13" s="1" t="s">
        <v>8</v>
      </c>
      <c r="F13" s="1" t="s">
        <v>65</v>
      </c>
      <c r="G13" s="1" t="s">
        <v>26</v>
      </c>
      <c r="I13" s="1">
        <f t="shared" si="0"/>
        <v>1</v>
      </c>
      <c r="J13" s="1">
        <f t="shared" si="1"/>
        <v>0</v>
      </c>
      <c r="K13" s="1">
        <f t="shared" si="2"/>
        <v>0</v>
      </c>
    </row>
    <row r="14" spans="1:11" x14ac:dyDescent="0.2">
      <c r="A14" s="1" t="s">
        <v>11</v>
      </c>
      <c r="B14" s="1" t="s">
        <v>66</v>
      </c>
      <c r="C14" s="1" t="s">
        <v>67</v>
      </c>
      <c r="D14" s="1" t="s">
        <v>68</v>
      </c>
      <c r="E14" s="1" t="s">
        <v>8</v>
      </c>
      <c r="F14" s="1" t="s">
        <v>69</v>
      </c>
      <c r="G14" s="1" t="s">
        <v>70</v>
      </c>
      <c r="I14" s="1">
        <f t="shared" si="0"/>
        <v>1</v>
      </c>
      <c r="J14" s="1">
        <f t="shared" si="1"/>
        <v>0</v>
      </c>
      <c r="K14" s="1">
        <f t="shared" si="2"/>
        <v>0</v>
      </c>
    </row>
    <row r="15" spans="1:11" x14ac:dyDescent="0.2">
      <c r="A15" s="1" t="s">
        <v>11</v>
      </c>
      <c r="B15" s="1" t="s">
        <v>71</v>
      </c>
      <c r="C15" s="1" t="s">
        <v>72</v>
      </c>
      <c r="D15" s="1" t="s">
        <v>73</v>
      </c>
      <c r="E15" s="1" t="s">
        <v>8</v>
      </c>
      <c r="F15" s="1" t="s">
        <v>74</v>
      </c>
      <c r="G15" s="1" t="s">
        <v>75</v>
      </c>
      <c r="I15" s="1">
        <f t="shared" si="0"/>
        <v>1</v>
      </c>
      <c r="J15" s="1">
        <f t="shared" si="1"/>
        <v>0</v>
      </c>
      <c r="K15" s="1">
        <f t="shared" si="2"/>
        <v>0</v>
      </c>
    </row>
    <row r="16" spans="1:11" x14ac:dyDescent="0.2">
      <c r="A16" s="1" t="s">
        <v>11</v>
      </c>
      <c r="B16" s="1" t="s">
        <v>76</v>
      </c>
      <c r="C16" s="1" t="s">
        <v>77</v>
      </c>
      <c r="D16" s="1" t="s">
        <v>78</v>
      </c>
      <c r="E16" s="1" t="s">
        <v>8</v>
      </c>
      <c r="F16" s="1" t="s">
        <v>79</v>
      </c>
      <c r="G16" s="1" t="s">
        <v>80</v>
      </c>
      <c r="I16" s="1">
        <f t="shared" si="0"/>
        <v>1</v>
      </c>
      <c r="J16" s="1">
        <f t="shared" si="1"/>
        <v>0</v>
      </c>
      <c r="K16" s="1">
        <f t="shared" si="2"/>
        <v>0</v>
      </c>
    </row>
    <row r="17" spans="1:11" x14ac:dyDescent="0.2">
      <c r="A17" s="1" t="s">
        <v>11</v>
      </c>
      <c r="B17" s="1" t="s">
        <v>81</v>
      </c>
      <c r="C17" s="1" t="s">
        <v>82</v>
      </c>
      <c r="D17" s="1" t="s">
        <v>83</v>
      </c>
      <c r="E17" s="1" t="s">
        <v>8</v>
      </c>
      <c r="F17" s="1" t="s">
        <v>84</v>
      </c>
      <c r="G17" s="1" t="s">
        <v>85</v>
      </c>
      <c r="I17" s="1">
        <f t="shared" si="0"/>
        <v>1</v>
      </c>
      <c r="J17" s="1">
        <f t="shared" si="1"/>
        <v>0</v>
      </c>
      <c r="K17" s="1">
        <f t="shared" si="2"/>
        <v>0</v>
      </c>
    </row>
    <row r="18" spans="1:11" x14ac:dyDescent="0.2">
      <c r="A18" s="1" t="s">
        <v>11</v>
      </c>
      <c r="B18" s="1" t="s">
        <v>86</v>
      </c>
      <c r="C18" s="1" t="s">
        <v>87</v>
      </c>
      <c r="D18" s="1" t="s">
        <v>88</v>
      </c>
      <c r="E18" s="1" t="s">
        <v>8</v>
      </c>
      <c r="F18" s="1" t="s">
        <v>89</v>
      </c>
      <c r="G18" s="1" t="s">
        <v>90</v>
      </c>
      <c r="I18" s="1">
        <f t="shared" si="0"/>
        <v>1</v>
      </c>
      <c r="J18" s="1">
        <f t="shared" si="1"/>
        <v>0</v>
      </c>
      <c r="K18" s="1">
        <f t="shared" si="2"/>
        <v>0</v>
      </c>
    </row>
    <row r="19" spans="1:11" x14ac:dyDescent="0.2">
      <c r="A19" s="1" t="s">
        <v>11</v>
      </c>
      <c r="B19" s="1" t="s">
        <v>91</v>
      </c>
      <c r="C19" s="1" t="s">
        <v>92</v>
      </c>
      <c r="D19" s="1" t="s">
        <v>93</v>
      </c>
      <c r="E19" s="1" t="s">
        <v>8</v>
      </c>
      <c r="F19" s="1" t="s">
        <v>94</v>
      </c>
      <c r="G19" s="1" t="s">
        <v>26</v>
      </c>
      <c r="I19" s="1">
        <f t="shared" si="0"/>
        <v>1</v>
      </c>
      <c r="J19" s="1">
        <f t="shared" si="1"/>
        <v>0</v>
      </c>
      <c r="K19" s="1">
        <f t="shared" si="2"/>
        <v>0</v>
      </c>
    </row>
    <row r="20" spans="1:11" x14ac:dyDescent="0.2">
      <c r="A20" s="1" t="s">
        <v>11</v>
      </c>
      <c r="B20" s="1" t="s">
        <v>95</v>
      </c>
      <c r="C20" s="1" t="s">
        <v>96</v>
      </c>
      <c r="D20" s="1" t="s">
        <v>97</v>
      </c>
      <c r="E20" s="1" t="s">
        <v>10</v>
      </c>
      <c r="F20" s="1" t="s">
        <v>98</v>
      </c>
      <c r="G20" s="1" t="s">
        <v>31</v>
      </c>
      <c r="I20" s="1">
        <f t="shared" si="0"/>
        <v>0</v>
      </c>
      <c r="J20" s="1">
        <f t="shared" si="1"/>
        <v>0</v>
      </c>
      <c r="K20" s="1">
        <f t="shared" si="2"/>
        <v>1</v>
      </c>
    </row>
    <row r="21" spans="1:11" ht="21" customHeight="1" x14ac:dyDescent="0.2">
      <c r="A21" s="1" t="s">
        <v>11</v>
      </c>
      <c r="B21" s="1" t="s">
        <v>99</v>
      </c>
      <c r="C21" s="1" t="s">
        <v>100</v>
      </c>
      <c r="D21" s="1" t="s">
        <v>101</v>
      </c>
      <c r="E21" s="1" t="s">
        <v>10</v>
      </c>
      <c r="F21" s="1" t="s">
        <v>102</v>
      </c>
      <c r="G21" s="1" t="s">
        <v>103</v>
      </c>
      <c r="I21" s="1">
        <f t="shared" si="0"/>
        <v>0</v>
      </c>
      <c r="J21" s="1">
        <f t="shared" si="1"/>
        <v>0</v>
      </c>
      <c r="K21" s="1">
        <f t="shared" si="2"/>
        <v>1</v>
      </c>
    </row>
    <row r="22" spans="1:11" ht="21" customHeight="1" x14ac:dyDescent="0.2">
      <c r="A22" s="1" t="s">
        <v>11</v>
      </c>
      <c r="B22" s="1" t="s">
        <v>104</v>
      </c>
      <c r="C22" s="1" t="s">
        <v>105</v>
      </c>
      <c r="D22" s="1" t="s">
        <v>106</v>
      </c>
      <c r="E22" s="1" t="s">
        <v>8</v>
      </c>
      <c r="F22" s="1" t="s">
        <v>107</v>
      </c>
      <c r="G22" s="1" t="s">
        <v>108</v>
      </c>
      <c r="I22" s="1">
        <f t="shared" si="0"/>
        <v>1</v>
      </c>
      <c r="J22" s="1">
        <f t="shared" si="1"/>
        <v>0</v>
      </c>
      <c r="K22" s="1">
        <f t="shared" si="2"/>
        <v>0</v>
      </c>
    </row>
    <row r="23" spans="1:11" ht="21" customHeight="1" x14ac:dyDescent="0.2">
      <c r="A23" s="1" t="s">
        <v>11</v>
      </c>
      <c r="B23" s="1" t="s">
        <v>109</v>
      </c>
      <c r="C23" s="1" t="s">
        <v>110</v>
      </c>
      <c r="D23" s="1" t="s">
        <v>111</v>
      </c>
      <c r="E23" s="1" t="s">
        <v>8</v>
      </c>
      <c r="F23" s="1" t="s">
        <v>112</v>
      </c>
      <c r="G23" s="1" t="s">
        <v>113</v>
      </c>
      <c r="I23" s="1">
        <f t="shared" si="0"/>
        <v>1</v>
      </c>
      <c r="J23" s="1">
        <f t="shared" si="1"/>
        <v>0</v>
      </c>
      <c r="K23" s="1">
        <f t="shared" si="2"/>
        <v>0</v>
      </c>
    </row>
    <row r="24" spans="1:11" ht="21" customHeight="1" x14ac:dyDescent="0.2">
      <c r="A24" s="1" t="s">
        <v>11</v>
      </c>
      <c r="B24" s="1" t="s">
        <v>114</v>
      </c>
      <c r="C24" s="1" t="s">
        <v>115</v>
      </c>
      <c r="D24" s="1" t="s">
        <v>116</v>
      </c>
      <c r="E24" s="1" t="s">
        <v>8</v>
      </c>
      <c r="F24" s="1" t="s">
        <v>117</v>
      </c>
      <c r="G24" s="1" t="s">
        <v>80</v>
      </c>
      <c r="I24" s="1">
        <f t="shared" si="0"/>
        <v>1</v>
      </c>
      <c r="J24" s="1">
        <f t="shared" si="1"/>
        <v>0</v>
      </c>
      <c r="K24" s="1">
        <f t="shared" si="2"/>
        <v>0</v>
      </c>
    </row>
    <row r="25" spans="1:11" ht="21" customHeight="1" x14ac:dyDescent="0.2">
      <c r="A25" s="1" t="s">
        <v>11</v>
      </c>
      <c r="B25" s="1" t="s">
        <v>118</v>
      </c>
      <c r="C25" s="1" t="s">
        <v>119</v>
      </c>
      <c r="D25" s="1" t="s">
        <v>120</v>
      </c>
      <c r="E25" s="1" t="s">
        <v>8</v>
      </c>
      <c r="F25" s="1" t="s">
        <v>121</v>
      </c>
      <c r="G25" s="1" t="s">
        <v>26</v>
      </c>
      <c r="I25" s="1">
        <f t="shared" si="0"/>
        <v>1</v>
      </c>
      <c r="J25" s="1">
        <f t="shared" si="1"/>
        <v>0</v>
      </c>
      <c r="K25" s="1">
        <f t="shared" si="2"/>
        <v>0</v>
      </c>
    </row>
    <row r="26" spans="1:11" ht="21" customHeight="1" x14ac:dyDescent="0.2">
      <c r="A26" s="1" t="s">
        <v>11</v>
      </c>
      <c r="B26" s="1" t="s">
        <v>122</v>
      </c>
      <c r="C26" s="1" t="s">
        <v>123</v>
      </c>
      <c r="D26" s="1" t="s">
        <v>124</v>
      </c>
      <c r="E26" s="1" t="s">
        <v>9</v>
      </c>
      <c r="F26" s="1" t="s">
        <v>125</v>
      </c>
      <c r="G26" s="1" t="s">
        <v>126</v>
      </c>
      <c r="I26" s="1">
        <f t="shared" si="0"/>
        <v>0</v>
      </c>
      <c r="J26" s="1">
        <f t="shared" si="1"/>
        <v>1</v>
      </c>
      <c r="K26" s="1">
        <f t="shared" si="2"/>
        <v>0</v>
      </c>
    </row>
    <row r="27" spans="1:11" ht="21" customHeight="1" x14ac:dyDescent="0.2">
      <c r="A27" s="1" t="s">
        <v>11</v>
      </c>
      <c r="B27" s="1" t="s">
        <v>127</v>
      </c>
      <c r="C27" s="1" t="s">
        <v>128</v>
      </c>
      <c r="D27" s="1" t="s">
        <v>129</v>
      </c>
      <c r="E27" s="1" t="s">
        <v>10</v>
      </c>
      <c r="F27" s="1" t="s">
        <v>130</v>
      </c>
      <c r="G27" s="1" t="s">
        <v>131</v>
      </c>
      <c r="I27" s="1">
        <f t="shared" si="0"/>
        <v>0</v>
      </c>
      <c r="J27" s="1">
        <f t="shared" si="1"/>
        <v>0</v>
      </c>
      <c r="K27" s="1">
        <f t="shared" si="2"/>
        <v>1</v>
      </c>
    </row>
    <row r="28" spans="1:11" ht="21" customHeight="1" x14ac:dyDescent="0.2">
      <c r="A28" s="1" t="s">
        <v>11</v>
      </c>
      <c r="B28" s="1" t="s">
        <v>132</v>
      </c>
      <c r="C28" s="1" t="s">
        <v>133</v>
      </c>
      <c r="D28" s="1" t="s">
        <v>134</v>
      </c>
      <c r="E28" s="1" t="s">
        <v>8</v>
      </c>
      <c r="F28" s="1" t="s">
        <v>135</v>
      </c>
      <c r="G28" s="1" t="s">
        <v>80</v>
      </c>
      <c r="I28" s="1">
        <f t="shared" si="0"/>
        <v>1</v>
      </c>
      <c r="J28" s="1">
        <f t="shared" si="1"/>
        <v>0</v>
      </c>
      <c r="K28" s="1">
        <f t="shared" si="2"/>
        <v>0</v>
      </c>
    </row>
    <row r="29" spans="1:11" ht="21" customHeight="1" x14ac:dyDescent="0.2">
      <c r="A29" s="1" t="s">
        <v>11</v>
      </c>
      <c r="B29" s="1" t="s">
        <v>136</v>
      </c>
      <c r="C29" s="1" t="s">
        <v>137</v>
      </c>
      <c r="D29" s="1" t="s">
        <v>138</v>
      </c>
      <c r="E29" s="1" t="s">
        <v>8</v>
      </c>
      <c r="F29" s="1" t="s">
        <v>139</v>
      </c>
      <c r="G29" s="1" t="s">
        <v>140</v>
      </c>
      <c r="I29" s="1">
        <f t="shared" si="0"/>
        <v>1</v>
      </c>
      <c r="J29" s="1">
        <f t="shared" si="1"/>
        <v>0</v>
      </c>
      <c r="K29" s="1">
        <f t="shared" si="2"/>
        <v>0</v>
      </c>
    </row>
    <row r="30" spans="1:11" ht="21" customHeight="1" x14ac:dyDescent="0.2">
      <c r="A30" s="1" t="s">
        <v>11</v>
      </c>
      <c r="B30" s="1" t="s">
        <v>141</v>
      </c>
      <c r="C30" s="1" t="s">
        <v>142</v>
      </c>
      <c r="D30" s="1" t="s">
        <v>143</v>
      </c>
      <c r="E30" s="1" t="s">
        <v>10</v>
      </c>
      <c r="F30" s="1" t="s">
        <v>144</v>
      </c>
      <c r="G30" s="1" t="s">
        <v>145</v>
      </c>
      <c r="I30" s="1">
        <f t="shared" si="0"/>
        <v>0</v>
      </c>
      <c r="J30" s="1">
        <f t="shared" si="1"/>
        <v>0</v>
      </c>
      <c r="K30" s="1">
        <f t="shared" si="2"/>
        <v>1</v>
      </c>
    </row>
    <row r="31" spans="1:11" ht="21" customHeight="1" x14ac:dyDescent="0.2">
      <c r="A31" s="1" t="s">
        <v>11</v>
      </c>
      <c r="B31" s="1" t="s">
        <v>146</v>
      </c>
      <c r="C31" s="1" t="s">
        <v>147</v>
      </c>
      <c r="D31" s="1" t="s">
        <v>148</v>
      </c>
      <c r="E31" s="1" t="s">
        <v>8</v>
      </c>
      <c r="F31" s="1" t="s">
        <v>149</v>
      </c>
      <c r="G31" s="1" t="s">
        <v>150</v>
      </c>
      <c r="I31" s="1">
        <f t="shared" si="0"/>
        <v>1</v>
      </c>
      <c r="J31" s="1">
        <f t="shared" si="1"/>
        <v>0</v>
      </c>
      <c r="K31" s="1">
        <f t="shared" si="2"/>
        <v>0</v>
      </c>
    </row>
    <row r="32" spans="1:11" ht="21" customHeight="1" x14ac:dyDescent="0.2">
      <c r="A32" s="1" t="s">
        <v>11</v>
      </c>
      <c r="B32" s="1" t="s">
        <v>151</v>
      </c>
      <c r="C32" s="1" t="s">
        <v>152</v>
      </c>
      <c r="D32" s="1" t="s">
        <v>153</v>
      </c>
      <c r="E32" s="1" t="s">
        <v>10</v>
      </c>
      <c r="F32" s="1" t="s">
        <v>154</v>
      </c>
      <c r="G32" s="1" t="s">
        <v>145</v>
      </c>
      <c r="I32" s="1">
        <f t="shared" si="0"/>
        <v>0</v>
      </c>
      <c r="J32" s="1">
        <f t="shared" si="1"/>
        <v>0</v>
      </c>
      <c r="K32" s="1">
        <f t="shared" si="2"/>
        <v>1</v>
      </c>
    </row>
    <row r="33" spans="1:11" ht="21" customHeight="1" x14ac:dyDescent="0.2">
      <c r="A33" s="1" t="s">
        <v>11</v>
      </c>
      <c r="B33" s="1" t="s">
        <v>155</v>
      </c>
      <c r="C33" s="1" t="s">
        <v>156</v>
      </c>
      <c r="D33" s="1" t="s">
        <v>157</v>
      </c>
      <c r="E33" s="1" t="s">
        <v>10</v>
      </c>
      <c r="F33" s="1" t="s">
        <v>158</v>
      </c>
      <c r="G33" s="1" t="s">
        <v>31</v>
      </c>
      <c r="I33" s="1">
        <f t="shared" si="0"/>
        <v>0</v>
      </c>
      <c r="J33" s="1">
        <f t="shared" si="1"/>
        <v>0</v>
      </c>
      <c r="K33" s="1">
        <f t="shared" si="2"/>
        <v>1</v>
      </c>
    </row>
    <row r="34" spans="1:11" ht="21" customHeight="1" x14ac:dyDescent="0.2">
      <c r="A34" s="1" t="s">
        <v>11</v>
      </c>
      <c r="B34" s="1" t="s">
        <v>159</v>
      </c>
      <c r="C34" s="1" t="s">
        <v>160</v>
      </c>
      <c r="D34" s="1" t="s">
        <v>161</v>
      </c>
      <c r="E34" s="1" t="s">
        <v>8</v>
      </c>
      <c r="F34" s="1" t="s">
        <v>162</v>
      </c>
      <c r="G34" s="1" t="s">
        <v>163</v>
      </c>
      <c r="I34" s="1">
        <f t="shared" si="0"/>
        <v>1</v>
      </c>
      <c r="J34" s="1">
        <f t="shared" si="1"/>
        <v>0</v>
      </c>
      <c r="K34" s="1">
        <f t="shared" si="2"/>
        <v>0</v>
      </c>
    </row>
    <row r="35" spans="1:11" ht="21" customHeight="1" x14ac:dyDescent="0.2">
      <c r="A35" s="1" t="s">
        <v>11</v>
      </c>
      <c r="B35" s="1" t="s">
        <v>164</v>
      </c>
      <c r="C35" s="1" t="s">
        <v>165</v>
      </c>
      <c r="D35" s="1" t="s">
        <v>166</v>
      </c>
      <c r="E35" s="1" t="s">
        <v>8</v>
      </c>
      <c r="F35" s="1" t="s">
        <v>167</v>
      </c>
      <c r="G35" s="1" t="s">
        <v>168</v>
      </c>
      <c r="I35" s="1">
        <f t="shared" si="0"/>
        <v>1</v>
      </c>
      <c r="J35" s="1">
        <f t="shared" si="1"/>
        <v>0</v>
      </c>
      <c r="K35" s="1">
        <f t="shared" si="2"/>
        <v>0</v>
      </c>
    </row>
    <row r="36" spans="1:11" ht="21" customHeight="1" x14ac:dyDescent="0.2">
      <c r="A36" s="1" t="s">
        <v>11</v>
      </c>
      <c r="B36" s="1" t="s">
        <v>169</v>
      </c>
      <c r="C36" s="1" t="s">
        <v>170</v>
      </c>
      <c r="D36" s="1" t="s">
        <v>171</v>
      </c>
      <c r="E36" s="1" t="s">
        <v>9</v>
      </c>
      <c r="F36" s="1" t="s">
        <v>172</v>
      </c>
      <c r="G36" s="1" t="s">
        <v>126</v>
      </c>
      <c r="I36" s="1">
        <f t="shared" si="0"/>
        <v>0</v>
      </c>
      <c r="J36" s="1">
        <f t="shared" si="1"/>
        <v>1</v>
      </c>
      <c r="K36" s="1">
        <f t="shared" si="2"/>
        <v>0</v>
      </c>
    </row>
    <row r="37" spans="1:11" ht="21" customHeight="1" x14ac:dyDescent="0.2">
      <c r="A37" s="1" t="s">
        <v>11</v>
      </c>
      <c r="B37" s="1" t="s">
        <v>173</v>
      </c>
      <c r="C37" s="1" t="s">
        <v>174</v>
      </c>
      <c r="D37" s="1" t="s">
        <v>175</v>
      </c>
      <c r="E37" s="1" t="s">
        <v>8</v>
      </c>
      <c r="F37" s="1" t="s">
        <v>176</v>
      </c>
      <c r="G37" s="1" t="s">
        <v>177</v>
      </c>
      <c r="I37" s="1">
        <f t="shared" si="0"/>
        <v>1</v>
      </c>
      <c r="J37" s="1">
        <f t="shared" si="1"/>
        <v>0</v>
      </c>
      <c r="K37" s="1">
        <f t="shared" si="2"/>
        <v>0</v>
      </c>
    </row>
    <row r="38" spans="1:11" ht="21" customHeight="1" x14ac:dyDescent="0.2">
      <c r="A38" s="1" t="s">
        <v>11</v>
      </c>
      <c r="B38" s="1" t="s">
        <v>178</v>
      </c>
      <c r="C38" s="1" t="s">
        <v>179</v>
      </c>
      <c r="D38" s="1" t="s">
        <v>180</v>
      </c>
      <c r="E38" s="1" t="s">
        <v>8</v>
      </c>
      <c r="F38" s="1" t="s">
        <v>181</v>
      </c>
      <c r="G38" s="1" t="s">
        <v>182</v>
      </c>
      <c r="I38" s="1">
        <f t="shared" si="0"/>
        <v>1</v>
      </c>
      <c r="J38" s="1">
        <f t="shared" si="1"/>
        <v>0</v>
      </c>
      <c r="K38" s="1">
        <f t="shared" si="2"/>
        <v>0</v>
      </c>
    </row>
    <row r="39" spans="1:11" ht="21" customHeight="1" x14ac:dyDescent="0.2">
      <c r="A39" s="1" t="s">
        <v>11</v>
      </c>
      <c r="B39" s="1" t="s">
        <v>183</v>
      </c>
      <c r="C39" s="1" t="s">
        <v>184</v>
      </c>
      <c r="D39" s="1" t="s">
        <v>185</v>
      </c>
      <c r="E39" s="1" t="s">
        <v>10</v>
      </c>
      <c r="F39" s="1" t="s">
        <v>186</v>
      </c>
      <c r="G39" s="1" t="s">
        <v>103</v>
      </c>
      <c r="I39" s="1">
        <f t="shared" si="0"/>
        <v>0</v>
      </c>
      <c r="J39" s="1">
        <f t="shared" si="1"/>
        <v>0</v>
      </c>
      <c r="K39" s="1">
        <f t="shared" si="2"/>
        <v>1</v>
      </c>
    </row>
    <row r="40" spans="1:11" ht="21" customHeight="1" x14ac:dyDescent="0.2">
      <c r="A40" s="1" t="s">
        <v>11</v>
      </c>
      <c r="B40" s="1" t="s">
        <v>187</v>
      </c>
      <c r="C40" s="1" t="s">
        <v>188</v>
      </c>
      <c r="D40" s="1" t="s">
        <v>189</v>
      </c>
      <c r="E40" s="1" t="s">
        <v>8</v>
      </c>
      <c r="F40" s="1" t="s">
        <v>190</v>
      </c>
      <c r="G40" s="1" t="s">
        <v>191</v>
      </c>
      <c r="I40" s="1">
        <f t="shared" si="0"/>
        <v>1</v>
      </c>
      <c r="J40" s="1">
        <f t="shared" si="1"/>
        <v>0</v>
      </c>
      <c r="K40" s="1">
        <f t="shared" si="2"/>
        <v>0</v>
      </c>
    </row>
    <row r="41" spans="1:11" ht="21" customHeight="1" x14ac:dyDescent="0.2">
      <c r="A41" s="1" t="s">
        <v>11</v>
      </c>
      <c r="B41" s="1" t="s">
        <v>192</v>
      </c>
      <c r="C41" s="1" t="s">
        <v>193</v>
      </c>
      <c r="D41" s="1" t="s">
        <v>194</v>
      </c>
      <c r="E41" s="1" t="s">
        <v>9</v>
      </c>
      <c r="F41" s="1" t="s">
        <v>195</v>
      </c>
      <c r="G41" s="1" t="s">
        <v>21</v>
      </c>
      <c r="I41" s="1">
        <f t="shared" si="0"/>
        <v>0</v>
      </c>
      <c r="J41" s="1">
        <f t="shared" si="1"/>
        <v>1</v>
      </c>
      <c r="K41" s="1">
        <f t="shared" si="2"/>
        <v>0</v>
      </c>
    </row>
    <row r="42" spans="1:11" ht="21" customHeight="1" x14ac:dyDescent="0.2">
      <c r="A42" s="1" t="s">
        <v>11</v>
      </c>
      <c r="B42" s="1" t="s">
        <v>196</v>
      </c>
      <c r="C42" s="1" t="s">
        <v>197</v>
      </c>
      <c r="D42" s="1" t="s">
        <v>198</v>
      </c>
      <c r="E42" s="1" t="s">
        <v>9</v>
      </c>
      <c r="F42" s="1" t="s">
        <v>199</v>
      </c>
      <c r="G42" s="1" t="s">
        <v>21</v>
      </c>
      <c r="I42" s="1">
        <f t="shared" si="0"/>
        <v>0</v>
      </c>
      <c r="J42" s="1">
        <f t="shared" si="1"/>
        <v>1</v>
      </c>
      <c r="K42" s="1">
        <f t="shared" si="2"/>
        <v>0</v>
      </c>
    </row>
    <row r="43" spans="1:11" ht="21" customHeight="1" x14ac:dyDescent="0.2">
      <c r="A43" s="1" t="s">
        <v>11</v>
      </c>
      <c r="B43" s="1" t="s">
        <v>200</v>
      </c>
      <c r="C43" s="1" t="s">
        <v>201</v>
      </c>
      <c r="D43" s="1" t="s">
        <v>202</v>
      </c>
      <c r="E43" s="1" t="s">
        <v>8</v>
      </c>
      <c r="F43" s="1" t="s">
        <v>203</v>
      </c>
      <c r="G43" s="1" t="s">
        <v>204</v>
      </c>
      <c r="I43" s="1">
        <f t="shared" si="0"/>
        <v>1</v>
      </c>
      <c r="J43" s="1">
        <f t="shared" si="1"/>
        <v>0</v>
      </c>
      <c r="K43" s="1">
        <f t="shared" si="2"/>
        <v>0</v>
      </c>
    </row>
    <row r="44" spans="1:11" ht="21" customHeight="1" x14ac:dyDescent="0.2">
      <c r="A44" s="1" t="s">
        <v>11</v>
      </c>
      <c r="B44" s="1" t="s">
        <v>205</v>
      </c>
      <c r="C44" s="1" t="s">
        <v>206</v>
      </c>
      <c r="D44" s="1" t="s">
        <v>207</v>
      </c>
      <c r="E44" s="1" t="s">
        <v>10</v>
      </c>
      <c r="F44" s="1" t="s">
        <v>208</v>
      </c>
      <c r="G44" s="1" t="s">
        <v>209</v>
      </c>
      <c r="I44" s="1">
        <f t="shared" si="0"/>
        <v>0</v>
      </c>
      <c r="J44" s="1">
        <f t="shared" si="1"/>
        <v>0</v>
      </c>
      <c r="K44" s="1">
        <f t="shared" si="2"/>
        <v>1</v>
      </c>
    </row>
    <row r="45" spans="1:11" ht="21" customHeight="1" x14ac:dyDescent="0.2">
      <c r="A45" s="1" t="s">
        <v>11</v>
      </c>
      <c r="B45" s="1" t="s">
        <v>210</v>
      </c>
      <c r="C45" s="1" t="s">
        <v>211</v>
      </c>
      <c r="D45" s="1" t="s">
        <v>212</v>
      </c>
      <c r="E45" s="1" t="s">
        <v>9</v>
      </c>
      <c r="F45" s="1" t="s">
        <v>213</v>
      </c>
      <c r="G45" s="1" t="s">
        <v>21</v>
      </c>
      <c r="I45" s="1">
        <f t="shared" si="0"/>
        <v>0</v>
      </c>
      <c r="J45" s="1">
        <f t="shared" si="1"/>
        <v>1</v>
      </c>
      <c r="K45" s="1">
        <f t="shared" si="2"/>
        <v>0</v>
      </c>
    </row>
    <row r="46" spans="1:11" ht="21" customHeight="1" x14ac:dyDescent="0.2">
      <c r="A46" s="1" t="s">
        <v>11</v>
      </c>
      <c r="B46" s="1" t="s">
        <v>214</v>
      </c>
      <c r="C46" s="1" t="s">
        <v>215</v>
      </c>
      <c r="D46" s="1" t="s">
        <v>216</v>
      </c>
      <c r="E46" s="1" t="s">
        <v>8</v>
      </c>
      <c r="F46" s="1" t="s">
        <v>217</v>
      </c>
      <c r="G46" s="1" t="s">
        <v>85</v>
      </c>
      <c r="I46" s="1">
        <f t="shared" si="0"/>
        <v>1</v>
      </c>
      <c r="J46" s="1">
        <f t="shared" si="1"/>
        <v>0</v>
      </c>
      <c r="K46" s="1">
        <f t="shared" si="2"/>
        <v>0</v>
      </c>
    </row>
    <row r="47" spans="1:11" ht="21" customHeight="1" x14ac:dyDescent="0.2">
      <c r="A47" s="1" t="s">
        <v>11</v>
      </c>
      <c r="B47" s="1" t="s">
        <v>218</v>
      </c>
      <c r="C47" s="1" t="s">
        <v>219</v>
      </c>
      <c r="D47" s="1" t="s">
        <v>220</v>
      </c>
      <c r="E47" s="1" t="s">
        <v>8</v>
      </c>
      <c r="F47" s="1" t="s">
        <v>221</v>
      </c>
      <c r="G47" s="1" t="s">
        <v>222</v>
      </c>
      <c r="I47" s="1">
        <f t="shared" si="0"/>
        <v>1</v>
      </c>
      <c r="J47" s="1">
        <f t="shared" si="1"/>
        <v>0</v>
      </c>
      <c r="K47" s="1">
        <f t="shared" si="2"/>
        <v>0</v>
      </c>
    </row>
    <row r="48" spans="1:11" ht="21" customHeight="1" x14ac:dyDescent="0.2">
      <c r="A48" s="1" t="s">
        <v>11</v>
      </c>
      <c r="B48" s="1" t="s">
        <v>223</v>
      </c>
      <c r="C48" s="1" t="s">
        <v>224</v>
      </c>
      <c r="D48" s="1" t="s">
        <v>225</v>
      </c>
      <c r="E48" s="1" t="s">
        <v>8</v>
      </c>
      <c r="F48" s="1" t="s">
        <v>226</v>
      </c>
      <c r="G48" s="1" t="s">
        <v>227</v>
      </c>
      <c r="I48" s="1">
        <f t="shared" si="0"/>
        <v>1</v>
      </c>
      <c r="J48" s="1">
        <f t="shared" si="1"/>
        <v>0</v>
      </c>
      <c r="K48" s="1">
        <f t="shared" si="2"/>
        <v>0</v>
      </c>
    </row>
    <row r="49" spans="1:11" ht="21" customHeight="1" x14ac:dyDescent="0.2">
      <c r="A49" s="1" t="s">
        <v>11</v>
      </c>
      <c r="B49" s="1" t="s">
        <v>228</v>
      </c>
      <c r="C49" s="1" t="s">
        <v>229</v>
      </c>
      <c r="D49" s="1" t="s">
        <v>230</v>
      </c>
      <c r="E49" s="1" t="s">
        <v>10</v>
      </c>
      <c r="F49" s="1" t="s">
        <v>231</v>
      </c>
      <c r="G49" s="1" t="s">
        <v>31</v>
      </c>
      <c r="I49" s="1">
        <f t="shared" si="0"/>
        <v>0</v>
      </c>
      <c r="J49" s="1">
        <f t="shared" si="1"/>
        <v>0</v>
      </c>
      <c r="K49" s="1">
        <f t="shared" si="2"/>
        <v>1</v>
      </c>
    </row>
    <row r="50" spans="1:11" ht="21" customHeight="1" x14ac:dyDescent="0.2">
      <c r="A50" s="1" t="s">
        <v>11</v>
      </c>
      <c r="B50" s="1" t="s">
        <v>232</v>
      </c>
      <c r="C50" s="1" t="s">
        <v>233</v>
      </c>
      <c r="D50" s="1" t="s">
        <v>234</v>
      </c>
      <c r="E50" s="1" t="s">
        <v>8</v>
      </c>
      <c r="F50" s="1" t="s">
        <v>235</v>
      </c>
      <c r="G50" s="1" t="s">
        <v>26</v>
      </c>
      <c r="I50" s="1">
        <f t="shared" si="0"/>
        <v>1</v>
      </c>
      <c r="J50" s="1">
        <f t="shared" si="1"/>
        <v>0</v>
      </c>
      <c r="K50" s="1">
        <f t="shared" si="2"/>
        <v>0</v>
      </c>
    </row>
    <row r="51" spans="1:11" ht="21" customHeight="1" x14ac:dyDescent="0.2">
      <c r="A51" s="1" t="s">
        <v>11</v>
      </c>
      <c r="B51" s="1" t="s">
        <v>236</v>
      </c>
      <c r="C51" s="1" t="s">
        <v>237</v>
      </c>
      <c r="D51" s="1" t="s">
        <v>238</v>
      </c>
      <c r="E51" s="1" t="s">
        <v>8</v>
      </c>
      <c r="F51" s="1" t="s">
        <v>239</v>
      </c>
      <c r="G51" s="1" t="s">
        <v>240</v>
      </c>
      <c r="I51" s="1">
        <f t="shared" si="0"/>
        <v>1</v>
      </c>
      <c r="J51" s="1">
        <f t="shared" si="1"/>
        <v>0</v>
      </c>
      <c r="K51" s="1">
        <f t="shared" si="2"/>
        <v>0</v>
      </c>
    </row>
    <row r="52" spans="1:11" ht="21" customHeight="1" x14ac:dyDescent="0.2">
      <c r="A52" s="1" t="s">
        <v>11</v>
      </c>
      <c r="B52" s="1" t="s">
        <v>241</v>
      </c>
      <c r="C52" s="1" t="s">
        <v>242</v>
      </c>
      <c r="D52" s="1" t="s">
        <v>243</v>
      </c>
      <c r="E52" s="1" t="s">
        <v>10</v>
      </c>
      <c r="F52" s="1" t="s">
        <v>244</v>
      </c>
      <c r="G52" s="1" t="s">
        <v>245</v>
      </c>
      <c r="I52" s="1">
        <f t="shared" si="0"/>
        <v>0</v>
      </c>
      <c r="J52" s="1">
        <f t="shared" si="1"/>
        <v>0</v>
      </c>
      <c r="K52" s="1">
        <f t="shared" si="2"/>
        <v>1</v>
      </c>
    </row>
    <row r="53" spans="1:11" ht="21" customHeight="1" x14ac:dyDescent="0.2">
      <c r="A53" s="1" t="s">
        <v>11</v>
      </c>
      <c r="B53" s="1" t="s">
        <v>246</v>
      </c>
      <c r="C53" s="1" t="s">
        <v>247</v>
      </c>
      <c r="D53" s="1" t="s">
        <v>248</v>
      </c>
      <c r="E53" s="1" t="s">
        <v>8</v>
      </c>
      <c r="F53" s="1" t="s">
        <v>249</v>
      </c>
      <c r="G53" s="1" t="s">
        <v>250</v>
      </c>
      <c r="I53" s="1">
        <f t="shared" si="0"/>
        <v>1</v>
      </c>
      <c r="J53" s="1">
        <f t="shared" si="1"/>
        <v>0</v>
      </c>
      <c r="K53" s="1">
        <f t="shared" si="2"/>
        <v>0</v>
      </c>
    </row>
    <row r="54" spans="1:11" ht="21" customHeight="1" x14ac:dyDescent="0.2">
      <c r="A54" s="1" t="s">
        <v>11</v>
      </c>
      <c r="B54" s="1" t="s">
        <v>251</v>
      </c>
      <c r="C54" s="1" t="s">
        <v>252</v>
      </c>
      <c r="D54" s="1" t="s">
        <v>253</v>
      </c>
      <c r="E54" s="1" t="s">
        <v>8</v>
      </c>
      <c r="F54" s="1" t="s">
        <v>254</v>
      </c>
      <c r="G54" s="1" t="s">
        <v>36</v>
      </c>
      <c r="I54" s="1">
        <f t="shared" si="0"/>
        <v>1</v>
      </c>
      <c r="J54" s="1">
        <f t="shared" si="1"/>
        <v>0</v>
      </c>
      <c r="K54" s="1">
        <f t="shared" si="2"/>
        <v>0</v>
      </c>
    </row>
    <row r="55" spans="1:11" ht="21" customHeight="1" x14ac:dyDescent="0.2">
      <c r="A55" s="1" t="s">
        <v>11</v>
      </c>
      <c r="B55" s="1" t="s">
        <v>255</v>
      </c>
      <c r="C55" s="1" t="s">
        <v>256</v>
      </c>
      <c r="D55" s="1" t="s">
        <v>257</v>
      </c>
      <c r="E55" s="1" t="s">
        <v>9</v>
      </c>
      <c r="F55" s="1" t="s">
        <v>258</v>
      </c>
      <c r="G55" s="1" t="s">
        <v>21</v>
      </c>
      <c r="I55" s="1">
        <f t="shared" si="0"/>
        <v>0</v>
      </c>
      <c r="J55" s="1">
        <f t="shared" si="1"/>
        <v>1</v>
      </c>
      <c r="K55" s="1">
        <f t="shared" si="2"/>
        <v>0</v>
      </c>
    </row>
    <row r="56" spans="1:11" ht="21" customHeight="1" x14ac:dyDescent="0.2">
      <c r="A56" s="1" t="s">
        <v>11</v>
      </c>
      <c r="B56" s="1" t="s">
        <v>259</v>
      </c>
      <c r="C56" s="1" t="s">
        <v>260</v>
      </c>
      <c r="D56" s="1" t="s">
        <v>261</v>
      </c>
      <c r="E56" s="1" t="s">
        <v>9</v>
      </c>
      <c r="F56" s="1" t="s">
        <v>262</v>
      </c>
      <c r="G56" s="1" t="s">
        <v>21</v>
      </c>
      <c r="I56" s="1">
        <f t="shared" si="0"/>
        <v>0</v>
      </c>
      <c r="J56" s="1">
        <f t="shared" si="1"/>
        <v>1</v>
      </c>
      <c r="K56" s="1">
        <f t="shared" si="2"/>
        <v>0</v>
      </c>
    </row>
    <row r="57" spans="1:11" ht="21" customHeight="1" x14ac:dyDescent="0.2">
      <c r="A57" s="1" t="s">
        <v>11</v>
      </c>
      <c r="B57" s="1" t="s">
        <v>263</v>
      </c>
      <c r="C57" s="1" t="s">
        <v>264</v>
      </c>
      <c r="D57" s="1" t="s">
        <v>265</v>
      </c>
      <c r="E57" s="1" t="s">
        <v>8</v>
      </c>
      <c r="F57" s="1" t="s">
        <v>266</v>
      </c>
      <c r="G57" s="1" t="s">
        <v>267</v>
      </c>
      <c r="I57" s="1">
        <f t="shared" si="0"/>
        <v>1</v>
      </c>
      <c r="J57" s="1">
        <f t="shared" si="1"/>
        <v>0</v>
      </c>
      <c r="K57" s="1">
        <f t="shared" si="2"/>
        <v>0</v>
      </c>
    </row>
    <row r="58" spans="1:11" ht="21" customHeight="1" x14ac:dyDescent="0.2">
      <c r="A58" s="1" t="s">
        <v>11</v>
      </c>
      <c r="B58" s="1" t="s">
        <v>268</v>
      </c>
      <c r="C58" s="1" t="s">
        <v>269</v>
      </c>
      <c r="D58" s="1" t="s">
        <v>270</v>
      </c>
      <c r="E58" s="1" t="s">
        <v>10</v>
      </c>
      <c r="F58" s="1" t="s">
        <v>271</v>
      </c>
      <c r="G58" s="1" t="s">
        <v>31</v>
      </c>
      <c r="I58" s="1">
        <f t="shared" si="0"/>
        <v>0</v>
      </c>
      <c r="J58" s="1">
        <f t="shared" si="1"/>
        <v>0</v>
      </c>
      <c r="K58" s="1">
        <f t="shared" si="2"/>
        <v>1</v>
      </c>
    </row>
    <row r="59" spans="1:11" ht="21" customHeight="1" x14ac:dyDescent="0.2">
      <c r="A59" s="1" t="s">
        <v>11</v>
      </c>
      <c r="B59" s="1" t="s">
        <v>272</v>
      </c>
      <c r="C59" s="1" t="s">
        <v>273</v>
      </c>
      <c r="D59" s="1" t="s">
        <v>274</v>
      </c>
      <c r="E59" s="1" t="s">
        <v>8</v>
      </c>
      <c r="F59" s="1" t="s">
        <v>275</v>
      </c>
      <c r="G59" s="1" t="s">
        <v>276</v>
      </c>
      <c r="I59" s="1">
        <f t="shared" si="0"/>
        <v>1</v>
      </c>
      <c r="J59" s="1">
        <f t="shared" si="1"/>
        <v>0</v>
      </c>
      <c r="K59" s="1">
        <f t="shared" si="2"/>
        <v>0</v>
      </c>
    </row>
    <row r="60" spans="1:11" ht="21" customHeight="1" x14ac:dyDescent="0.2">
      <c r="A60" s="1" t="s">
        <v>11</v>
      </c>
      <c r="B60" s="1" t="s">
        <v>277</v>
      </c>
      <c r="C60" s="1" t="s">
        <v>278</v>
      </c>
      <c r="D60" s="1" t="s">
        <v>279</v>
      </c>
      <c r="E60" s="1" t="s">
        <v>8</v>
      </c>
      <c r="F60" s="1" t="s">
        <v>280</v>
      </c>
      <c r="G60" s="1" t="s">
        <v>281</v>
      </c>
      <c r="I60" s="1">
        <f t="shared" si="0"/>
        <v>1</v>
      </c>
      <c r="J60" s="1">
        <f t="shared" si="1"/>
        <v>0</v>
      </c>
      <c r="K60" s="1">
        <f t="shared" si="2"/>
        <v>0</v>
      </c>
    </row>
    <row r="61" spans="1:11" ht="21" customHeight="1" x14ac:dyDescent="0.2">
      <c r="A61" s="1" t="s">
        <v>11</v>
      </c>
      <c r="B61" s="1" t="s">
        <v>282</v>
      </c>
      <c r="C61" s="1" t="s">
        <v>283</v>
      </c>
      <c r="D61" s="1" t="s">
        <v>284</v>
      </c>
      <c r="E61" s="1" t="s">
        <v>8</v>
      </c>
      <c r="F61" s="1" t="s">
        <v>285</v>
      </c>
      <c r="G61" s="1" t="s">
        <v>286</v>
      </c>
      <c r="I61" s="1">
        <f t="shared" si="0"/>
        <v>1</v>
      </c>
      <c r="J61" s="1">
        <f t="shared" si="1"/>
        <v>0</v>
      </c>
      <c r="K61" s="1">
        <f t="shared" si="2"/>
        <v>0</v>
      </c>
    </row>
    <row r="62" spans="1:11" ht="21" customHeight="1" x14ac:dyDescent="0.2">
      <c r="A62" s="1" t="s">
        <v>11</v>
      </c>
      <c r="B62" s="1" t="s">
        <v>287</v>
      </c>
      <c r="C62" s="1" t="s">
        <v>288</v>
      </c>
      <c r="D62" s="1" t="s">
        <v>289</v>
      </c>
      <c r="E62" s="1" t="s">
        <v>8</v>
      </c>
      <c r="F62" s="1" t="s">
        <v>290</v>
      </c>
      <c r="G62" s="1" t="s">
        <v>291</v>
      </c>
      <c r="I62" s="1">
        <f t="shared" si="0"/>
        <v>1</v>
      </c>
      <c r="J62" s="1">
        <f t="shared" si="1"/>
        <v>0</v>
      </c>
      <c r="K62" s="1">
        <f t="shared" si="2"/>
        <v>0</v>
      </c>
    </row>
    <row r="63" spans="1:11" ht="21" customHeight="1" x14ac:dyDescent="0.2">
      <c r="A63" s="1" t="s">
        <v>11</v>
      </c>
      <c r="B63" s="1" t="s">
        <v>292</v>
      </c>
      <c r="C63" s="1" t="s">
        <v>293</v>
      </c>
      <c r="D63" s="1" t="s">
        <v>294</v>
      </c>
      <c r="E63" s="1" t="s">
        <v>8</v>
      </c>
      <c r="F63" s="1" t="s">
        <v>295</v>
      </c>
      <c r="G63" s="1" t="s">
        <v>296</v>
      </c>
      <c r="I63" s="1">
        <f t="shared" si="0"/>
        <v>1</v>
      </c>
      <c r="J63" s="1">
        <f t="shared" si="1"/>
        <v>0</v>
      </c>
      <c r="K63" s="1">
        <f t="shared" si="2"/>
        <v>0</v>
      </c>
    </row>
    <row r="64" spans="1:11" ht="21" customHeight="1" x14ac:dyDescent="0.2">
      <c r="A64" s="1" t="s">
        <v>11</v>
      </c>
      <c r="B64" s="1" t="s">
        <v>297</v>
      </c>
      <c r="C64" s="1" t="s">
        <v>298</v>
      </c>
      <c r="D64" s="1" t="s">
        <v>299</v>
      </c>
      <c r="E64" s="1" t="s">
        <v>10</v>
      </c>
      <c r="F64" s="1" t="s">
        <v>300</v>
      </c>
      <c r="G64" s="1" t="s">
        <v>31</v>
      </c>
      <c r="I64" s="1">
        <f t="shared" si="0"/>
        <v>0</v>
      </c>
      <c r="J64" s="1">
        <f t="shared" si="1"/>
        <v>0</v>
      </c>
      <c r="K64" s="1">
        <f t="shared" si="2"/>
        <v>1</v>
      </c>
    </row>
    <row r="65" spans="1:11" ht="21" customHeight="1" x14ac:dyDescent="0.2">
      <c r="A65" s="1" t="s">
        <v>11</v>
      </c>
      <c r="B65" s="1" t="s">
        <v>301</v>
      </c>
      <c r="C65" s="1" t="s">
        <v>302</v>
      </c>
      <c r="D65" s="1" t="s">
        <v>303</v>
      </c>
      <c r="E65" s="1" t="s">
        <v>8</v>
      </c>
      <c r="F65" s="1" t="s">
        <v>304</v>
      </c>
      <c r="G65" s="1" t="s">
        <v>250</v>
      </c>
      <c r="I65" s="1">
        <f t="shared" si="0"/>
        <v>1</v>
      </c>
      <c r="J65" s="1">
        <f t="shared" si="1"/>
        <v>0</v>
      </c>
      <c r="K65" s="1">
        <f t="shared" si="2"/>
        <v>0</v>
      </c>
    </row>
    <row r="66" spans="1:11" ht="21" customHeight="1" x14ac:dyDescent="0.2">
      <c r="A66" s="1" t="s">
        <v>11</v>
      </c>
      <c r="B66" s="1" t="s">
        <v>305</v>
      </c>
      <c r="C66" s="1" t="s">
        <v>306</v>
      </c>
      <c r="D66" s="1" t="s">
        <v>307</v>
      </c>
      <c r="E66" s="1" t="s">
        <v>10</v>
      </c>
      <c r="F66" s="1" t="s">
        <v>308</v>
      </c>
      <c r="G66" s="1" t="s">
        <v>31</v>
      </c>
      <c r="I66" s="1">
        <f t="shared" si="0"/>
        <v>0</v>
      </c>
      <c r="J66" s="1">
        <f t="shared" si="1"/>
        <v>0</v>
      </c>
      <c r="K66" s="1">
        <f t="shared" si="2"/>
        <v>1</v>
      </c>
    </row>
    <row r="67" spans="1:11" ht="21" customHeight="1" x14ac:dyDescent="0.2">
      <c r="A67" s="1" t="s">
        <v>11</v>
      </c>
      <c r="B67" s="1" t="s">
        <v>309</v>
      </c>
      <c r="C67" s="1" t="s">
        <v>310</v>
      </c>
      <c r="D67" s="1" t="s">
        <v>311</v>
      </c>
      <c r="E67" s="1" t="s">
        <v>8</v>
      </c>
      <c r="F67" s="1" t="s">
        <v>312</v>
      </c>
      <c r="G67" s="1" t="s">
        <v>313</v>
      </c>
      <c r="I67" s="1">
        <f t="shared" si="0"/>
        <v>1</v>
      </c>
      <c r="J67" s="1">
        <f t="shared" si="1"/>
        <v>0</v>
      </c>
      <c r="K67" s="1">
        <f t="shared" si="2"/>
        <v>0</v>
      </c>
    </row>
    <row r="68" spans="1:11" ht="21" customHeight="1" x14ac:dyDescent="0.2">
      <c r="A68" s="1" t="s">
        <v>11</v>
      </c>
      <c r="B68" s="1" t="s">
        <v>314</v>
      </c>
      <c r="C68" s="1" t="s">
        <v>315</v>
      </c>
      <c r="D68" s="1" t="s">
        <v>316</v>
      </c>
      <c r="E68" s="1" t="s">
        <v>8</v>
      </c>
      <c r="F68" s="1" t="s">
        <v>317</v>
      </c>
      <c r="G68" s="1" t="s">
        <v>318</v>
      </c>
      <c r="I68" s="1">
        <f t="shared" si="0"/>
        <v>1</v>
      </c>
      <c r="J68" s="1">
        <f t="shared" si="1"/>
        <v>0</v>
      </c>
      <c r="K68" s="1">
        <f t="shared" si="2"/>
        <v>0</v>
      </c>
    </row>
    <row r="69" spans="1:11" ht="21" customHeight="1" x14ac:dyDescent="0.2">
      <c r="A69" s="1" t="s">
        <v>11</v>
      </c>
      <c r="B69" s="1" t="s">
        <v>319</v>
      </c>
      <c r="C69" s="1" t="s">
        <v>320</v>
      </c>
      <c r="D69" s="1" t="s">
        <v>321</v>
      </c>
      <c r="E69" s="1" t="s">
        <v>10</v>
      </c>
      <c r="F69" s="1" t="s">
        <v>322</v>
      </c>
      <c r="G69" s="1" t="s">
        <v>21</v>
      </c>
      <c r="I69" s="1">
        <f t="shared" si="0"/>
        <v>0</v>
      </c>
      <c r="J69" s="1">
        <f t="shared" si="1"/>
        <v>0</v>
      </c>
      <c r="K69" s="1">
        <f t="shared" si="2"/>
        <v>1</v>
      </c>
    </row>
    <row r="70" spans="1:11" ht="21" customHeight="1" x14ac:dyDescent="0.2">
      <c r="A70" s="1" t="s">
        <v>11</v>
      </c>
      <c r="B70" s="1" t="s">
        <v>323</v>
      </c>
      <c r="C70" s="1" t="s">
        <v>324</v>
      </c>
      <c r="D70" s="1" t="s">
        <v>325</v>
      </c>
      <c r="E70" s="1" t="s">
        <v>8</v>
      </c>
      <c r="F70" s="1" t="s">
        <v>326</v>
      </c>
      <c r="G70" s="1" t="s">
        <v>75</v>
      </c>
      <c r="I70" s="1">
        <f t="shared" si="0"/>
        <v>1</v>
      </c>
      <c r="J70" s="1">
        <f t="shared" si="1"/>
        <v>0</v>
      </c>
      <c r="K70" s="1">
        <f t="shared" si="2"/>
        <v>0</v>
      </c>
    </row>
    <row r="71" spans="1:11" ht="21" customHeight="1" x14ac:dyDescent="0.2">
      <c r="A71" s="1" t="s">
        <v>11</v>
      </c>
      <c r="B71" s="1" t="s">
        <v>327</v>
      </c>
      <c r="C71" s="1" t="s">
        <v>328</v>
      </c>
      <c r="D71" s="1" t="s">
        <v>329</v>
      </c>
      <c r="E71" s="1" t="s">
        <v>8</v>
      </c>
      <c r="F71" s="1" t="s">
        <v>330</v>
      </c>
      <c r="G71" s="1" t="s">
        <v>36</v>
      </c>
      <c r="I71" s="1">
        <f t="shared" si="0"/>
        <v>1</v>
      </c>
      <c r="J71" s="1">
        <f t="shared" si="1"/>
        <v>0</v>
      </c>
      <c r="K71" s="1">
        <f t="shared" si="2"/>
        <v>0</v>
      </c>
    </row>
    <row r="72" spans="1:11" ht="21" customHeight="1" x14ac:dyDescent="0.2">
      <c r="A72" s="1" t="s">
        <v>11</v>
      </c>
      <c r="B72" s="1" t="s">
        <v>331</v>
      </c>
      <c r="C72" s="1" t="s">
        <v>332</v>
      </c>
      <c r="D72" s="1" t="s">
        <v>333</v>
      </c>
      <c r="E72" s="1" t="s">
        <v>8</v>
      </c>
      <c r="F72" s="1" t="s">
        <v>334</v>
      </c>
      <c r="G72" s="1" t="s">
        <v>335</v>
      </c>
      <c r="I72" s="1">
        <f t="shared" si="0"/>
        <v>1</v>
      </c>
      <c r="J72" s="1">
        <f t="shared" si="1"/>
        <v>0</v>
      </c>
      <c r="K72" s="1">
        <f t="shared" si="2"/>
        <v>0</v>
      </c>
    </row>
    <row r="73" spans="1:11" ht="21" customHeight="1" x14ac:dyDescent="0.2">
      <c r="A73" s="1" t="s">
        <v>11</v>
      </c>
      <c r="B73" s="1" t="s">
        <v>336</v>
      </c>
      <c r="C73" s="1" t="s">
        <v>337</v>
      </c>
      <c r="D73" s="1" t="s">
        <v>338</v>
      </c>
      <c r="E73" s="1" t="s">
        <v>10</v>
      </c>
      <c r="F73" s="1" t="s">
        <v>339</v>
      </c>
      <c r="G73" s="1" t="s">
        <v>31</v>
      </c>
      <c r="I73" s="1">
        <f t="shared" si="0"/>
        <v>0</v>
      </c>
      <c r="J73" s="1">
        <f t="shared" si="1"/>
        <v>0</v>
      </c>
      <c r="K73" s="1">
        <f t="shared" si="2"/>
        <v>1</v>
      </c>
    </row>
    <row r="74" spans="1:11" ht="21" customHeight="1" x14ac:dyDescent="0.2">
      <c r="A74" s="1" t="s">
        <v>11</v>
      </c>
      <c r="B74" s="1" t="s">
        <v>340</v>
      </c>
      <c r="C74" s="1" t="s">
        <v>341</v>
      </c>
      <c r="D74" s="1" t="s">
        <v>342</v>
      </c>
      <c r="E74" s="1" t="s">
        <v>10</v>
      </c>
      <c r="F74" s="1" t="s">
        <v>343</v>
      </c>
      <c r="G74" s="1" t="s">
        <v>31</v>
      </c>
      <c r="I74" s="1">
        <f t="shared" si="0"/>
        <v>0</v>
      </c>
      <c r="J74" s="1">
        <f t="shared" si="1"/>
        <v>0</v>
      </c>
      <c r="K74" s="1">
        <f t="shared" si="2"/>
        <v>1</v>
      </c>
    </row>
    <row r="75" spans="1:11" ht="21" customHeight="1" x14ac:dyDescent="0.2">
      <c r="A75" s="1" t="s">
        <v>11</v>
      </c>
      <c r="B75" s="1" t="s">
        <v>344</v>
      </c>
      <c r="C75" s="1" t="s">
        <v>345</v>
      </c>
      <c r="D75" s="1" t="s">
        <v>346</v>
      </c>
      <c r="E75" s="1" t="s">
        <v>8</v>
      </c>
      <c r="F75" s="1" t="s">
        <v>347</v>
      </c>
      <c r="G75" s="1" t="s">
        <v>26</v>
      </c>
      <c r="I75" s="1">
        <f t="shared" si="0"/>
        <v>1</v>
      </c>
      <c r="J75" s="1">
        <f t="shared" si="1"/>
        <v>0</v>
      </c>
      <c r="K75" s="1">
        <f t="shared" si="2"/>
        <v>0</v>
      </c>
    </row>
    <row r="76" spans="1:11" ht="21" customHeight="1" x14ac:dyDescent="0.2">
      <c r="A76" s="1" t="s">
        <v>11</v>
      </c>
      <c r="B76" s="1" t="s">
        <v>348</v>
      </c>
      <c r="C76" s="1" t="s">
        <v>349</v>
      </c>
      <c r="D76" s="1" t="s">
        <v>350</v>
      </c>
      <c r="E76" s="1" t="s">
        <v>10</v>
      </c>
      <c r="F76" s="1" t="s">
        <v>351</v>
      </c>
      <c r="G76" s="1" t="s">
        <v>31</v>
      </c>
      <c r="I76" s="1">
        <f t="shared" si="0"/>
        <v>0</v>
      </c>
      <c r="J76" s="1">
        <f t="shared" si="1"/>
        <v>0</v>
      </c>
      <c r="K76" s="1">
        <f t="shared" si="2"/>
        <v>1</v>
      </c>
    </row>
    <row r="77" spans="1:11" ht="21" customHeight="1" x14ac:dyDescent="0.2">
      <c r="A77" s="1" t="s">
        <v>11</v>
      </c>
      <c r="B77" s="1" t="s">
        <v>352</v>
      </c>
      <c r="C77" s="1" t="s">
        <v>353</v>
      </c>
      <c r="D77" s="1" t="s">
        <v>354</v>
      </c>
      <c r="E77" s="1" t="s">
        <v>9</v>
      </c>
      <c r="F77" s="1" t="s">
        <v>355</v>
      </c>
      <c r="G77" s="1" t="s">
        <v>126</v>
      </c>
      <c r="I77" s="1">
        <f t="shared" si="0"/>
        <v>0</v>
      </c>
      <c r="J77" s="1">
        <f t="shared" si="1"/>
        <v>1</v>
      </c>
      <c r="K77" s="1">
        <f t="shared" si="2"/>
        <v>0</v>
      </c>
    </row>
    <row r="78" spans="1:11" ht="21" customHeight="1" x14ac:dyDescent="0.2">
      <c r="A78" s="1" t="s">
        <v>11</v>
      </c>
      <c r="B78" s="1" t="s">
        <v>356</v>
      </c>
      <c r="C78" s="1" t="s">
        <v>357</v>
      </c>
      <c r="D78" s="1" t="s">
        <v>358</v>
      </c>
      <c r="E78" s="1" t="s">
        <v>10</v>
      </c>
      <c r="F78" s="1" t="s">
        <v>359</v>
      </c>
      <c r="G78" s="1" t="s">
        <v>31</v>
      </c>
      <c r="I78" s="1">
        <f t="shared" si="0"/>
        <v>0</v>
      </c>
      <c r="J78" s="1">
        <f t="shared" si="1"/>
        <v>0</v>
      </c>
      <c r="K78" s="1">
        <f t="shared" si="2"/>
        <v>1</v>
      </c>
    </row>
    <row r="79" spans="1:11" ht="21" customHeight="1" x14ac:dyDescent="0.2">
      <c r="A79" s="1" t="s">
        <v>11</v>
      </c>
      <c r="B79" s="1" t="s">
        <v>360</v>
      </c>
      <c r="C79" s="1" t="s">
        <v>361</v>
      </c>
      <c r="D79" s="1" t="s">
        <v>362</v>
      </c>
      <c r="E79" s="1" t="s">
        <v>8</v>
      </c>
      <c r="F79" s="1" t="s">
        <v>363</v>
      </c>
      <c r="G79" s="1" t="s">
        <v>80</v>
      </c>
      <c r="I79" s="1">
        <f t="shared" si="0"/>
        <v>1</v>
      </c>
      <c r="J79" s="1">
        <f t="shared" si="1"/>
        <v>0</v>
      </c>
      <c r="K79" s="1">
        <f t="shared" si="2"/>
        <v>0</v>
      </c>
    </row>
    <row r="80" spans="1:11" ht="21" customHeight="1" x14ac:dyDescent="0.2">
      <c r="A80" s="1" t="s">
        <v>11</v>
      </c>
      <c r="B80" s="1" t="s">
        <v>364</v>
      </c>
      <c r="C80" s="1" t="s">
        <v>365</v>
      </c>
      <c r="D80" s="1" t="s">
        <v>366</v>
      </c>
      <c r="E80" s="1" t="s">
        <v>10</v>
      </c>
      <c r="F80" s="1" t="s">
        <v>367</v>
      </c>
      <c r="G80" s="1" t="s">
        <v>31</v>
      </c>
      <c r="I80" s="1">
        <f t="shared" si="0"/>
        <v>0</v>
      </c>
      <c r="J80" s="1">
        <f t="shared" si="1"/>
        <v>0</v>
      </c>
      <c r="K80" s="1">
        <f t="shared" si="2"/>
        <v>1</v>
      </c>
    </row>
    <row r="81" spans="1:11" ht="21" customHeight="1" x14ac:dyDescent="0.2">
      <c r="A81" s="1" t="s">
        <v>11</v>
      </c>
      <c r="B81" s="1" t="s">
        <v>368</v>
      </c>
      <c r="C81" s="1" t="s">
        <v>369</v>
      </c>
      <c r="D81" s="1" t="s">
        <v>370</v>
      </c>
      <c r="E81" s="1" t="s">
        <v>8</v>
      </c>
      <c r="F81" s="1" t="s">
        <v>371</v>
      </c>
      <c r="G81" s="1" t="s">
        <v>372</v>
      </c>
      <c r="I81" s="1">
        <f t="shared" si="0"/>
        <v>1</v>
      </c>
      <c r="J81" s="1">
        <f t="shared" si="1"/>
        <v>0</v>
      </c>
      <c r="K81" s="1">
        <f t="shared" si="2"/>
        <v>0</v>
      </c>
    </row>
    <row r="82" spans="1:11" ht="21" customHeight="1" x14ac:dyDescent="0.2">
      <c r="A82" s="1" t="s">
        <v>11</v>
      </c>
      <c r="B82" s="1" t="s">
        <v>373</v>
      </c>
      <c r="C82" s="1" t="s">
        <v>374</v>
      </c>
      <c r="D82" s="1" t="s">
        <v>375</v>
      </c>
      <c r="E82" s="1" t="s">
        <v>10</v>
      </c>
      <c r="F82" s="1" t="s">
        <v>376</v>
      </c>
      <c r="G82" s="1" t="s">
        <v>31</v>
      </c>
      <c r="I82" s="1">
        <f t="shared" si="0"/>
        <v>0</v>
      </c>
      <c r="J82" s="1">
        <f t="shared" si="1"/>
        <v>0</v>
      </c>
      <c r="K82" s="1">
        <f t="shared" si="2"/>
        <v>1</v>
      </c>
    </row>
    <row r="83" spans="1:11" ht="21" customHeight="1" x14ac:dyDescent="0.2">
      <c r="A83" s="1" t="s">
        <v>11</v>
      </c>
      <c r="B83" s="1" t="s">
        <v>377</v>
      </c>
      <c r="C83" s="1" t="s">
        <v>378</v>
      </c>
      <c r="D83" s="1" t="s">
        <v>379</v>
      </c>
      <c r="E83" s="1" t="s">
        <v>8</v>
      </c>
      <c r="F83" s="1" t="s">
        <v>380</v>
      </c>
      <c r="G83" s="1" t="s">
        <v>26</v>
      </c>
      <c r="I83" s="1">
        <f t="shared" si="0"/>
        <v>1</v>
      </c>
      <c r="J83" s="1">
        <f t="shared" si="1"/>
        <v>0</v>
      </c>
      <c r="K83" s="1">
        <f t="shared" si="2"/>
        <v>0</v>
      </c>
    </row>
    <row r="84" spans="1:11" ht="21" customHeight="1" x14ac:dyDescent="0.2">
      <c r="A84" s="1" t="s">
        <v>11</v>
      </c>
      <c r="B84" s="1" t="s">
        <v>381</v>
      </c>
      <c r="C84" s="1" t="s">
        <v>382</v>
      </c>
      <c r="D84" s="1" t="s">
        <v>383</v>
      </c>
      <c r="E84" s="1" t="s">
        <v>9</v>
      </c>
      <c r="F84" s="1" t="s">
        <v>384</v>
      </c>
      <c r="G84" s="1" t="s">
        <v>21</v>
      </c>
      <c r="I84" s="1">
        <f t="shared" si="0"/>
        <v>0</v>
      </c>
      <c r="J84" s="1">
        <f t="shared" si="1"/>
        <v>1</v>
      </c>
      <c r="K84" s="1">
        <f t="shared" si="2"/>
        <v>0</v>
      </c>
    </row>
    <row r="85" spans="1:11" ht="21" customHeight="1" x14ac:dyDescent="0.2">
      <c r="A85" s="1" t="s">
        <v>11</v>
      </c>
      <c r="B85" s="1" t="s">
        <v>385</v>
      </c>
      <c r="C85" s="1" t="s">
        <v>386</v>
      </c>
      <c r="D85" s="1" t="s">
        <v>387</v>
      </c>
      <c r="E85" s="1" t="s">
        <v>10</v>
      </c>
      <c r="F85" s="1" t="s">
        <v>388</v>
      </c>
      <c r="G85" s="1" t="s">
        <v>21</v>
      </c>
      <c r="I85" s="1">
        <f t="shared" si="0"/>
        <v>0</v>
      </c>
      <c r="J85" s="1">
        <f t="shared" si="1"/>
        <v>0</v>
      </c>
      <c r="K85" s="1">
        <f t="shared" si="2"/>
        <v>1</v>
      </c>
    </row>
    <row r="86" spans="1:11" ht="21" customHeight="1" x14ac:dyDescent="0.2">
      <c r="A86" s="1" t="s">
        <v>11</v>
      </c>
      <c r="B86" s="1" t="s">
        <v>389</v>
      </c>
      <c r="C86" s="1" t="s">
        <v>390</v>
      </c>
      <c r="D86" s="1" t="s">
        <v>391</v>
      </c>
      <c r="E86" s="1" t="s">
        <v>8</v>
      </c>
      <c r="F86" s="1" t="s">
        <v>392</v>
      </c>
      <c r="G86" s="1" t="s">
        <v>80</v>
      </c>
      <c r="I86" s="1">
        <f t="shared" si="0"/>
        <v>1</v>
      </c>
      <c r="J86" s="1">
        <f t="shared" si="1"/>
        <v>0</v>
      </c>
      <c r="K86" s="1">
        <f t="shared" si="2"/>
        <v>0</v>
      </c>
    </row>
    <row r="87" spans="1:11" ht="21" customHeight="1" x14ac:dyDescent="0.2">
      <c r="A87" s="1" t="s">
        <v>11</v>
      </c>
      <c r="B87" s="1" t="s">
        <v>393</v>
      </c>
      <c r="C87" s="1" t="s">
        <v>394</v>
      </c>
      <c r="D87" s="1" t="s">
        <v>395</v>
      </c>
      <c r="E87" s="1" t="s">
        <v>8</v>
      </c>
      <c r="F87" s="1" t="s">
        <v>396</v>
      </c>
      <c r="G87" s="1" t="s">
        <v>108</v>
      </c>
      <c r="I87" s="1">
        <f t="shared" si="0"/>
        <v>1</v>
      </c>
      <c r="J87" s="1">
        <f t="shared" si="1"/>
        <v>0</v>
      </c>
      <c r="K87" s="1">
        <f t="shared" si="2"/>
        <v>0</v>
      </c>
    </row>
    <row r="88" spans="1:11" ht="21" customHeight="1" x14ac:dyDescent="0.2">
      <c r="A88" s="1" t="s">
        <v>11</v>
      </c>
      <c r="B88" s="1" t="s">
        <v>397</v>
      </c>
      <c r="C88" s="1" t="s">
        <v>398</v>
      </c>
      <c r="D88" s="1" t="s">
        <v>399</v>
      </c>
      <c r="E88" s="1" t="s">
        <v>8</v>
      </c>
      <c r="F88" s="1" t="s">
        <v>400</v>
      </c>
      <c r="G88" s="1" t="s">
        <v>401</v>
      </c>
      <c r="I88" s="1">
        <f t="shared" si="0"/>
        <v>1</v>
      </c>
      <c r="J88" s="1">
        <f t="shared" si="1"/>
        <v>0</v>
      </c>
      <c r="K88" s="1">
        <f t="shared" si="2"/>
        <v>0</v>
      </c>
    </row>
    <row r="89" spans="1:11" ht="21" customHeight="1" x14ac:dyDescent="0.2">
      <c r="A89" s="1" t="s">
        <v>11</v>
      </c>
      <c r="B89" s="1" t="s">
        <v>402</v>
      </c>
      <c r="C89" s="1" t="s">
        <v>403</v>
      </c>
      <c r="D89" s="1" t="s">
        <v>404</v>
      </c>
      <c r="E89" s="1" t="s">
        <v>8</v>
      </c>
      <c r="F89" s="1" t="s">
        <v>405</v>
      </c>
      <c r="G89" s="1" t="s">
        <v>26</v>
      </c>
      <c r="I89" s="1">
        <f t="shared" si="0"/>
        <v>1</v>
      </c>
      <c r="J89" s="1">
        <f t="shared" si="1"/>
        <v>0</v>
      </c>
      <c r="K89" s="1">
        <f t="shared" si="2"/>
        <v>0</v>
      </c>
    </row>
    <row r="90" spans="1:11" ht="21" customHeight="1" x14ac:dyDescent="0.2">
      <c r="A90" s="1" t="s">
        <v>11</v>
      </c>
      <c r="B90" s="1" t="s">
        <v>406</v>
      </c>
      <c r="C90" s="1" t="s">
        <v>407</v>
      </c>
      <c r="D90" s="1" t="s">
        <v>408</v>
      </c>
      <c r="E90" s="1" t="s">
        <v>10</v>
      </c>
      <c r="F90" s="1" t="s">
        <v>409</v>
      </c>
      <c r="G90" s="1" t="s">
        <v>410</v>
      </c>
      <c r="I90" s="1">
        <f t="shared" si="0"/>
        <v>0</v>
      </c>
      <c r="J90" s="1">
        <f t="shared" si="1"/>
        <v>0</v>
      </c>
      <c r="K90" s="1">
        <f t="shared" si="2"/>
        <v>1</v>
      </c>
    </row>
    <row r="91" spans="1:11" ht="21" customHeight="1" x14ac:dyDescent="0.2">
      <c r="A91" s="1" t="s">
        <v>11</v>
      </c>
      <c r="B91" s="1" t="s">
        <v>411</v>
      </c>
      <c r="C91" s="1" t="s">
        <v>412</v>
      </c>
      <c r="D91" s="1" t="s">
        <v>413</v>
      </c>
      <c r="E91" s="1" t="s">
        <v>10</v>
      </c>
      <c r="F91" s="1" t="s">
        <v>414</v>
      </c>
      <c r="G91" s="1" t="s">
        <v>51</v>
      </c>
      <c r="I91" s="1">
        <f t="shared" si="0"/>
        <v>0</v>
      </c>
      <c r="J91" s="1">
        <f t="shared" si="1"/>
        <v>0</v>
      </c>
      <c r="K91" s="1">
        <f t="shared" si="2"/>
        <v>1</v>
      </c>
    </row>
    <row r="92" spans="1:11" ht="21" customHeight="1" x14ac:dyDescent="0.2">
      <c r="A92" s="1" t="s">
        <v>415</v>
      </c>
      <c r="B92" s="1" t="s">
        <v>416</v>
      </c>
      <c r="C92" s="1" t="s">
        <v>417</v>
      </c>
      <c r="D92" s="1" t="s">
        <v>418</v>
      </c>
      <c r="E92" s="1" t="s">
        <v>8</v>
      </c>
      <c r="F92" s="1" t="s">
        <v>419</v>
      </c>
      <c r="G92" s="1" t="s">
        <v>26</v>
      </c>
      <c r="I92" s="1">
        <f t="shared" si="0"/>
        <v>1</v>
      </c>
      <c r="J92" s="1">
        <f t="shared" si="1"/>
        <v>0</v>
      </c>
      <c r="K92" s="1">
        <f t="shared" si="2"/>
        <v>0</v>
      </c>
    </row>
    <row r="93" spans="1:11" ht="21" customHeight="1" x14ac:dyDescent="0.2">
      <c r="A93" s="1" t="s">
        <v>415</v>
      </c>
      <c r="B93" s="1" t="s">
        <v>420</v>
      </c>
      <c r="C93" s="1" t="s">
        <v>420</v>
      </c>
      <c r="D93" s="1" t="s">
        <v>421</v>
      </c>
      <c r="E93" s="1" t="s">
        <v>8</v>
      </c>
      <c r="F93" s="1" t="s">
        <v>422</v>
      </c>
      <c r="G93" s="1" t="s">
        <v>108</v>
      </c>
      <c r="I93" s="1">
        <f t="shared" si="0"/>
        <v>1</v>
      </c>
      <c r="J93" s="1">
        <f t="shared" si="1"/>
        <v>0</v>
      </c>
      <c r="K93" s="1">
        <f t="shared" si="2"/>
        <v>0</v>
      </c>
    </row>
    <row r="94" spans="1:11" ht="21" customHeight="1" x14ac:dyDescent="0.2">
      <c r="A94" s="1" t="s">
        <v>415</v>
      </c>
      <c r="B94" s="1" t="s">
        <v>423</v>
      </c>
      <c r="C94" s="1" t="s">
        <v>424</v>
      </c>
      <c r="D94" s="1" t="s">
        <v>425</v>
      </c>
      <c r="E94" s="1" t="s">
        <v>8</v>
      </c>
      <c r="F94" s="1" t="s">
        <v>426</v>
      </c>
      <c r="G94" s="1" t="s">
        <v>427</v>
      </c>
      <c r="I94" s="1">
        <f t="shared" si="0"/>
        <v>1</v>
      </c>
      <c r="J94" s="1">
        <f t="shared" si="1"/>
        <v>0</v>
      </c>
      <c r="K94" s="1">
        <f t="shared" si="2"/>
        <v>0</v>
      </c>
    </row>
    <row r="95" spans="1:11" ht="21" customHeight="1" x14ac:dyDescent="0.2">
      <c r="A95" s="1" t="s">
        <v>415</v>
      </c>
      <c r="B95" s="1" t="s">
        <v>428</v>
      </c>
      <c r="C95" s="1" t="s">
        <v>429</v>
      </c>
      <c r="D95" s="1" t="s">
        <v>430</v>
      </c>
      <c r="E95" s="1" t="s">
        <v>8</v>
      </c>
      <c r="F95" s="1" t="s">
        <v>431</v>
      </c>
      <c r="G95" s="1" t="s">
        <v>267</v>
      </c>
      <c r="I95" s="1">
        <f t="shared" si="0"/>
        <v>1</v>
      </c>
      <c r="J95" s="1">
        <f t="shared" si="1"/>
        <v>0</v>
      </c>
      <c r="K95" s="1">
        <f t="shared" si="2"/>
        <v>0</v>
      </c>
    </row>
    <row r="96" spans="1:11" ht="21" customHeight="1" x14ac:dyDescent="0.2">
      <c r="A96" s="1" t="s">
        <v>415</v>
      </c>
      <c r="B96" s="1" t="s">
        <v>432</v>
      </c>
      <c r="C96" s="1" t="s">
        <v>433</v>
      </c>
      <c r="D96" s="1" t="s">
        <v>434</v>
      </c>
      <c r="E96" s="1" t="s">
        <v>8</v>
      </c>
      <c r="F96" s="1" t="s">
        <v>435</v>
      </c>
      <c r="G96" s="1" t="s">
        <v>436</v>
      </c>
      <c r="I96" s="1">
        <f t="shared" si="0"/>
        <v>1</v>
      </c>
      <c r="J96" s="1">
        <f t="shared" si="1"/>
        <v>0</v>
      </c>
      <c r="K96" s="1">
        <f t="shared" si="2"/>
        <v>0</v>
      </c>
    </row>
    <row r="97" spans="1:11" ht="21" customHeight="1" x14ac:dyDescent="0.2">
      <c r="A97" s="1" t="s">
        <v>415</v>
      </c>
      <c r="B97" s="1" t="s">
        <v>437</v>
      </c>
      <c r="C97" s="1" t="s">
        <v>438</v>
      </c>
      <c r="D97" s="1" t="s">
        <v>439</v>
      </c>
      <c r="E97" s="1" t="s">
        <v>10</v>
      </c>
      <c r="F97" s="1" t="s">
        <v>440</v>
      </c>
      <c r="G97" s="1" t="s">
        <v>31</v>
      </c>
      <c r="I97" s="1">
        <f t="shared" si="0"/>
        <v>0</v>
      </c>
      <c r="J97" s="1">
        <f t="shared" si="1"/>
        <v>0</v>
      </c>
      <c r="K97" s="1">
        <f t="shared" si="2"/>
        <v>1</v>
      </c>
    </row>
    <row r="98" spans="1:11" ht="21" customHeight="1" x14ac:dyDescent="0.2">
      <c r="A98" s="1" t="s">
        <v>415</v>
      </c>
      <c r="B98" s="1" t="s">
        <v>441</v>
      </c>
      <c r="C98" s="1" t="s">
        <v>442</v>
      </c>
      <c r="D98" s="1" t="s">
        <v>443</v>
      </c>
      <c r="E98" s="1" t="s">
        <v>10</v>
      </c>
      <c r="F98" s="1" t="s">
        <v>444</v>
      </c>
      <c r="G98" s="1" t="s">
        <v>31</v>
      </c>
      <c r="I98" s="1">
        <f t="shared" si="0"/>
        <v>0</v>
      </c>
      <c r="J98" s="1">
        <f t="shared" si="1"/>
        <v>0</v>
      </c>
      <c r="K98" s="1">
        <f t="shared" si="2"/>
        <v>1</v>
      </c>
    </row>
    <row r="99" spans="1:11" ht="21" customHeight="1" x14ac:dyDescent="0.2">
      <c r="A99" s="1" t="s">
        <v>415</v>
      </c>
      <c r="B99" s="1" t="s">
        <v>445</v>
      </c>
      <c r="C99" s="1" t="s">
        <v>446</v>
      </c>
      <c r="D99" s="1" t="s">
        <v>447</v>
      </c>
      <c r="E99" s="1" t="s">
        <v>10</v>
      </c>
      <c r="F99" s="1" t="s">
        <v>448</v>
      </c>
      <c r="G99" s="1" t="s">
        <v>31</v>
      </c>
      <c r="I99" s="1">
        <f t="shared" si="0"/>
        <v>0</v>
      </c>
      <c r="J99" s="1">
        <f t="shared" si="1"/>
        <v>0</v>
      </c>
      <c r="K99" s="1">
        <f t="shared" si="2"/>
        <v>1</v>
      </c>
    </row>
    <row r="100" spans="1:11" ht="21" customHeight="1" x14ac:dyDescent="0.2">
      <c r="A100" s="1" t="s">
        <v>415</v>
      </c>
      <c r="B100" s="1" t="s">
        <v>449</v>
      </c>
      <c r="C100" s="1" t="s">
        <v>450</v>
      </c>
      <c r="D100" s="1" t="s">
        <v>451</v>
      </c>
      <c r="E100" s="1" t="s">
        <v>8</v>
      </c>
      <c r="F100" s="1" t="s">
        <v>452</v>
      </c>
      <c r="G100" s="1" t="s">
        <v>453</v>
      </c>
      <c r="I100" s="1">
        <f t="shared" si="0"/>
        <v>1</v>
      </c>
      <c r="J100" s="1">
        <f t="shared" si="1"/>
        <v>0</v>
      </c>
      <c r="K100" s="1">
        <f t="shared" si="2"/>
        <v>0</v>
      </c>
    </row>
    <row r="101" spans="1:11" ht="21" customHeight="1" x14ac:dyDescent="0.2">
      <c r="A101" s="1" t="s">
        <v>415</v>
      </c>
      <c r="B101" s="1" t="s">
        <v>454</v>
      </c>
      <c r="C101" s="1" t="s">
        <v>455</v>
      </c>
      <c r="D101" s="1" t="s">
        <v>456</v>
      </c>
      <c r="E101" s="1" t="s">
        <v>8</v>
      </c>
      <c r="F101" s="1" t="s">
        <v>457</v>
      </c>
      <c r="G101" s="1" t="s">
        <v>276</v>
      </c>
      <c r="I101" s="1">
        <f t="shared" si="0"/>
        <v>1</v>
      </c>
      <c r="J101" s="1">
        <f t="shared" si="1"/>
        <v>0</v>
      </c>
      <c r="K101" s="1">
        <f t="shared" si="2"/>
        <v>0</v>
      </c>
    </row>
    <row r="102" spans="1:11" ht="21" customHeight="1" x14ac:dyDescent="0.2">
      <c r="A102" s="1" t="s">
        <v>415</v>
      </c>
      <c r="B102" s="1" t="s">
        <v>458</v>
      </c>
      <c r="C102" s="1" t="s">
        <v>459</v>
      </c>
      <c r="D102" s="1" t="s">
        <v>460</v>
      </c>
      <c r="E102" s="1" t="s">
        <v>8</v>
      </c>
      <c r="F102" s="1" t="s">
        <v>461</v>
      </c>
      <c r="G102" s="1" t="s">
        <v>276</v>
      </c>
      <c r="I102" s="1">
        <f t="shared" si="0"/>
        <v>1</v>
      </c>
      <c r="J102" s="1">
        <f t="shared" si="1"/>
        <v>0</v>
      </c>
      <c r="K102" s="1">
        <f t="shared" si="2"/>
        <v>0</v>
      </c>
    </row>
    <row r="103" spans="1:11" ht="21" customHeight="1" x14ac:dyDescent="0.2">
      <c r="A103" s="1" t="s">
        <v>415</v>
      </c>
      <c r="B103" s="1" t="s">
        <v>462</v>
      </c>
      <c r="C103" s="1" t="s">
        <v>463</v>
      </c>
      <c r="D103" s="1" t="s">
        <v>464</v>
      </c>
      <c r="E103" s="1" t="s">
        <v>9</v>
      </c>
      <c r="F103" s="1" t="s">
        <v>465</v>
      </c>
      <c r="G103" s="1" t="s">
        <v>21</v>
      </c>
      <c r="I103" s="1">
        <f t="shared" si="0"/>
        <v>0</v>
      </c>
      <c r="J103" s="1">
        <f t="shared" si="1"/>
        <v>1</v>
      </c>
      <c r="K103" s="1">
        <f t="shared" si="2"/>
        <v>0</v>
      </c>
    </row>
    <row r="104" spans="1:11" ht="21" customHeight="1" x14ac:dyDescent="0.2">
      <c r="A104" s="1" t="s">
        <v>415</v>
      </c>
      <c r="B104" s="1" t="s">
        <v>466</v>
      </c>
      <c r="C104" s="1" t="s">
        <v>467</v>
      </c>
      <c r="D104" s="1" t="s">
        <v>468</v>
      </c>
      <c r="E104" s="1" t="s">
        <v>9</v>
      </c>
      <c r="F104" s="1" t="s">
        <v>469</v>
      </c>
      <c r="G104" s="1" t="s">
        <v>21</v>
      </c>
      <c r="I104" s="1">
        <f t="shared" si="0"/>
        <v>0</v>
      </c>
      <c r="J104" s="1">
        <f t="shared" si="1"/>
        <v>1</v>
      </c>
      <c r="K104" s="1">
        <f t="shared" si="2"/>
        <v>0</v>
      </c>
    </row>
    <row r="105" spans="1:11" ht="21" customHeight="1" x14ac:dyDescent="0.2">
      <c r="A105" s="1" t="s">
        <v>415</v>
      </c>
      <c r="B105" s="1" t="s">
        <v>470</v>
      </c>
      <c r="C105" s="1" t="s">
        <v>471</v>
      </c>
      <c r="D105" s="1" t="s">
        <v>472</v>
      </c>
      <c r="E105" s="1" t="s">
        <v>8</v>
      </c>
      <c r="F105" s="1" t="s">
        <v>473</v>
      </c>
      <c r="G105" s="1" t="s">
        <v>474</v>
      </c>
      <c r="I105" s="1">
        <f t="shared" si="0"/>
        <v>1</v>
      </c>
      <c r="J105" s="1">
        <f t="shared" si="1"/>
        <v>0</v>
      </c>
      <c r="K105" s="1">
        <f t="shared" si="2"/>
        <v>0</v>
      </c>
    </row>
    <row r="106" spans="1:11" ht="21" customHeight="1" x14ac:dyDescent="0.2">
      <c r="A106" s="1" t="s">
        <v>415</v>
      </c>
      <c r="B106" s="1" t="s">
        <v>475</v>
      </c>
      <c r="C106" s="1" t="s">
        <v>476</v>
      </c>
      <c r="D106" s="1" t="s">
        <v>477</v>
      </c>
      <c r="E106" s="1" t="s">
        <v>8</v>
      </c>
      <c r="F106" s="1" t="s">
        <v>478</v>
      </c>
      <c r="G106" s="1" t="s">
        <v>267</v>
      </c>
      <c r="I106" s="1">
        <f t="shared" si="0"/>
        <v>1</v>
      </c>
      <c r="J106" s="1">
        <f t="shared" si="1"/>
        <v>0</v>
      </c>
      <c r="K106" s="1">
        <f t="shared" si="2"/>
        <v>0</v>
      </c>
    </row>
    <row r="107" spans="1:11" ht="21" customHeight="1" x14ac:dyDescent="0.2">
      <c r="A107" s="1" t="s">
        <v>415</v>
      </c>
      <c r="B107" s="1" t="s">
        <v>479</v>
      </c>
      <c r="C107" s="1" t="s">
        <v>480</v>
      </c>
      <c r="D107" s="1" t="s">
        <v>481</v>
      </c>
      <c r="E107" s="1" t="s">
        <v>8</v>
      </c>
      <c r="F107" s="1" t="s">
        <v>482</v>
      </c>
      <c r="G107" s="1" t="s">
        <v>75</v>
      </c>
      <c r="I107" s="1">
        <f t="shared" si="0"/>
        <v>1</v>
      </c>
      <c r="J107" s="1">
        <f t="shared" si="1"/>
        <v>0</v>
      </c>
      <c r="K107" s="1">
        <f t="shared" si="2"/>
        <v>0</v>
      </c>
    </row>
    <row r="108" spans="1:11" ht="21" customHeight="1" x14ac:dyDescent="0.2">
      <c r="A108" s="1" t="s">
        <v>415</v>
      </c>
      <c r="B108" s="1" t="s">
        <v>483</v>
      </c>
      <c r="C108" s="1" t="s">
        <v>484</v>
      </c>
      <c r="D108" s="1" t="s">
        <v>485</v>
      </c>
      <c r="E108" s="1" t="s">
        <v>9</v>
      </c>
      <c r="F108" s="1" t="s">
        <v>486</v>
      </c>
      <c r="G108" s="1" t="s">
        <v>126</v>
      </c>
      <c r="I108" s="1">
        <f t="shared" si="0"/>
        <v>0</v>
      </c>
      <c r="J108" s="1">
        <f t="shared" si="1"/>
        <v>1</v>
      </c>
      <c r="K108" s="1">
        <f t="shared" si="2"/>
        <v>0</v>
      </c>
    </row>
    <row r="109" spans="1:11" ht="21" customHeight="1" x14ac:dyDescent="0.2">
      <c r="A109" s="1" t="s">
        <v>415</v>
      </c>
      <c r="B109" s="1" t="s">
        <v>487</v>
      </c>
      <c r="C109" s="1" t="s">
        <v>488</v>
      </c>
      <c r="D109" s="1" t="s">
        <v>489</v>
      </c>
      <c r="E109" s="1" t="s">
        <v>8</v>
      </c>
      <c r="F109" s="1" t="s">
        <v>490</v>
      </c>
      <c r="G109" s="1" t="s">
        <v>491</v>
      </c>
      <c r="I109" s="1">
        <f t="shared" si="0"/>
        <v>1</v>
      </c>
      <c r="J109" s="1">
        <f t="shared" si="1"/>
        <v>0</v>
      </c>
      <c r="K109" s="1">
        <f t="shared" si="2"/>
        <v>0</v>
      </c>
    </row>
    <row r="110" spans="1:11" ht="21" customHeight="1" x14ac:dyDescent="0.2">
      <c r="A110" s="1" t="s">
        <v>415</v>
      </c>
      <c r="B110" s="1" t="s">
        <v>492</v>
      </c>
      <c r="C110" s="1" t="s">
        <v>493</v>
      </c>
      <c r="D110" s="1" t="s">
        <v>494</v>
      </c>
      <c r="E110" s="1" t="s">
        <v>9</v>
      </c>
      <c r="F110" s="1" t="s">
        <v>495</v>
      </c>
      <c r="G110" s="1" t="s">
        <v>21</v>
      </c>
      <c r="I110" s="1">
        <f t="shared" si="0"/>
        <v>0</v>
      </c>
      <c r="J110" s="1">
        <f t="shared" si="1"/>
        <v>1</v>
      </c>
      <c r="K110" s="1">
        <f t="shared" si="2"/>
        <v>0</v>
      </c>
    </row>
    <row r="111" spans="1:11" ht="21" customHeight="1" x14ac:dyDescent="0.2">
      <c r="A111" s="1" t="s">
        <v>415</v>
      </c>
      <c r="B111" s="1" t="s">
        <v>496</v>
      </c>
      <c r="C111" s="1" t="s">
        <v>497</v>
      </c>
      <c r="D111" s="1" t="s">
        <v>498</v>
      </c>
      <c r="E111" s="1" t="s">
        <v>8</v>
      </c>
      <c r="F111" s="1" t="s">
        <v>499</v>
      </c>
      <c r="G111" s="1" t="s">
        <v>500</v>
      </c>
      <c r="I111" s="1">
        <f t="shared" si="0"/>
        <v>1</v>
      </c>
      <c r="J111" s="1">
        <f t="shared" si="1"/>
        <v>0</v>
      </c>
      <c r="K111" s="1">
        <f t="shared" si="2"/>
        <v>0</v>
      </c>
    </row>
    <row r="112" spans="1:11" ht="21" customHeight="1" x14ac:dyDescent="0.2">
      <c r="A112" s="1" t="s">
        <v>415</v>
      </c>
      <c r="B112" s="1" t="s">
        <v>501</v>
      </c>
      <c r="C112" s="1" t="s">
        <v>502</v>
      </c>
      <c r="D112" s="1" t="s">
        <v>503</v>
      </c>
      <c r="E112" s="1" t="s">
        <v>8</v>
      </c>
      <c r="F112" s="1" t="s">
        <v>504</v>
      </c>
      <c r="G112" s="1" t="s">
        <v>70</v>
      </c>
      <c r="I112" s="1">
        <f t="shared" si="0"/>
        <v>1</v>
      </c>
      <c r="J112" s="1">
        <f t="shared" si="1"/>
        <v>0</v>
      </c>
      <c r="K112" s="1">
        <f t="shared" si="2"/>
        <v>0</v>
      </c>
    </row>
    <row r="113" spans="1:11" ht="21" customHeight="1" x14ac:dyDescent="0.2">
      <c r="A113" s="1" t="s">
        <v>415</v>
      </c>
      <c r="B113" s="1" t="s">
        <v>505</v>
      </c>
      <c r="C113" s="1" t="s">
        <v>506</v>
      </c>
      <c r="D113" s="1" t="s">
        <v>507</v>
      </c>
      <c r="E113" s="1" t="s">
        <v>10</v>
      </c>
      <c r="F113" s="1" t="s">
        <v>508</v>
      </c>
      <c r="G113" s="1" t="s">
        <v>31</v>
      </c>
      <c r="I113" s="1">
        <f t="shared" si="0"/>
        <v>0</v>
      </c>
      <c r="J113" s="1">
        <f t="shared" si="1"/>
        <v>0</v>
      </c>
      <c r="K113" s="1">
        <f t="shared" si="2"/>
        <v>1</v>
      </c>
    </row>
    <row r="114" spans="1:11" ht="21" customHeight="1" x14ac:dyDescent="0.2">
      <c r="A114" s="1" t="s">
        <v>415</v>
      </c>
      <c r="B114" s="1" t="s">
        <v>509</v>
      </c>
      <c r="C114" s="1" t="s">
        <v>510</v>
      </c>
      <c r="D114" s="1" t="s">
        <v>511</v>
      </c>
      <c r="E114" s="1" t="s">
        <v>8</v>
      </c>
      <c r="F114" s="1" t="s">
        <v>512</v>
      </c>
      <c r="G114" s="1" t="s">
        <v>513</v>
      </c>
      <c r="I114" s="1">
        <f t="shared" si="0"/>
        <v>1</v>
      </c>
      <c r="J114" s="1">
        <f t="shared" si="1"/>
        <v>0</v>
      </c>
      <c r="K114" s="1">
        <f t="shared" si="2"/>
        <v>0</v>
      </c>
    </row>
    <row r="115" spans="1:11" ht="21" customHeight="1" x14ac:dyDescent="0.2">
      <c r="A115" s="1" t="s">
        <v>415</v>
      </c>
      <c r="B115" s="1" t="s">
        <v>514</v>
      </c>
      <c r="C115" s="1" t="s">
        <v>515</v>
      </c>
      <c r="D115" s="1" t="s">
        <v>516</v>
      </c>
      <c r="E115" s="1" t="s">
        <v>8</v>
      </c>
      <c r="F115" s="1" t="s">
        <v>517</v>
      </c>
      <c r="G115" s="1" t="s">
        <v>26</v>
      </c>
      <c r="I115" s="1">
        <f t="shared" si="0"/>
        <v>1</v>
      </c>
      <c r="J115" s="1">
        <f t="shared" si="1"/>
        <v>0</v>
      </c>
      <c r="K115" s="1">
        <f t="shared" si="2"/>
        <v>0</v>
      </c>
    </row>
    <row r="116" spans="1:11" ht="21" customHeight="1" x14ac:dyDescent="0.2">
      <c r="A116" s="1" t="s">
        <v>415</v>
      </c>
      <c r="B116" s="1" t="s">
        <v>518</v>
      </c>
      <c r="C116" s="1" t="s">
        <v>519</v>
      </c>
      <c r="D116" s="1" t="s">
        <v>520</v>
      </c>
      <c r="E116" s="1" t="s">
        <v>10</v>
      </c>
      <c r="F116" s="1" t="s">
        <v>521</v>
      </c>
      <c r="G116" s="1" t="s">
        <v>31</v>
      </c>
      <c r="I116" s="1">
        <f t="shared" si="0"/>
        <v>0</v>
      </c>
      <c r="J116" s="1">
        <f t="shared" si="1"/>
        <v>0</v>
      </c>
      <c r="K116" s="1">
        <f t="shared" si="2"/>
        <v>1</v>
      </c>
    </row>
    <row r="117" spans="1:11" ht="21" customHeight="1" x14ac:dyDescent="0.2">
      <c r="A117" s="1" t="s">
        <v>415</v>
      </c>
      <c r="B117" s="1" t="s">
        <v>522</v>
      </c>
      <c r="C117" s="1" t="s">
        <v>523</v>
      </c>
      <c r="D117" s="1" t="s">
        <v>524</v>
      </c>
      <c r="E117" s="1" t="s">
        <v>8</v>
      </c>
      <c r="F117" s="1" t="s">
        <v>525</v>
      </c>
      <c r="G117" s="1" t="s">
        <v>526</v>
      </c>
      <c r="I117" s="1">
        <f t="shared" si="0"/>
        <v>1</v>
      </c>
      <c r="J117" s="1">
        <f t="shared" si="1"/>
        <v>0</v>
      </c>
      <c r="K117" s="1">
        <f t="shared" si="2"/>
        <v>0</v>
      </c>
    </row>
    <row r="118" spans="1:11" ht="21" customHeight="1" x14ac:dyDescent="0.2">
      <c r="A118" s="1" t="s">
        <v>415</v>
      </c>
      <c r="B118" s="1" t="s">
        <v>527</v>
      </c>
      <c r="C118" s="1" t="s">
        <v>528</v>
      </c>
      <c r="D118" s="1" t="s">
        <v>529</v>
      </c>
      <c r="E118" s="1" t="s">
        <v>8</v>
      </c>
      <c r="F118" s="1" t="s">
        <v>530</v>
      </c>
      <c r="G118" s="1" t="s">
        <v>108</v>
      </c>
      <c r="I118" s="1">
        <f t="shared" si="0"/>
        <v>1</v>
      </c>
      <c r="J118" s="1">
        <f t="shared" si="1"/>
        <v>0</v>
      </c>
      <c r="K118" s="1">
        <f t="shared" si="2"/>
        <v>0</v>
      </c>
    </row>
    <row r="119" spans="1:11" ht="21" customHeight="1" x14ac:dyDescent="0.2">
      <c r="A119" s="1" t="s">
        <v>415</v>
      </c>
      <c r="B119" s="1" t="s">
        <v>531</v>
      </c>
      <c r="C119" s="1" t="s">
        <v>532</v>
      </c>
      <c r="D119" s="1" t="s">
        <v>533</v>
      </c>
      <c r="E119" s="1" t="s">
        <v>9</v>
      </c>
      <c r="F119" s="1" t="s">
        <v>534</v>
      </c>
      <c r="G119" s="1" t="s">
        <v>21</v>
      </c>
      <c r="I119" s="1">
        <f t="shared" si="0"/>
        <v>0</v>
      </c>
      <c r="J119" s="1">
        <f t="shared" si="1"/>
        <v>1</v>
      </c>
      <c r="K119" s="1">
        <f t="shared" si="2"/>
        <v>0</v>
      </c>
    </row>
    <row r="120" spans="1:11" ht="21" customHeight="1" x14ac:dyDescent="0.2">
      <c r="A120" s="1" t="s">
        <v>415</v>
      </c>
      <c r="B120" s="1" t="s">
        <v>535</v>
      </c>
      <c r="C120" s="1" t="s">
        <v>536</v>
      </c>
      <c r="D120" s="1" t="s">
        <v>537</v>
      </c>
      <c r="E120" s="1" t="s">
        <v>8</v>
      </c>
      <c r="F120" s="1" t="s">
        <v>538</v>
      </c>
      <c r="G120" s="1" t="s">
        <v>90</v>
      </c>
      <c r="I120" s="1">
        <f t="shared" si="0"/>
        <v>1</v>
      </c>
      <c r="J120" s="1">
        <f t="shared" si="1"/>
        <v>0</v>
      </c>
      <c r="K120" s="1">
        <f t="shared" si="2"/>
        <v>0</v>
      </c>
    </row>
    <row r="121" spans="1:11" ht="21" customHeight="1" x14ac:dyDescent="0.2">
      <c r="A121" s="1" t="s">
        <v>415</v>
      </c>
      <c r="B121" s="1" t="s">
        <v>539</v>
      </c>
      <c r="C121" s="1" t="s">
        <v>540</v>
      </c>
      <c r="D121" s="1" t="s">
        <v>541</v>
      </c>
      <c r="E121" s="1" t="s">
        <v>8</v>
      </c>
      <c r="F121" s="1" t="s">
        <v>542</v>
      </c>
      <c r="G121" s="1" t="s">
        <v>543</v>
      </c>
      <c r="I121" s="1">
        <f t="shared" si="0"/>
        <v>1</v>
      </c>
      <c r="J121" s="1">
        <f t="shared" si="1"/>
        <v>0</v>
      </c>
      <c r="K121" s="1">
        <f t="shared" si="2"/>
        <v>0</v>
      </c>
    </row>
    <row r="122" spans="1:11" ht="21" customHeight="1" x14ac:dyDescent="0.2">
      <c r="A122" s="1" t="s">
        <v>415</v>
      </c>
      <c r="B122" s="1" t="s">
        <v>544</v>
      </c>
      <c r="C122" s="1" t="s">
        <v>545</v>
      </c>
      <c r="D122" s="1" t="s">
        <v>546</v>
      </c>
      <c r="E122" s="1" t="s">
        <v>8</v>
      </c>
      <c r="F122" s="1" t="s">
        <v>547</v>
      </c>
      <c r="G122" s="1" t="s">
        <v>56</v>
      </c>
      <c r="I122" s="1">
        <f t="shared" si="0"/>
        <v>1</v>
      </c>
      <c r="J122" s="1">
        <f t="shared" si="1"/>
        <v>0</v>
      </c>
      <c r="K122" s="1">
        <f t="shared" si="2"/>
        <v>0</v>
      </c>
    </row>
    <row r="123" spans="1:11" ht="21" customHeight="1" x14ac:dyDescent="0.2">
      <c r="A123" s="1" t="s">
        <v>415</v>
      </c>
      <c r="B123" s="1" t="s">
        <v>548</v>
      </c>
      <c r="C123" s="1" t="s">
        <v>549</v>
      </c>
      <c r="D123" s="1" t="s">
        <v>550</v>
      </c>
      <c r="E123" s="1" t="s">
        <v>8</v>
      </c>
      <c r="F123" s="1" t="s">
        <v>551</v>
      </c>
      <c r="G123" s="1" t="s">
        <v>276</v>
      </c>
      <c r="I123" s="1">
        <f t="shared" si="0"/>
        <v>1</v>
      </c>
      <c r="J123" s="1">
        <f t="shared" si="1"/>
        <v>0</v>
      </c>
      <c r="K123" s="1">
        <f t="shared" si="2"/>
        <v>0</v>
      </c>
    </row>
    <row r="124" spans="1:11" ht="21" customHeight="1" x14ac:dyDescent="0.2">
      <c r="A124" s="1" t="s">
        <v>415</v>
      </c>
      <c r="B124" s="1" t="s">
        <v>552</v>
      </c>
      <c r="C124" s="1" t="s">
        <v>553</v>
      </c>
      <c r="D124" s="1" t="s">
        <v>554</v>
      </c>
      <c r="E124" s="1" t="s">
        <v>8</v>
      </c>
      <c r="F124" s="1" t="s">
        <v>555</v>
      </c>
      <c r="G124" s="1" t="s">
        <v>26</v>
      </c>
      <c r="I124" s="1">
        <f t="shared" si="0"/>
        <v>1</v>
      </c>
      <c r="J124" s="1">
        <f t="shared" si="1"/>
        <v>0</v>
      </c>
      <c r="K124" s="1">
        <f t="shared" si="2"/>
        <v>0</v>
      </c>
    </row>
    <row r="125" spans="1:11" ht="21" customHeight="1" x14ac:dyDescent="0.2">
      <c r="A125" s="1" t="s">
        <v>415</v>
      </c>
      <c r="B125" s="1" t="s">
        <v>556</v>
      </c>
      <c r="C125" s="1" t="s">
        <v>557</v>
      </c>
      <c r="D125" s="1" t="s">
        <v>558</v>
      </c>
      <c r="E125" s="1" t="s">
        <v>10</v>
      </c>
      <c r="F125" s="1" t="s">
        <v>559</v>
      </c>
      <c r="G125" s="1" t="s">
        <v>31</v>
      </c>
      <c r="I125" s="1">
        <f t="shared" si="0"/>
        <v>0</v>
      </c>
      <c r="J125" s="1">
        <f t="shared" si="1"/>
        <v>0</v>
      </c>
      <c r="K125" s="1">
        <f t="shared" si="2"/>
        <v>1</v>
      </c>
    </row>
    <row r="126" spans="1:11" ht="21" customHeight="1" x14ac:dyDescent="0.2">
      <c r="A126" s="1" t="s">
        <v>415</v>
      </c>
      <c r="B126" s="1" t="s">
        <v>560</v>
      </c>
      <c r="C126" s="1" t="s">
        <v>561</v>
      </c>
      <c r="D126" s="1" t="s">
        <v>562</v>
      </c>
      <c r="E126" s="1" t="s">
        <v>8</v>
      </c>
      <c r="F126" s="1" t="s">
        <v>563</v>
      </c>
      <c r="G126" s="1" t="s">
        <v>564</v>
      </c>
      <c r="I126" s="1">
        <f t="shared" si="0"/>
        <v>1</v>
      </c>
      <c r="J126" s="1">
        <f t="shared" si="1"/>
        <v>0</v>
      </c>
      <c r="K126" s="1">
        <f t="shared" si="2"/>
        <v>0</v>
      </c>
    </row>
    <row r="127" spans="1:11" ht="21" customHeight="1" x14ac:dyDescent="0.2">
      <c r="A127" s="1" t="s">
        <v>415</v>
      </c>
      <c r="B127" s="1" t="s">
        <v>565</v>
      </c>
      <c r="C127" s="1" t="s">
        <v>566</v>
      </c>
      <c r="D127" s="1" t="s">
        <v>567</v>
      </c>
      <c r="E127" s="1" t="s">
        <v>8</v>
      </c>
      <c r="F127" s="1" t="s">
        <v>568</v>
      </c>
      <c r="G127" s="1" t="s">
        <v>26</v>
      </c>
      <c r="I127" s="1">
        <f t="shared" si="0"/>
        <v>1</v>
      </c>
      <c r="J127" s="1">
        <f t="shared" si="1"/>
        <v>0</v>
      </c>
      <c r="K127" s="1">
        <f t="shared" si="2"/>
        <v>0</v>
      </c>
    </row>
    <row r="128" spans="1:11" ht="21" customHeight="1" x14ac:dyDescent="0.2">
      <c r="A128" s="1" t="s">
        <v>415</v>
      </c>
      <c r="B128" s="1" t="s">
        <v>569</v>
      </c>
      <c r="C128" s="1" t="s">
        <v>570</v>
      </c>
      <c r="D128" s="1" t="s">
        <v>571</v>
      </c>
      <c r="E128" s="1" t="s">
        <v>9</v>
      </c>
      <c r="F128" s="1" t="s">
        <v>572</v>
      </c>
      <c r="G128" s="1" t="s">
        <v>126</v>
      </c>
      <c r="I128" s="1">
        <f t="shared" si="0"/>
        <v>0</v>
      </c>
      <c r="J128" s="1">
        <f t="shared" si="1"/>
        <v>1</v>
      </c>
      <c r="K128" s="1">
        <f t="shared" si="2"/>
        <v>0</v>
      </c>
    </row>
    <row r="129" spans="1:11" ht="21" customHeight="1" x14ac:dyDescent="0.2">
      <c r="A129" s="1" t="s">
        <v>415</v>
      </c>
      <c r="B129" s="1" t="s">
        <v>573</v>
      </c>
      <c r="C129" s="1" t="s">
        <v>574</v>
      </c>
      <c r="D129" s="1" t="s">
        <v>575</v>
      </c>
      <c r="E129" s="1" t="s">
        <v>10</v>
      </c>
      <c r="F129" s="1" t="s">
        <v>576</v>
      </c>
      <c r="G129" s="1" t="s">
        <v>31</v>
      </c>
      <c r="I129" s="1">
        <f t="shared" si="0"/>
        <v>0</v>
      </c>
      <c r="J129" s="1">
        <f t="shared" si="1"/>
        <v>0</v>
      </c>
      <c r="K129" s="1">
        <f t="shared" si="2"/>
        <v>1</v>
      </c>
    </row>
    <row r="130" spans="1:11" ht="21" customHeight="1" x14ac:dyDescent="0.2">
      <c r="A130" s="1" t="s">
        <v>415</v>
      </c>
      <c r="B130" s="1" t="s">
        <v>577</v>
      </c>
      <c r="C130" s="1" t="s">
        <v>578</v>
      </c>
      <c r="D130" s="1" t="s">
        <v>579</v>
      </c>
      <c r="E130" s="1" t="s">
        <v>10</v>
      </c>
      <c r="F130" s="1" t="s">
        <v>580</v>
      </c>
      <c r="G130" s="1" t="s">
        <v>31</v>
      </c>
      <c r="I130" s="1">
        <f t="shared" si="0"/>
        <v>0</v>
      </c>
      <c r="J130" s="1">
        <f t="shared" si="1"/>
        <v>0</v>
      </c>
      <c r="K130" s="1">
        <f t="shared" si="2"/>
        <v>1</v>
      </c>
    </row>
    <row r="131" spans="1:11" ht="21" customHeight="1" x14ac:dyDescent="0.2">
      <c r="A131" s="1" t="s">
        <v>415</v>
      </c>
      <c r="B131" s="1" t="s">
        <v>581</v>
      </c>
      <c r="C131" s="1" t="s">
        <v>582</v>
      </c>
      <c r="D131" s="1" t="s">
        <v>583</v>
      </c>
      <c r="E131" s="1" t="s">
        <v>10</v>
      </c>
      <c r="F131" s="1" t="s">
        <v>584</v>
      </c>
      <c r="G131" s="1" t="s">
        <v>31</v>
      </c>
      <c r="I131" s="1">
        <f t="shared" si="0"/>
        <v>0</v>
      </c>
      <c r="J131" s="1">
        <f t="shared" si="1"/>
        <v>0</v>
      </c>
      <c r="K131" s="1">
        <f t="shared" si="2"/>
        <v>1</v>
      </c>
    </row>
    <row r="132" spans="1:11" ht="21" customHeight="1" x14ac:dyDescent="0.2">
      <c r="A132" s="1" t="s">
        <v>415</v>
      </c>
      <c r="B132" s="1" t="s">
        <v>585</v>
      </c>
      <c r="C132" s="1" t="s">
        <v>586</v>
      </c>
      <c r="D132" s="1" t="s">
        <v>587</v>
      </c>
      <c r="E132" s="1" t="s">
        <v>8</v>
      </c>
      <c r="F132" s="1" t="s">
        <v>588</v>
      </c>
      <c r="G132" s="1" t="s">
        <v>80</v>
      </c>
      <c r="I132" s="1">
        <f t="shared" si="0"/>
        <v>1</v>
      </c>
      <c r="J132" s="1">
        <f t="shared" si="1"/>
        <v>0</v>
      </c>
      <c r="K132" s="1">
        <f t="shared" si="2"/>
        <v>0</v>
      </c>
    </row>
    <row r="133" spans="1:11" ht="21" customHeight="1" x14ac:dyDescent="0.2">
      <c r="A133" s="1" t="s">
        <v>415</v>
      </c>
      <c r="B133" s="1" t="s">
        <v>589</v>
      </c>
      <c r="C133" s="1" t="s">
        <v>590</v>
      </c>
      <c r="D133" s="1" t="s">
        <v>591</v>
      </c>
      <c r="E133" s="1" t="s">
        <v>8</v>
      </c>
      <c r="F133" s="1" t="s">
        <v>592</v>
      </c>
      <c r="G133" s="1" t="s">
        <v>26</v>
      </c>
      <c r="I133" s="1">
        <f t="shared" si="0"/>
        <v>1</v>
      </c>
      <c r="J133" s="1">
        <f t="shared" si="1"/>
        <v>0</v>
      </c>
      <c r="K133" s="1">
        <f t="shared" si="2"/>
        <v>0</v>
      </c>
    </row>
    <row r="134" spans="1:11" ht="21" customHeight="1" x14ac:dyDescent="0.2">
      <c r="A134" s="1" t="s">
        <v>415</v>
      </c>
      <c r="B134" s="1" t="s">
        <v>593</v>
      </c>
      <c r="C134" s="1" t="s">
        <v>594</v>
      </c>
      <c r="D134" s="1" t="s">
        <v>595</v>
      </c>
      <c r="E134" s="1" t="s">
        <v>10</v>
      </c>
      <c r="F134" s="1" t="s">
        <v>596</v>
      </c>
      <c r="G134" s="1" t="s">
        <v>597</v>
      </c>
      <c r="I134" s="1">
        <f t="shared" si="0"/>
        <v>0</v>
      </c>
      <c r="J134" s="1">
        <f t="shared" si="1"/>
        <v>0</v>
      </c>
      <c r="K134" s="1">
        <f t="shared" si="2"/>
        <v>1</v>
      </c>
    </row>
    <row r="135" spans="1:11" ht="21" customHeight="1" x14ac:dyDescent="0.2">
      <c r="A135" s="1" t="s">
        <v>415</v>
      </c>
      <c r="B135" s="1" t="s">
        <v>598</v>
      </c>
      <c r="C135" s="1" t="s">
        <v>599</v>
      </c>
      <c r="D135" s="1" t="s">
        <v>600</v>
      </c>
      <c r="E135" s="1" t="s">
        <v>8</v>
      </c>
      <c r="F135" s="1" t="s">
        <v>601</v>
      </c>
      <c r="G135" s="1" t="s">
        <v>453</v>
      </c>
      <c r="I135" s="1">
        <f t="shared" si="0"/>
        <v>1</v>
      </c>
      <c r="J135" s="1">
        <f t="shared" si="1"/>
        <v>0</v>
      </c>
      <c r="K135" s="1">
        <f t="shared" si="2"/>
        <v>0</v>
      </c>
    </row>
    <row r="136" spans="1:11" ht="21" customHeight="1" x14ac:dyDescent="0.2">
      <c r="A136" s="1" t="s">
        <v>415</v>
      </c>
      <c r="B136" s="1" t="s">
        <v>602</v>
      </c>
      <c r="C136" s="1" t="s">
        <v>603</v>
      </c>
      <c r="D136" s="1" t="s">
        <v>604</v>
      </c>
      <c r="E136" s="1" t="s">
        <v>8</v>
      </c>
      <c r="F136" s="1" t="s">
        <v>605</v>
      </c>
      <c r="G136" s="1" t="s">
        <v>85</v>
      </c>
      <c r="I136" s="1">
        <f t="shared" si="0"/>
        <v>1</v>
      </c>
      <c r="J136" s="1">
        <f t="shared" si="1"/>
        <v>0</v>
      </c>
      <c r="K136" s="1">
        <f t="shared" si="2"/>
        <v>0</v>
      </c>
    </row>
    <row r="137" spans="1:11" ht="21" customHeight="1" x14ac:dyDescent="0.2">
      <c r="A137" s="1" t="s">
        <v>415</v>
      </c>
      <c r="B137" s="1" t="s">
        <v>606</v>
      </c>
      <c r="C137" s="1" t="s">
        <v>607</v>
      </c>
      <c r="D137" s="1" t="s">
        <v>608</v>
      </c>
      <c r="E137" s="1" t="s">
        <v>8</v>
      </c>
      <c r="F137" s="1" t="s">
        <v>609</v>
      </c>
      <c r="G137" s="1" t="s">
        <v>26</v>
      </c>
      <c r="I137" s="1">
        <f t="shared" si="0"/>
        <v>1</v>
      </c>
      <c r="J137" s="1">
        <f t="shared" si="1"/>
        <v>0</v>
      </c>
      <c r="K137" s="1">
        <f t="shared" si="2"/>
        <v>0</v>
      </c>
    </row>
    <row r="138" spans="1:11" ht="21" customHeight="1" x14ac:dyDescent="0.2">
      <c r="A138" s="1" t="s">
        <v>415</v>
      </c>
      <c r="B138" s="1" t="s">
        <v>610</v>
      </c>
      <c r="C138" s="1" t="s">
        <v>611</v>
      </c>
      <c r="D138" s="1" t="s">
        <v>612</v>
      </c>
      <c r="E138" s="1" t="s">
        <v>8</v>
      </c>
      <c r="F138" s="1" t="s">
        <v>613</v>
      </c>
      <c r="G138" s="1" t="s">
        <v>614</v>
      </c>
      <c r="I138" s="1">
        <f t="shared" si="0"/>
        <v>1</v>
      </c>
      <c r="J138" s="1">
        <f t="shared" si="1"/>
        <v>0</v>
      </c>
      <c r="K138" s="1">
        <f t="shared" si="2"/>
        <v>0</v>
      </c>
    </row>
    <row r="139" spans="1:11" ht="21" customHeight="1" x14ac:dyDescent="0.2">
      <c r="A139" s="1" t="s">
        <v>415</v>
      </c>
      <c r="B139" s="1" t="s">
        <v>615</v>
      </c>
      <c r="C139" s="1" t="s">
        <v>616</v>
      </c>
      <c r="D139" s="1" t="s">
        <v>617</v>
      </c>
      <c r="E139" s="1" t="s">
        <v>8</v>
      </c>
      <c r="F139" s="1" t="s">
        <v>618</v>
      </c>
      <c r="G139" s="1" t="s">
        <v>36</v>
      </c>
      <c r="I139" s="1">
        <f t="shared" si="0"/>
        <v>1</v>
      </c>
      <c r="J139" s="1">
        <f t="shared" si="1"/>
        <v>0</v>
      </c>
      <c r="K139" s="1">
        <f t="shared" si="2"/>
        <v>0</v>
      </c>
    </row>
    <row r="140" spans="1:11" ht="21" customHeight="1" x14ac:dyDescent="0.2">
      <c r="A140" s="1" t="s">
        <v>415</v>
      </c>
      <c r="B140" s="1" t="s">
        <v>619</v>
      </c>
      <c r="C140" s="1" t="s">
        <v>620</v>
      </c>
      <c r="D140" s="1" t="s">
        <v>621</v>
      </c>
      <c r="E140" s="1" t="s">
        <v>8</v>
      </c>
      <c r="F140" s="1" t="s">
        <v>622</v>
      </c>
      <c r="G140" s="1" t="s">
        <v>75</v>
      </c>
      <c r="I140" s="1">
        <f t="shared" si="0"/>
        <v>1</v>
      </c>
      <c r="J140" s="1">
        <f t="shared" si="1"/>
        <v>0</v>
      </c>
      <c r="K140" s="1">
        <f t="shared" si="2"/>
        <v>0</v>
      </c>
    </row>
    <row r="141" spans="1:11" ht="21" customHeight="1" x14ac:dyDescent="0.2">
      <c r="A141" s="1" t="s">
        <v>415</v>
      </c>
      <c r="B141" s="1" t="s">
        <v>623</v>
      </c>
      <c r="C141" s="1" t="s">
        <v>624</v>
      </c>
      <c r="D141" s="1" t="s">
        <v>625</v>
      </c>
      <c r="E141" s="1" t="s">
        <v>8</v>
      </c>
      <c r="F141" s="1" t="s">
        <v>626</v>
      </c>
      <c r="G141" s="1" t="s">
        <v>26</v>
      </c>
      <c r="I141" s="1">
        <f t="shared" si="0"/>
        <v>1</v>
      </c>
      <c r="J141" s="1">
        <f t="shared" si="1"/>
        <v>0</v>
      </c>
      <c r="K141" s="1">
        <f t="shared" si="2"/>
        <v>0</v>
      </c>
    </row>
    <row r="142" spans="1:11" ht="21" customHeight="1" x14ac:dyDescent="0.2">
      <c r="A142" s="1" t="s">
        <v>415</v>
      </c>
      <c r="B142" s="1" t="s">
        <v>627</v>
      </c>
      <c r="C142" s="1" t="s">
        <v>628</v>
      </c>
      <c r="D142" s="1" t="s">
        <v>629</v>
      </c>
      <c r="E142" s="1" t="s">
        <v>8</v>
      </c>
      <c r="F142" s="1" t="s">
        <v>630</v>
      </c>
      <c r="G142" s="1" t="s">
        <v>631</v>
      </c>
      <c r="I142" s="1">
        <f t="shared" si="0"/>
        <v>1</v>
      </c>
      <c r="J142" s="1">
        <f t="shared" si="1"/>
        <v>0</v>
      </c>
      <c r="K142" s="1">
        <f t="shared" si="2"/>
        <v>0</v>
      </c>
    </row>
    <row r="143" spans="1:11" ht="21" customHeight="1" x14ac:dyDescent="0.2">
      <c r="A143" s="1" t="s">
        <v>415</v>
      </c>
      <c r="B143" s="1" t="s">
        <v>632</v>
      </c>
      <c r="C143" s="1" t="s">
        <v>633</v>
      </c>
      <c r="D143" s="1" t="s">
        <v>634</v>
      </c>
      <c r="E143" s="1" t="s">
        <v>8</v>
      </c>
      <c r="F143" s="1" t="s">
        <v>635</v>
      </c>
      <c r="G143" s="1" t="s">
        <v>26</v>
      </c>
      <c r="I143" s="1">
        <f t="shared" si="0"/>
        <v>1</v>
      </c>
      <c r="J143" s="1">
        <f t="shared" si="1"/>
        <v>0</v>
      </c>
      <c r="K143" s="1">
        <f t="shared" si="2"/>
        <v>0</v>
      </c>
    </row>
    <row r="144" spans="1:11" ht="21" customHeight="1" x14ac:dyDescent="0.2">
      <c r="A144" s="1" t="s">
        <v>415</v>
      </c>
      <c r="B144" s="1" t="s">
        <v>636</v>
      </c>
      <c r="C144" s="1" t="s">
        <v>637</v>
      </c>
      <c r="D144" s="1" t="s">
        <v>638</v>
      </c>
      <c r="E144" s="1" t="s">
        <v>8</v>
      </c>
      <c r="F144" s="1" t="s">
        <v>639</v>
      </c>
      <c r="G144" s="1" t="s">
        <v>85</v>
      </c>
      <c r="I144" s="1">
        <f t="shared" si="0"/>
        <v>1</v>
      </c>
      <c r="J144" s="1">
        <f t="shared" si="1"/>
        <v>0</v>
      </c>
      <c r="K144" s="1">
        <f t="shared" si="2"/>
        <v>0</v>
      </c>
    </row>
    <row r="145" spans="1:11" ht="21" customHeight="1" x14ac:dyDescent="0.2">
      <c r="A145" s="1" t="s">
        <v>415</v>
      </c>
      <c r="B145" s="1" t="s">
        <v>640</v>
      </c>
      <c r="C145" s="1" t="s">
        <v>641</v>
      </c>
      <c r="D145" s="1" t="s">
        <v>642</v>
      </c>
      <c r="E145" s="1" t="s">
        <v>8</v>
      </c>
      <c r="F145" s="1" t="s">
        <v>643</v>
      </c>
      <c r="G145" s="1" t="s">
        <v>26</v>
      </c>
      <c r="I145" s="1">
        <f t="shared" si="0"/>
        <v>1</v>
      </c>
      <c r="J145" s="1">
        <f t="shared" si="1"/>
        <v>0</v>
      </c>
      <c r="K145" s="1">
        <f t="shared" si="2"/>
        <v>0</v>
      </c>
    </row>
    <row r="146" spans="1:11" ht="21" customHeight="1" x14ac:dyDescent="0.2">
      <c r="A146" s="1" t="s">
        <v>415</v>
      </c>
      <c r="B146" s="1" t="s">
        <v>644</v>
      </c>
      <c r="C146" s="1" t="s">
        <v>645</v>
      </c>
      <c r="D146" s="1" t="s">
        <v>646</v>
      </c>
      <c r="E146" s="1" t="s">
        <v>8</v>
      </c>
      <c r="F146" s="1" t="s">
        <v>647</v>
      </c>
      <c r="G146" s="1" t="s">
        <v>26</v>
      </c>
      <c r="I146" s="1">
        <f t="shared" si="0"/>
        <v>1</v>
      </c>
      <c r="J146" s="1">
        <f t="shared" si="1"/>
        <v>0</v>
      </c>
      <c r="K146" s="1">
        <f t="shared" si="2"/>
        <v>0</v>
      </c>
    </row>
    <row r="147" spans="1:11" ht="21" customHeight="1" x14ac:dyDescent="0.2">
      <c r="A147" s="1" t="s">
        <v>415</v>
      </c>
      <c r="B147" s="1" t="s">
        <v>648</v>
      </c>
      <c r="C147" s="1" t="s">
        <v>649</v>
      </c>
      <c r="D147" s="1" t="s">
        <v>650</v>
      </c>
      <c r="E147" s="1" t="s">
        <v>8</v>
      </c>
      <c r="F147" s="1" t="s">
        <v>651</v>
      </c>
      <c r="G147" s="1" t="s">
        <v>652</v>
      </c>
      <c r="I147" s="1">
        <f t="shared" si="0"/>
        <v>1</v>
      </c>
      <c r="J147" s="1">
        <f t="shared" si="1"/>
        <v>0</v>
      </c>
      <c r="K147" s="1">
        <f t="shared" si="2"/>
        <v>0</v>
      </c>
    </row>
    <row r="148" spans="1:11" ht="21" customHeight="1" x14ac:dyDescent="0.2">
      <c r="A148" s="1" t="s">
        <v>415</v>
      </c>
      <c r="B148" s="1" t="s">
        <v>653</v>
      </c>
      <c r="C148" s="1" t="s">
        <v>654</v>
      </c>
      <c r="D148" s="1" t="s">
        <v>655</v>
      </c>
      <c r="E148" s="1" t="s">
        <v>8</v>
      </c>
      <c r="F148" s="1" t="s">
        <v>656</v>
      </c>
      <c r="G148" s="1" t="s">
        <v>80</v>
      </c>
      <c r="I148" s="1">
        <f t="shared" si="0"/>
        <v>1</v>
      </c>
      <c r="J148" s="1">
        <f t="shared" si="1"/>
        <v>0</v>
      </c>
      <c r="K148" s="1">
        <f t="shared" si="2"/>
        <v>0</v>
      </c>
    </row>
    <row r="149" spans="1:11" ht="21" customHeight="1" x14ac:dyDescent="0.2">
      <c r="A149" s="1" t="s">
        <v>415</v>
      </c>
      <c r="B149" s="1" t="s">
        <v>657</v>
      </c>
      <c r="C149" s="1" t="s">
        <v>658</v>
      </c>
      <c r="D149" s="1" t="s">
        <v>659</v>
      </c>
      <c r="E149" s="1" t="s">
        <v>8</v>
      </c>
      <c r="F149" s="1" t="s">
        <v>660</v>
      </c>
      <c r="G149" s="1" t="s">
        <v>661</v>
      </c>
      <c r="I149" s="1">
        <f t="shared" si="0"/>
        <v>1</v>
      </c>
      <c r="J149" s="1">
        <f t="shared" si="1"/>
        <v>0</v>
      </c>
      <c r="K149" s="1">
        <f t="shared" si="2"/>
        <v>0</v>
      </c>
    </row>
    <row r="150" spans="1:11" ht="21" customHeight="1" x14ac:dyDescent="0.2">
      <c r="A150" s="1" t="s">
        <v>415</v>
      </c>
      <c r="B150" s="1" t="s">
        <v>662</v>
      </c>
      <c r="C150" s="1" t="s">
        <v>663</v>
      </c>
      <c r="D150" s="1" t="s">
        <v>664</v>
      </c>
      <c r="E150" s="1" t="s">
        <v>9</v>
      </c>
      <c r="F150" s="1" t="s">
        <v>665</v>
      </c>
      <c r="G150" s="1" t="s">
        <v>126</v>
      </c>
      <c r="I150" s="1">
        <f t="shared" si="0"/>
        <v>0</v>
      </c>
      <c r="J150" s="1">
        <f t="shared" si="1"/>
        <v>1</v>
      </c>
      <c r="K150" s="1">
        <f t="shared" si="2"/>
        <v>0</v>
      </c>
    </row>
    <row r="151" spans="1:11" ht="21" customHeight="1" x14ac:dyDescent="0.2">
      <c r="A151" s="1" t="s">
        <v>666</v>
      </c>
      <c r="B151" s="1" t="s">
        <v>667</v>
      </c>
      <c r="C151" s="1" t="s">
        <v>668</v>
      </c>
      <c r="D151" s="1" t="s">
        <v>669</v>
      </c>
      <c r="E151" s="1" t="s">
        <v>10</v>
      </c>
      <c r="F151" s="1" t="s">
        <v>670</v>
      </c>
      <c r="G151" s="1" t="s">
        <v>597</v>
      </c>
      <c r="I151" s="1">
        <f t="shared" si="0"/>
        <v>0</v>
      </c>
      <c r="J151" s="1">
        <f t="shared" si="1"/>
        <v>0</v>
      </c>
      <c r="K151" s="1">
        <f t="shared" si="2"/>
        <v>1</v>
      </c>
    </row>
    <row r="152" spans="1:11" ht="21" customHeight="1" x14ac:dyDescent="0.2">
      <c r="A152" s="1" t="s">
        <v>666</v>
      </c>
      <c r="B152" s="1" t="s">
        <v>671</v>
      </c>
      <c r="C152" s="1" t="s">
        <v>672</v>
      </c>
      <c r="D152" s="1" t="s">
        <v>673</v>
      </c>
      <c r="E152" s="1" t="s">
        <v>8</v>
      </c>
      <c r="F152" s="1" t="s">
        <v>674</v>
      </c>
      <c r="G152" s="1" t="s">
        <v>26</v>
      </c>
      <c r="I152" s="1">
        <f t="shared" si="0"/>
        <v>1</v>
      </c>
      <c r="J152" s="1">
        <f t="shared" si="1"/>
        <v>0</v>
      </c>
      <c r="K152" s="1">
        <f t="shared" si="2"/>
        <v>0</v>
      </c>
    </row>
    <row r="153" spans="1:11" ht="21" customHeight="1" x14ac:dyDescent="0.2">
      <c r="A153" s="1" t="s">
        <v>666</v>
      </c>
      <c r="B153" s="1" t="s">
        <v>675</v>
      </c>
      <c r="C153" s="1" t="s">
        <v>676</v>
      </c>
      <c r="D153" s="1" t="s">
        <v>677</v>
      </c>
      <c r="E153" s="1" t="s">
        <v>8</v>
      </c>
      <c r="F153" s="1" t="s">
        <v>678</v>
      </c>
      <c r="G153" s="1" t="s">
        <v>26</v>
      </c>
      <c r="I153" s="1">
        <f t="shared" si="0"/>
        <v>1</v>
      </c>
      <c r="J153" s="1">
        <f t="shared" si="1"/>
        <v>0</v>
      </c>
      <c r="K153" s="1">
        <f t="shared" si="2"/>
        <v>0</v>
      </c>
    </row>
    <row r="154" spans="1:11" ht="21" customHeight="1" x14ac:dyDescent="0.2">
      <c r="A154" s="1" t="s">
        <v>666</v>
      </c>
      <c r="B154" s="1" t="s">
        <v>679</v>
      </c>
      <c r="C154" s="1" t="s">
        <v>680</v>
      </c>
      <c r="D154" s="1" t="s">
        <v>681</v>
      </c>
      <c r="E154" s="1" t="s">
        <v>10</v>
      </c>
      <c r="F154" s="1" t="s">
        <v>682</v>
      </c>
      <c r="G154" s="1" t="s">
        <v>31</v>
      </c>
      <c r="I154" s="1">
        <f t="shared" si="0"/>
        <v>0</v>
      </c>
      <c r="J154" s="1">
        <f t="shared" si="1"/>
        <v>0</v>
      </c>
      <c r="K154" s="1">
        <f t="shared" si="2"/>
        <v>1</v>
      </c>
    </row>
    <row r="155" spans="1:11" ht="21" customHeight="1" x14ac:dyDescent="0.2">
      <c r="A155" s="1" t="s">
        <v>666</v>
      </c>
      <c r="B155" s="1" t="s">
        <v>683</v>
      </c>
      <c r="C155" s="1" t="s">
        <v>684</v>
      </c>
      <c r="D155" s="1" t="s">
        <v>685</v>
      </c>
      <c r="E155" s="1" t="s">
        <v>9</v>
      </c>
      <c r="F155" s="1" t="s">
        <v>686</v>
      </c>
      <c r="G155" s="1" t="s">
        <v>21</v>
      </c>
      <c r="I155" s="1">
        <f t="shared" si="0"/>
        <v>0</v>
      </c>
      <c r="J155" s="1">
        <f t="shared" si="1"/>
        <v>1</v>
      </c>
      <c r="K155" s="1">
        <f t="shared" si="2"/>
        <v>0</v>
      </c>
    </row>
    <row r="156" spans="1:11" ht="21" customHeight="1" x14ac:dyDescent="0.2">
      <c r="A156" s="1" t="s">
        <v>666</v>
      </c>
      <c r="B156" s="1" t="s">
        <v>687</v>
      </c>
      <c r="C156" s="1" t="s">
        <v>688</v>
      </c>
      <c r="D156" s="1" t="s">
        <v>689</v>
      </c>
      <c r="E156" s="1" t="s">
        <v>8</v>
      </c>
      <c r="F156" s="1" t="s">
        <v>690</v>
      </c>
      <c r="G156" s="1" t="s">
        <v>227</v>
      </c>
      <c r="I156" s="1">
        <f t="shared" si="0"/>
        <v>1</v>
      </c>
      <c r="J156" s="1">
        <f t="shared" si="1"/>
        <v>0</v>
      </c>
      <c r="K156" s="1">
        <f t="shared" si="2"/>
        <v>0</v>
      </c>
    </row>
    <row r="157" spans="1:11" ht="21" customHeight="1" x14ac:dyDescent="0.2">
      <c r="A157" s="1" t="s">
        <v>666</v>
      </c>
      <c r="B157" s="1" t="s">
        <v>691</v>
      </c>
      <c r="C157" s="1" t="s">
        <v>692</v>
      </c>
      <c r="D157" s="1" t="s">
        <v>693</v>
      </c>
      <c r="E157" s="1" t="s">
        <v>8</v>
      </c>
      <c r="F157" s="1" t="s">
        <v>694</v>
      </c>
      <c r="G157" s="1" t="s">
        <v>26</v>
      </c>
      <c r="I157" s="1">
        <f t="shared" si="0"/>
        <v>1</v>
      </c>
      <c r="J157" s="1">
        <f t="shared" si="1"/>
        <v>0</v>
      </c>
      <c r="K157" s="1">
        <f t="shared" si="2"/>
        <v>0</v>
      </c>
    </row>
    <row r="158" spans="1:11" ht="21" customHeight="1" x14ac:dyDescent="0.2">
      <c r="A158" s="1" t="s">
        <v>666</v>
      </c>
      <c r="B158" s="1" t="s">
        <v>695</v>
      </c>
      <c r="C158" s="1" t="s">
        <v>696</v>
      </c>
      <c r="D158" s="1" t="s">
        <v>697</v>
      </c>
      <c r="E158" s="1" t="s">
        <v>8</v>
      </c>
      <c r="F158" s="1" t="s">
        <v>698</v>
      </c>
      <c r="G158" s="1" t="s">
        <v>26</v>
      </c>
      <c r="I158" s="1">
        <f t="shared" si="0"/>
        <v>1</v>
      </c>
      <c r="J158" s="1">
        <f t="shared" si="1"/>
        <v>0</v>
      </c>
      <c r="K158" s="1">
        <f t="shared" si="2"/>
        <v>0</v>
      </c>
    </row>
    <row r="159" spans="1:11" ht="21" customHeight="1" x14ac:dyDescent="0.2">
      <c r="A159" s="1" t="s">
        <v>666</v>
      </c>
      <c r="B159" s="1" t="s">
        <v>699</v>
      </c>
      <c r="C159" s="1" t="s">
        <v>700</v>
      </c>
      <c r="D159" s="1" t="s">
        <v>701</v>
      </c>
      <c r="E159" s="1" t="s">
        <v>8</v>
      </c>
      <c r="F159" s="1" t="s">
        <v>702</v>
      </c>
      <c r="G159" s="1" t="s">
        <v>26</v>
      </c>
      <c r="I159" s="1">
        <f t="shared" si="0"/>
        <v>1</v>
      </c>
      <c r="J159" s="1">
        <f t="shared" si="1"/>
        <v>0</v>
      </c>
      <c r="K159" s="1">
        <f t="shared" si="2"/>
        <v>0</v>
      </c>
    </row>
    <row r="160" spans="1:11" ht="21" customHeight="1" x14ac:dyDescent="0.2">
      <c r="A160" s="1" t="s">
        <v>666</v>
      </c>
      <c r="B160" s="1" t="s">
        <v>703</v>
      </c>
      <c r="C160" s="1" t="s">
        <v>704</v>
      </c>
      <c r="D160" s="1" t="s">
        <v>705</v>
      </c>
      <c r="E160" s="1" t="s">
        <v>8</v>
      </c>
      <c r="F160" s="1" t="s">
        <v>706</v>
      </c>
      <c r="G160" s="1" t="s">
        <v>26</v>
      </c>
      <c r="I160" s="1">
        <f t="shared" si="0"/>
        <v>1</v>
      </c>
      <c r="J160" s="1">
        <f t="shared" si="1"/>
        <v>0</v>
      </c>
      <c r="K160" s="1">
        <f t="shared" si="2"/>
        <v>0</v>
      </c>
    </row>
    <row r="161" spans="1:11" ht="21" customHeight="1" x14ac:dyDescent="0.2">
      <c r="A161" s="1" t="s">
        <v>666</v>
      </c>
      <c r="B161" s="1" t="s">
        <v>707</v>
      </c>
      <c r="C161" s="1" t="s">
        <v>708</v>
      </c>
      <c r="D161" s="1" t="s">
        <v>709</v>
      </c>
      <c r="E161" s="1" t="s">
        <v>9</v>
      </c>
      <c r="F161" s="1" t="s">
        <v>710</v>
      </c>
      <c r="G161" s="1" t="s">
        <v>126</v>
      </c>
      <c r="I161" s="1">
        <f t="shared" si="0"/>
        <v>0</v>
      </c>
      <c r="J161" s="1">
        <f t="shared" si="1"/>
        <v>1</v>
      </c>
      <c r="K161" s="1">
        <f t="shared" si="2"/>
        <v>0</v>
      </c>
    </row>
    <row r="162" spans="1:11" ht="21" customHeight="1" x14ac:dyDescent="0.2">
      <c r="A162" s="1" t="s">
        <v>666</v>
      </c>
      <c r="B162" s="1" t="s">
        <v>711</v>
      </c>
      <c r="C162" s="1" t="s">
        <v>712</v>
      </c>
      <c r="D162" s="1" t="s">
        <v>713</v>
      </c>
      <c r="E162" s="1" t="s">
        <v>8</v>
      </c>
      <c r="F162" s="1" t="s">
        <v>714</v>
      </c>
      <c r="G162" s="1" t="s">
        <v>26</v>
      </c>
      <c r="I162" s="1">
        <f t="shared" si="0"/>
        <v>1</v>
      </c>
      <c r="J162" s="1">
        <f t="shared" si="1"/>
        <v>0</v>
      </c>
      <c r="K162" s="1">
        <f t="shared" si="2"/>
        <v>0</v>
      </c>
    </row>
    <row r="163" spans="1:11" ht="21" customHeight="1" x14ac:dyDescent="0.2">
      <c r="A163" s="1" t="s">
        <v>666</v>
      </c>
      <c r="B163" s="1" t="s">
        <v>715</v>
      </c>
      <c r="C163" s="1" t="s">
        <v>716</v>
      </c>
      <c r="D163" s="1" t="s">
        <v>717</v>
      </c>
      <c r="E163" s="1" t="s">
        <v>10</v>
      </c>
      <c r="F163" s="1" t="s">
        <v>718</v>
      </c>
      <c r="G163" s="1" t="s">
        <v>31</v>
      </c>
      <c r="I163" s="1">
        <f t="shared" si="0"/>
        <v>0</v>
      </c>
      <c r="J163" s="1">
        <f t="shared" si="1"/>
        <v>0</v>
      </c>
      <c r="K163" s="1">
        <f t="shared" si="2"/>
        <v>1</v>
      </c>
    </row>
    <row r="164" spans="1:11" ht="21" customHeight="1" x14ac:dyDescent="0.2">
      <c r="A164" s="1" t="s">
        <v>666</v>
      </c>
      <c r="B164" s="1" t="s">
        <v>719</v>
      </c>
      <c r="C164" s="1" t="s">
        <v>720</v>
      </c>
      <c r="D164" s="1" t="s">
        <v>721</v>
      </c>
      <c r="E164" s="1" t="s">
        <v>10</v>
      </c>
      <c r="F164" s="1" t="s">
        <v>722</v>
      </c>
      <c r="G164" s="1" t="s">
        <v>31</v>
      </c>
      <c r="I164" s="1">
        <f t="shared" si="0"/>
        <v>0</v>
      </c>
      <c r="J164" s="1">
        <f t="shared" si="1"/>
        <v>0</v>
      </c>
      <c r="K164" s="1">
        <f t="shared" si="2"/>
        <v>1</v>
      </c>
    </row>
    <row r="165" spans="1:11" ht="21" customHeight="1" x14ac:dyDescent="0.2">
      <c r="A165" s="1" t="s">
        <v>666</v>
      </c>
      <c r="B165" s="1" t="s">
        <v>723</v>
      </c>
      <c r="C165" s="1" t="s">
        <v>724</v>
      </c>
      <c r="D165" s="1" t="s">
        <v>725</v>
      </c>
      <c r="E165" s="1" t="s">
        <v>8</v>
      </c>
      <c r="F165" s="1" t="s">
        <v>726</v>
      </c>
      <c r="G165" s="1" t="s">
        <v>108</v>
      </c>
      <c r="I165" s="1">
        <f t="shared" si="0"/>
        <v>1</v>
      </c>
      <c r="J165" s="1">
        <f t="shared" si="1"/>
        <v>0</v>
      </c>
      <c r="K165" s="1">
        <f t="shared" si="2"/>
        <v>0</v>
      </c>
    </row>
    <row r="166" spans="1:11" ht="21" customHeight="1" x14ac:dyDescent="0.2">
      <c r="A166" s="1" t="s">
        <v>666</v>
      </c>
      <c r="B166" s="1" t="s">
        <v>727</v>
      </c>
      <c r="C166" s="1" t="s">
        <v>728</v>
      </c>
      <c r="D166" s="1" t="s">
        <v>729</v>
      </c>
      <c r="E166" s="1" t="s">
        <v>10</v>
      </c>
      <c r="F166" s="1" t="s">
        <v>730</v>
      </c>
      <c r="G166" s="1" t="s">
        <v>31</v>
      </c>
      <c r="I166" s="1">
        <f t="shared" si="0"/>
        <v>0</v>
      </c>
      <c r="J166" s="1">
        <f t="shared" si="1"/>
        <v>0</v>
      </c>
      <c r="K166" s="1">
        <f t="shared" si="2"/>
        <v>1</v>
      </c>
    </row>
    <row r="167" spans="1:11" ht="21" customHeight="1" x14ac:dyDescent="0.2">
      <c r="A167" s="1" t="s">
        <v>666</v>
      </c>
      <c r="B167" s="1" t="s">
        <v>731</v>
      </c>
      <c r="C167" s="1" t="s">
        <v>732</v>
      </c>
      <c r="D167" s="1" t="s">
        <v>733</v>
      </c>
      <c r="E167" s="1" t="s">
        <v>8</v>
      </c>
      <c r="F167" s="1" t="s">
        <v>734</v>
      </c>
      <c r="G167" s="1" t="s">
        <v>227</v>
      </c>
      <c r="I167" s="1">
        <f t="shared" si="0"/>
        <v>1</v>
      </c>
      <c r="J167" s="1">
        <f t="shared" si="1"/>
        <v>0</v>
      </c>
      <c r="K167" s="1">
        <f t="shared" si="2"/>
        <v>0</v>
      </c>
    </row>
    <row r="168" spans="1:11" ht="21" customHeight="1" x14ac:dyDescent="0.2">
      <c r="A168" s="1" t="s">
        <v>666</v>
      </c>
      <c r="B168" s="1" t="s">
        <v>735</v>
      </c>
      <c r="C168" s="1" t="s">
        <v>736</v>
      </c>
      <c r="D168" s="1" t="s">
        <v>737</v>
      </c>
      <c r="E168" s="1" t="s">
        <v>8</v>
      </c>
      <c r="F168" s="1" t="s">
        <v>738</v>
      </c>
      <c r="G168" s="1" t="s">
        <v>26</v>
      </c>
      <c r="I168" s="1">
        <f t="shared" si="0"/>
        <v>1</v>
      </c>
      <c r="J168" s="1">
        <f t="shared" si="1"/>
        <v>0</v>
      </c>
      <c r="K168" s="1">
        <f t="shared" si="2"/>
        <v>0</v>
      </c>
    </row>
    <row r="169" spans="1:11" ht="21" customHeight="1" x14ac:dyDescent="0.2">
      <c r="A169" s="1" t="s">
        <v>666</v>
      </c>
      <c r="B169" s="1" t="s">
        <v>739</v>
      </c>
      <c r="C169" s="1" t="s">
        <v>740</v>
      </c>
      <c r="D169" s="1" t="s">
        <v>741</v>
      </c>
      <c r="E169" s="1" t="s">
        <v>8</v>
      </c>
      <c r="F169" s="1" t="s">
        <v>742</v>
      </c>
      <c r="G169" s="1" t="s">
        <v>743</v>
      </c>
      <c r="I169" s="1">
        <f t="shared" si="0"/>
        <v>1</v>
      </c>
      <c r="J169" s="1">
        <f t="shared" si="1"/>
        <v>0</v>
      </c>
      <c r="K169" s="1">
        <f t="shared" si="2"/>
        <v>0</v>
      </c>
    </row>
    <row r="170" spans="1:11" ht="21" customHeight="1" x14ac:dyDescent="0.2">
      <c r="A170" s="1" t="s">
        <v>666</v>
      </c>
      <c r="B170" s="1" t="s">
        <v>744</v>
      </c>
      <c r="C170" s="1" t="s">
        <v>745</v>
      </c>
      <c r="D170" s="1" t="s">
        <v>746</v>
      </c>
      <c r="E170" s="1" t="s">
        <v>10</v>
      </c>
      <c r="F170" s="1" t="s">
        <v>747</v>
      </c>
      <c r="G170" s="1" t="s">
        <v>31</v>
      </c>
      <c r="I170" s="1">
        <f t="shared" si="0"/>
        <v>0</v>
      </c>
      <c r="J170" s="1">
        <f t="shared" si="1"/>
        <v>0</v>
      </c>
      <c r="K170" s="1">
        <f t="shared" si="2"/>
        <v>1</v>
      </c>
    </row>
    <row r="171" spans="1:11" ht="21" customHeight="1" x14ac:dyDescent="0.2">
      <c r="A171" s="1" t="s">
        <v>666</v>
      </c>
      <c r="B171" s="1" t="s">
        <v>748</v>
      </c>
      <c r="C171" s="1" t="s">
        <v>749</v>
      </c>
      <c r="D171" s="1" t="s">
        <v>750</v>
      </c>
      <c r="E171" s="1" t="s">
        <v>8</v>
      </c>
      <c r="F171" s="1" t="s">
        <v>751</v>
      </c>
      <c r="G171" s="1" t="s">
        <v>26</v>
      </c>
      <c r="I171" s="1">
        <f t="shared" si="0"/>
        <v>1</v>
      </c>
      <c r="J171" s="1">
        <f t="shared" si="1"/>
        <v>0</v>
      </c>
      <c r="K171" s="1">
        <f t="shared" si="2"/>
        <v>0</v>
      </c>
    </row>
    <row r="172" spans="1:11" ht="21" customHeight="1" x14ac:dyDescent="0.2">
      <c r="A172" s="1" t="s">
        <v>666</v>
      </c>
      <c r="B172" s="1" t="s">
        <v>752</v>
      </c>
      <c r="C172" s="1" t="s">
        <v>753</v>
      </c>
      <c r="D172" s="1" t="s">
        <v>754</v>
      </c>
      <c r="E172" s="1" t="s">
        <v>8</v>
      </c>
      <c r="F172" s="1" t="s">
        <v>755</v>
      </c>
      <c r="G172" s="1" t="s">
        <v>756</v>
      </c>
      <c r="I172" s="1">
        <f t="shared" si="0"/>
        <v>1</v>
      </c>
      <c r="J172" s="1">
        <f t="shared" si="1"/>
        <v>0</v>
      </c>
      <c r="K172" s="1">
        <f t="shared" si="2"/>
        <v>0</v>
      </c>
    </row>
    <row r="173" spans="1:11" ht="21" customHeight="1" x14ac:dyDescent="0.2">
      <c r="A173" s="1" t="s">
        <v>666</v>
      </c>
      <c r="B173" s="1" t="s">
        <v>757</v>
      </c>
      <c r="C173" s="1" t="s">
        <v>758</v>
      </c>
      <c r="D173" s="1" t="s">
        <v>759</v>
      </c>
      <c r="E173" s="1" t="s">
        <v>9</v>
      </c>
      <c r="F173" s="1" t="s">
        <v>760</v>
      </c>
      <c r="G173" s="1" t="s">
        <v>21</v>
      </c>
      <c r="I173" s="1">
        <f t="shared" si="0"/>
        <v>0</v>
      </c>
      <c r="J173" s="1">
        <f t="shared" si="1"/>
        <v>1</v>
      </c>
      <c r="K173" s="1">
        <f t="shared" si="2"/>
        <v>0</v>
      </c>
    </row>
    <row r="174" spans="1:11" ht="21" customHeight="1" x14ac:dyDescent="0.2">
      <c r="A174" s="1" t="s">
        <v>666</v>
      </c>
      <c r="B174" s="1" t="s">
        <v>761</v>
      </c>
      <c r="C174" s="1" t="s">
        <v>762</v>
      </c>
      <c r="D174" s="1" t="s">
        <v>763</v>
      </c>
      <c r="E174" s="1" t="s">
        <v>10</v>
      </c>
      <c r="F174" s="1" t="s">
        <v>764</v>
      </c>
      <c r="G174" s="1" t="s">
        <v>31</v>
      </c>
      <c r="I174" s="1">
        <f t="shared" si="0"/>
        <v>0</v>
      </c>
      <c r="J174" s="1">
        <f t="shared" si="1"/>
        <v>0</v>
      </c>
      <c r="K174" s="1">
        <f t="shared" si="2"/>
        <v>1</v>
      </c>
    </row>
    <row r="175" spans="1:11" ht="21" customHeight="1" x14ac:dyDescent="0.2">
      <c r="A175" s="1" t="s">
        <v>666</v>
      </c>
      <c r="B175" s="1" t="s">
        <v>765</v>
      </c>
      <c r="C175" s="1" t="s">
        <v>766</v>
      </c>
      <c r="D175" s="1" t="s">
        <v>767</v>
      </c>
      <c r="E175" s="1" t="s">
        <v>8</v>
      </c>
      <c r="F175" s="1" t="s">
        <v>768</v>
      </c>
      <c r="G175" s="1" t="s">
        <v>26</v>
      </c>
      <c r="I175" s="1">
        <f t="shared" si="0"/>
        <v>1</v>
      </c>
      <c r="J175" s="1">
        <f t="shared" si="1"/>
        <v>0</v>
      </c>
      <c r="K175" s="1">
        <f t="shared" si="2"/>
        <v>0</v>
      </c>
    </row>
    <row r="176" spans="1:11" ht="21" customHeight="1" x14ac:dyDescent="0.2">
      <c r="A176" s="1" t="s">
        <v>666</v>
      </c>
      <c r="B176" s="1" t="s">
        <v>769</v>
      </c>
      <c r="C176" s="1" t="s">
        <v>770</v>
      </c>
      <c r="D176" s="1" t="s">
        <v>771</v>
      </c>
      <c r="E176" s="1" t="s">
        <v>10</v>
      </c>
      <c r="F176" s="1" t="s">
        <v>772</v>
      </c>
      <c r="G176" s="1" t="s">
        <v>31</v>
      </c>
      <c r="I176" s="1">
        <f t="shared" si="0"/>
        <v>0</v>
      </c>
      <c r="J176" s="1">
        <f t="shared" si="1"/>
        <v>0</v>
      </c>
      <c r="K176" s="1">
        <f t="shared" si="2"/>
        <v>1</v>
      </c>
    </row>
    <row r="177" spans="1:11" ht="21" customHeight="1" x14ac:dyDescent="0.2">
      <c r="A177" s="1" t="s">
        <v>666</v>
      </c>
      <c r="B177" s="1" t="s">
        <v>773</v>
      </c>
      <c r="C177" s="1" t="s">
        <v>774</v>
      </c>
      <c r="D177" s="1" t="s">
        <v>775</v>
      </c>
      <c r="E177" s="1" t="s">
        <v>10</v>
      </c>
      <c r="F177" s="1" t="s">
        <v>776</v>
      </c>
      <c r="G177" s="1" t="s">
        <v>31</v>
      </c>
      <c r="I177" s="1">
        <f t="shared" si="0"/>
        <v>0</v>
      </c>
      <c r="J177" s="1">
        <f t="shared" si="1"/>
        <v>0</v>
      </c>
      <c r="K177" s="1">
        <f t="shared" si="2"/>
        <v>1</v>
      </c>
    </row>
    <row r="178" spans="1:11" ht="21" customHeight="1" x14ac:dyDescent="0.2">
      <c r="A178" s="1" t="s">
        <v>666</v>
      </c>
      <c r="B178" s="1" t="s">
        <v>777</v>
      </c>
      <c r="C178" s="1" t="s">
        <v>778</v>
      </c>
      <c r="D178" s="1" t="s">
        <v>779</v>
      </c>
      <c r="E178" s="1" t="s">
        <v>8</v>
      </c>
      <c r="F178" s="1" t="s">
        <v>780</v>
      </c>
      <c r="G178" s="1" t="s">
        <v>70</v>
      </c>
      <c r="I178" s="1">
        <f t="shared" si="0"/>
        <v>1</v>
      </c>
      <c r="J178" s="1">
        <f t="shared" si="1"/>
        <v>0</v>
      </c>
      <c r="K178" s="1">
        <f t="shared" si="2"/>
        <v>0</v>
      </c>
    </row>
    <row r="179" spans="1:11" ht="21" customHeight="1" x14ac:dyDescent="0.2">
      <c r="A179" s="1" t="s">
        <v>666</v>
      </c>
      <c r="B179" s="1" t="s">
        <v>781</v>
      </c>
      <c r="C179" s="1" t="s">
        <v>782</v>
      </c>
      <c r="D179" s="1" t="s">
        <v>783</v>
      </c>
      <c r="E179" s="1" t="s">
        <v>10</v>
      </c>
      <c r="F179" s="1" t="s">
        <v>784</v>
      </c>
      <c r="G179" s="1" t="s">
        <v>31</v>
      </c>
      <c r="I179" s="1">
        <f t="shared" si="0"/>
        <v>0</v>
      </c>
      <c r="J179" s="1">
        <f t="shared" si="1"/>
        <v>0</v>
      </c>
      <c r="K179" s="1">
        <f t="shared" si="2"/>
        <v>1</v>
      </c>
    </row>
    <row r="180" spans="1:11" ht="21" customHeight="1" x14ac:dyDescent="0.2">
      <c r="A180" s="1" t="s">
        <v>666</v>
      </c>
      <c r="B180" s="1" t="s">
        <v>785</v>
      </c>
      <c r="C180" s="1" t="s">
        <v>786</v>
      </c>
      <c r="D180" s="1" t="s">
        <v>787</v>
      </c>
      <c r="E180" s="1" t="s">
        <v>10</v>
      </c>
      <c r="F180" s="1" t="s">
        <v>788</v>
      </c>
      <c r="G180" s="1" t="s">
        <v>31</v>
      </c>
      <c r="I180" s="1">
        <f t="shared" si="0"/>
        <v>0</v>
      </c>
      <c r="J180" s="1">
        <f t="shared" si="1"/>
        <v>0</v>
      </c>
      <c r="K180" s="1">
        <f t="shared" si="2"/>
        <v>1</v>
      </c>
    </row>
    <row r="181" spans="1:11" ht="21" customHeight="1" x14ac:dyDescent="0.2">
      <c r="A181" s="1" t="s">
        <v>666</v>
      </c>
      <c r="B181" s="1" t="s">
        <v>789</v>
      </c>
      <c r="C181" s="1" t="s">
        <v>790</v>
      </c>
      <c r="D181" s="1" t="s">
        <v>791</v>
      </c>
      <c r="E181" s="1" t="s">
        <v>10</v>
      </c>
      <c r="F181" s="1" t="s">
        <v>792</v>
      </c>
      <c r="G181" s="1" t="s">
        <v>31</v>
      </c>
      <c r="I181" s="1">
        <f t="shared" si="0"/>
        <v>0</v>
      </c>
      <c r="J181" s="1">
        <f t="shared" si="1"/>
        <v>0</v>
      </c>
      <c r="K181" s="1">
        <f t="shared" si="2"/>
        <v>1</v>
      </c>
    </row>
    <row r="182" spans="1:11" ht="21" customHeight="1" x14ac:dyDescent="0.2">
      <c r="A182" s="1" t="s">
        <v>666</v>
      </c>
      <c r="B182" s="1" t="s">
        <v>793</v>
      </c>
      <c r="C182" s="1" t="s">
        <v>794</v>
      </c>
      <c r="D182" s="1" t="s">
        <v>795</v>
      </c>
      <c r="E182" s="1" t="s">
        <v>8</v>
      </c>
      <c r="F182" s="1" t="s">
        <v>796</v>
      </c>
      <c r="G182" s="1" t="s">
        <v>797</v>
      </c>
      <c r="I182" s="1">
        <f t="shared" si="0"/>
        <v>1</v>
      </c>
      <c r="J182" s="1">
        <f t="shared" si="1"/>
        <v>0</v>
      </c>
      <c r="K182" s="1">
        <f t="shared" si="2"/>
        <v>0</v>
      </c>
    </row>
    <row r="183" spans="1:11" ht="21" customHeight="1" x14ac:dyDescent="0.2">
      <c r="A183" s="1" t="s">
        <v>666</v>
      </c>
      <c r="B183" s="1" t="s">
        <v>798</v>
      </c>
      <c r="C183" s="1" t="s">
        <v>799</v>
      </c>
      <c r="D183" s="1" t="s">
        <v>800</v>
      </c>
      <c r="E183" s="1" t="s">
        <v>8</v>
      </c>
      <c r="F183" s="1" t="s">
        <v>801</v>
      </c>
      <c r="G183" s="1" t="s">
        <v>802</v>
      </c>
      <c r="I183" s="1">
        <f t="shared" si="0"/>
        <v>1</v>
      </c>
      <c r="J183" s="1">
        <f t="shared" si="1"/>
        <v>0</v>
      </c>
      <c r="K183" s="1">
        <f t="shared" si="2"/>
        <v>0</v>
      </c>
    </row>
    <row r="184" spans="1:11" ht="21" customHeight="1" x14ac:dyDescent="0.2">
      <c r="A184" s="1" t="s">
        <v>666</v>
      </c>
      <c r="B184" s="1" t="s">
        <v>803</v>
      </c>
      <c r="C184" s="1" t="s">
        <v>804</v>
      </c>
      <c r="D184" s="1" t="s">
        <v>805</v>
      </c>
      <c r="E184" s="1" t="s">
        <v>8</v>
      </c>
      <c r="F184" s="1" t="s">
        <v>806</v>
      </c>
      <c r="G184" s="1" t="s">
        <v>807</v>
      </c>
      <c r="I184" s="1">
        <f t="shared" si="0"/>
        <v>1</v>
      </c>
      <c r="J184" s="1">
        <f t="shared" si="1"/>
        <v>0</v>
      </c>
      <c r="K184" s="1">
        <f t="shared" si="2"/>
        <v>0</v>
      </c>
    </row>
    <row r="185" spans="1:11" ht="21" customHeight="1" x14ac:dyDescent="0.2">
      <c r="A185" s="1" t="s">
        <v>666</v>
      </c>
      <c r="B185" s="1" t="s">
        <v>808</v>
      </c>
      <c r="C185" s="1" t="s">
        <v>809</v>
      </c>
      <c r="D185" s="1" t="s">
        <v>810</v>
      </c>
      <c r="E185" s="1" t="s">
        <v>8</v>
      </c>
      <c r="F185" s="1" t="s">
        <v>811</v>
      </c>
      <c r="G185" s="1" t="s">
        <v>281</v>
      </c>
      <c r="I185" s="1">
        <f t="shared" si="0"/>
        <v>1</v>
      </c>
      <c r="J185" s="1">
        <f t="shared" si="1"/>
        <v>0</v>
      </c>
      <c r="K185" s="1">
        <f t="shared" si="2"/>
        <v>0</v>
      </c>
    </row>
    <row r="186" spans="1:11" ht="21" customHeight="1" x14ac:dyDescent="0.2">
      <c r="A186" s="1" t="s">
        <v>666</v>
      </c>
      <c r="B186" s="1" t="s">
        <v>812</v>
      </c>
      <c r="C186" s="1" t="s">
        <v>813</v>
      </c>
      <c r="D186" s="1" t="s">
        <v>814</v>
      </c>
      <c r="E186" s="1" t="s">
        <v>8</v>
      </c>
      <c r="F186" s="1" t="s">
        <v>815</v>
      </c>
      <c r="G186" s="1" t="s">
        <v>807</v>
      </c>
      <c r="I186" s="1">
        <f t="shared" si="0"/>
        <v>1</v>
      </c>
      <c r="J186" s="1">
        <f t="shared" si="1"/>
        <v>0</v>
      </c>
      <c r="K186" s="1">
        <f t="shared" si="2"/>
        <v>0</v>
      </c>
    </row>
    <row r="187" spans="1:11" ht="21" customHeight="1" x14ac:dyDescent="0.2">
      <c r="A187" s="1" t="s">
        <v>666</v>
      </c>
      <c r="B187" s="1" t="s">
        <v>816</v>
      </c>
      <c r="C187" s="1" t="s">
        <v>817</v>
      </c>
      <c r="D187" s="1" t="s">
        <v>818</v>
      </c>
      <c r="E187" s="1" t="s">
        <v>10</v>
      </c>
      <c r="F187" s="1" t="s">
        <v>819</v>
      </c>
      <c r="G187" s="1" t="s">
        <v>820</v>
      </c>
      <c r="I187" s="1">
        <f t="shared" si="0"/>
        <v>0</v>
      </c>
      <c r="J187" s="1">
        <f t="shared" si="1"/>
        <v>0</v>
      </c>
      <c r="K187" s="1">
        <f t="shared" si="2"/>
        <v>1</v>
      </c>
    </row>
    <row r="188" spans="1:11" ht="21" customHeight="1" x14ac:dyDescent="0.2">
      <c r="A188" s="1" t="s">
        <v>666</v>
      </c>
      <c r="B188" s="1" t="s">
        <v>821</v>
      </c>
      <c r="C188" s="1" t="s">
        <v>822</v>
      </c>
      <c r="D188" s="1" t="s">
        <v>823</v>
      </c>
      <c r="E188" s="1" t="s">
        <v>8</v>
      </c>
      <c r="F188" s="1" t="s">
        <v>824</v>
      </c>
      <c r="G188" s="1" t="s">
        <v>267</v>
      </c>
      <c r="I188" s="1">
        <f t="shared" si="0"/>
        <v>1</v>
      </c>
      <c r="J188" s="1">
        <f t="shared" si="1"/>
        <v>0</v>
      </c>
      <c r="K188" s="1">
        <f t="shared" si="2"/>
        <v>0</v>
      </c>
    </row>
    <row r="189" spans="1:11" ht="21" customHeight="1" x14ac:dyDescent="0.2">
      <c r="A189" s="1" t="s">
        <v>666</v>
      </c>
      <c r="B189" s="1" t="s">
        <v>825</v>
      </c>
      <c r="C189" s="1" t="s">
        <v>826</v>
      </c>
      <c r="D189" s="1" t="s">
        <v>827</v>
      </c>
      <c r="E189" s="1" t="s">
        <v>8</v>
      </c>
      <c r="F189" s="1" t="s">
        <v>828</v>
      </c>
      <c r="G189" s="1" t="s">
        <v>26</v>
      </c>
      <c r="I189" s="1">
        <f t="shared" si="0"/>
        <v>1</v>
      </c>
      <c r="J189" s="1">
        <f t="shared" si="1"/>
        <v>0</v>
      </c>
      <c r="K189" s="1">
        <f t="shared" si="2"/>
        <v>0</v>
      </c>
    </row>
    <row r="190" spans="1:11" ht="21" customHeight="1" x14ac:dyDescent="0.2">
      <c r="A190" s="1" t="s">
        <v>666</v>
      </c>
      <c r="B190" s="1" t="s">
        <v>829</v>
      </c>
      <c r="C190" s="1" t="s">
        <v>830</v>
      </c>
      <c r="D190" s="1" t="s">
        <v>831</v>
      </c>
      <c r="E190" s="1" t="s">
        <v>10</v>
      </c>
      <c r="F190" s="1" t="s">
        <v>832</v>
      </c>
      <c r="G190" s="1" t="s">
        <v>21</v>
      </c>
      <c r="I190" s="1">
        <f t="shared" si="0"/>
        <v>0</v>
      </c>
      <c r="J190" s="1">
        <f t="shared" si="1"/>
        <v>0</v>
      </c>
      <c r="K190" s="1">
        <f t="shared" si="2"/>
        <v>1</v>
      </c>
    </row>
    <row r="191" spans="1:11" ht="21" customHeight="1" x14ac:dyDescent="0.2">
      <c r="A191" s="1" t="s">
        <v>666</v>
      </c>
      <c r="B191" s="1" t="s">
        <v>803</v>
      </c>
      <c r="C191" s="1" t="s">
        <v>804</v>
      </c>
      <c r="D191" s="1" t="s">
        <v>805</v>
      </c>
      <c r="E191" s="1" t="s">
        <v>8</v>
      </c>
      <c r="F191" s="1" t="s">
        <v>833</v>
      </c>
      <c r="G191" s="1" t="s">
        <v>807</v>
      </c>
      <c r="I191" s="1">
        <f t="shared" si="0"/>
        <v>1</v>
      </c>
      <c r="J191" s="1">
        <f t="shared" si="1"/>
        <v>0</v>
      </c>
      <c r="K191" s="1">
        <f t="shared" si="2"/>
        <v>0</v>
      </c>
    </row>
    <row r="192" spans="1:11" ht="21" customHeight="1" x14ac:dyDescent="0.2">
      <c r="A192" s="1" t="s">
        <v>666</v>
      </c>
      <c r="B192" s="1" t="s">
        <v>825</v>
      </c>
      <c r="C192" s="1" t="s">
        <v>826</v>
      </c>
      <c r="D192" s="1" t="s">
        <v>827</v>
      </c>
      <c r="E192" s="1" t="s">
        <v>8</v>
      </c>
      <c r="F192" s="1" t="s">
        <v>834</v>
      </c>
      <c r="G192" s="1" t="s">
        <v>26</v>
      </c>
      <c r="I192" s="1">
        <f t="shared" si="0"/>
        <v>1</v>
      </c>
      <c r="J192" s="1">
        <f t="shared" si="1"/>
        <v>0</v>
      </c>
      <c r="K192" s="1">
        <f t="shared" si="2"/>
        <v>0</v>
      </c>
    </row>
    <row r="193" spans="1:11" ht="21" customHeight="1" x14ac:dyDescent="0.2">
      <c r="A193" s="1" t="s">
        <v>666</v>
      </c>
      <c r="B193" s="1" t="s">
        <v>835</v>
      </c>
      <c r="C193" s="1" t="s">
        <v>836</v>
      </c>
      <c r="D193" s="1" t="s">
        <v>837</v>
      </c>
      <c r="E193" s="1" t="s">
        <v>10</v>
      </c>
      <c r="F193" s="1" t="s">
        <v>838</v>
      </c>
      <c r="G193" s="1" t="s">
        <v>145</v>
      </c>
      <c r="I193" s="1">
        <f t="shared" si="0"/>
        <v>0</v>
      </c>
      <c r="J193" s="1">
        <f t="shared" si="1"/>
        <v>0</v>
      </c>
      <c r="K193" s="1">
        <f t="shared" si="2"/>
        <v>1</v>
      </c>
    </row>
    <row r="194" spans="1:11" ht="21" customHeight="1" x14ac:dyDescent="0.2">
      <c r="A194" s="1" t="s">
        <v>666</v>
      </c>
      <c r="B194" s="1" t="s">
        <v>839</v>
      </c>
      <c r="C194" s="1" t="s">
        <v>840</v>
      </c>
      <c r="D194" s="1" t="s">
        <v>841</v>
      </c>
      <c r="E194" s="1" t="s">
        <v>10</v>
      </c>
      <c r="F194" s="1" t="s">
        <v>842</v>
      </c>
      <c r="G194" s="1" t="s">
        <v>51</v>
      </c>
      <c r="I194" s="1">
        <f t="shared" si="0"/>
        <v>0</v>
      </c>
      <c r="J194" s="1">
        <f t="shared" si="1"/>
        <v>0</v>
      </c>
      <c r="K194" s="1">
        <f t="shared" si="2"/>
        <v>1</v>
      </c>
    </row>
    <row r="195" spans="1:11" ht="21" customHeight="1" x14ac:dyDescent="0.2">
      <c r="A195" s="1" t="s">
        <v>666</v>
      </c>
      <c r="B195" s="1" t="s">
        <v>843</v>
      </c>
      <c r="C195" s="1" t="s">
        <v>844</v>
      </c>
      <c r="D195" s="1" t="s">
        <v>845</v>
      </c>
      <c r="E195" s="1" t="s">
        <v>8</v>
      </c>
      <c r="F195" s="1" t="s">
        <v>846</v>
      </c>
      <c r="G195" s="1" t="s">
        <v>267</v>
      </c>
      <c r="I195" s="1">
        <f t="shared" si="0"/>
        <v>1</v>
      </c>
      <c r="J195" s="1">
        <f t="shared" si="1"/>
        <v>0</v>
      </c>
      <c r="K195" s="1">
        <f t="shared" si="2"/>
        <v>0</v>
      </c>
    </row>
    <row r="196" spans="1:11" ht="21" customHeight="1" x14ac:dyDescent="0.2">
      <c r="A196" s="1" t="s">
        <v>666</v>
      </c>
      <c r="B196" s="1" t="s">
        <v>847</v>
      </c>
      <c r="C196" s="1" t="s">
        <v>848</v>
      </c>
      <c r="D196" s="1" t="s">
        <v>849</v>
      </c>
      <c r="E196" s="1" t="s">
        <v>10</v>
      </c>
      <c r="F196" s="1" t="s">
        <v>850</v>
      </c>
      <c r="G196" s="1" t="s">
        <v>31</v>
      </c>
      <c r="I196" s="1">
        <f t="shared" si="0"/>
        <v>0</v>
      </c>
      <c r="J196" s="1">
        <f t="shared" si="1"/>
        <v>0</v>
      </c>
      <c r="K196" s="1">
        <f t="shared" si="2"/>
        <v>1</v>
      </c>
    </row>
    <row r="197" spans="1:11" ht="21" customHeight="1" x14ac:dyDescent="0.2">
      <c r="A197" s="1" t="s">
        <v>666</v>
      </c>
      <c r="B197" s="1" t="s">
        <v>851</v>
      </c>
      <c r="C197" s="1" t="s">
        <v>852</v>
      </c>
      <c r="D197" s="1" t="s">
        <v>853</v>
      </c>
      <c r="E197" s="1" t="s">
        <v>8</v>
      </c>
      <c r="F197" s="1" t="s">
        <v>854</v>
      </c>
      <c r="G197" s="1" t="s">
        <v>661</v>
      </c>
      <c r="I197" s="1">
        <f t="shared" si="0"/>
        <v>1</v>
      </c>
      <c r="J197" s="1">
        <f t="shared" si="1"/>
        <v>0</v>
      </c>
      <c r="K197" s="1">
        <f t="shared" si="2"/>
        <v>0</v>
      </c>
    </row>
    <row r="198" spans="1:11" ht="21" customHeight="1" x14ac:dyDescent="0.2">
      <c r="A198" s="1" t="s">
        <v>666</v>
      </c>
      <c r="B198" s="1" t="s">
        <v>855</v>
      </c>
      <c r="C198" s="1" t="s">
        <v>856</v>
      </c>
      <c r="D198" s="1" t="s">
        <v>857</v>
      </c>
      <c r="E198" s="1" t="s">
        <v>8</v>
      </c>
      <c r="F198" s="1" t="s">
        <v>858</v>
      </c>
      <c r="G198" s="1" t="s">
        <v>26</v>
      </c>
      <c r="I198" s="1">
        <f t="shared" si="0"/>
        <v>1</v>
      </c>
      <c r="J198" s="1">
        <f t="shared" si="1"/>
        <v>0</v>
      </c>
      <c r="K198" s="1">
        <f t="shared" si="2"/>
        <v>0</v>
      </c>
    </row>
    <row r="199" spans="1:11" ht="21" customHeight="1" x14ac:dyDescent="0.2">
      <c r="A199" s="1" t="s">
        <v>666</v>
      </c>
      <c r="B199" s="1" t="s">
        <v>859</v>
      </c>
      <c r="C199" s="1" t="s">
        <v>860</v>
      </c>
      <c r="D199" s="1" t="s">
        <v>861</v>
      </c>
      <c r="E199" s="1" t="s">
        <v>8</v>
      </c>
      <c r="F199" s="1" t="s">
        <v>862</v>
      </c>
      <c r="G199" s="1" t="s">
        <v>26</v>
      </c>
      <c r="I199" s="1">
        <f t="shared" si="0"/>
        <v>1</v>
      </c>
      <c r="J199" s="1">
        <f t="shared" si="1"/>
        <v>0</v>
      </c>
      <c r="K199" s="1">
        <f t="shared" si="2"/>
        <v>0</v>
      </c>
    </row>
    <row r="200" spans="1:11" ht="21" customHeight="1" x14ac:dyDescent="0.2">
      <c r="A200" s="1" t="s">
        <v>666</v>
      </c>
      <c r="B200" s="1" t="s">
        <v>863</v>
      </c>
      <c r="C200" s="1" t="s">
        <v>864</v>
      </c>
      <c r="D200" s="1" t="s">
        <v>865</v>
      </c>
      <c r="E200" s="1" t="s">
        <v>10</v>
      </c>
      <c r="F200" s="1" t="s">
        <v>866</v>
      </c>
      <c r="G200" s="1" t="s">
        <v>31</v>
      </c>
      <c r="I200" s="1">
        <f t="shared" si="0"/>
        <v>0</v>
      </c>
      <c r="J200" s="1">
        <f t="shared" si="1"/>
        <v>0</v>
      </c>
      <c r="K200" s="1">
        <f t="shared" si="2"/>
        <v>1</v>
      </c>
    </row>
    <row r="201" spans="1:11" ht="21" customHeight="1" x14ac:dyDescent="0.2">
      <c r="A201" s="1" t="s">
        <v>666</v>
      </c>
      <c r="B201" s="1" t="s">
        <v>867</v>
      </c>
      <c r="C201" s="1" t="s">
        <v>868</v>
      </c>
      <c r="D201" s="1" t="s">
        <v>869</v>
      </c>
      <c r="E201" s="1" t="s">
        <v>9</v>
      </c>
      <c r="F201" s="1" t="s">
        <v>870</v>
      </c>
      <c r="G201" s="1" t="s">
        <v>21</v>
      </c>
      <c r="I201" s="1">
        <f t="shared" si="0"/>
        <v>0</v>
      </c>
      <c r="J201" s="1">
        <f t="shared" si="1"/>
        <v>1</v>
      </c>
      <c r="K201" s="1">
        <f t="shared" si="2"/>
        <v>0</v>
      </c>
    </row>
    <row r="202" spans="1:11" ht="21" customHeight="1" x14ac:dyDescent="0.2">
      <c r="A202" s="1" t="s">
        <v>666</v>
      </c>
      <c r="B202" s="1" t="s">
        <v>871</v>
      </c>
      <c r="C202" s="1" t="s">
        <v>872</v>
      </c>
      <c r="D202" s="1" t="s">
        <v>873</v>
      </c>
      <c r="E202" s="1" t="s">
        <v>10</v>
      </c>
      <c r="F202" s="1" t="s">
        <v>874</v>
      </c>
      <c r="G202" s="1" t="s">
        <v>31</v>
      </c>
      <c r="I202" s="1">
        <f t="shared" si="0"/>
        <v>0</v>
      </c>
      <c r="J202" s="1">
        <f t="shared" si="1"/>
        <v>0</v>
      </c>
      <c r="K202" s="1">
        <f t="shared" si="2"/>
        <v>1</v>
      </c>
    </row>
    <row r="203" spans="1:11" ht="21" customHeight="1" x14ac:dyDescent="0.2">
      <c r="A203" s="1" t="s">
        <v>666</v>
      </c>
      <c r="B203" s="1" t="s">
        <v>875</v>
      </c>
      <c r="C203" s="1" t="s">
        <v>876</v>
      </c>
      <c r="D203" s="1" t="s">
        <v>877</v>
      </c>
      <c r="E203" s="1" t="s">
        <v>10</v>
      </c>
      <c r="F203" s="1" t="s">
        <v>878</v>
      </c>
      <c r="G203" s="1" t="s">
        <v>820</v>
      </c>
      <c r="I203" s="1">
        <f t="shared" si="0"/>
        <v>0</v>
      </c>
      <c r="J203" s="1">
        <f t="shared" si="1"/>
        <v>0</v>
      </c>
      <c r="K203" s="1">
        <f t="shared" si="2"/>
        <v>1</v>
      </c>
    </row>
    <row r="204" spans="1:11" ht="21" customHeight="1" x14ac:dyDescent="0.2">
      <c r="A204" s="1" t="s">
        <v>666</v>
      </c>
      <c r="B204" s="1" t="s">
        <v>879</v>
      </c>
      <c r="C204" s="1" t="s">
        <v>880</v>
      </c>
      <c r="D204" s="1" t="s">
        <v>881</v>
      </c>
      <c r="E204" s="1" t="s">
        <v>8</v>
      </c>
      <c r="F204" s="1" t="s">
        <v>882</v>
      </c>
      <c r="G204" s="1" t="s">
        <v>453</v>
      </c>
      <c r="I204" s="1">
        <f t="shared" si="0"/>
        <v>1</v>
      </c>
      <c r="J204" s="1">
        <f t="shared" si="1"/>
        <v>0</v>
      </c>
      <c r="K204" s="1">
        <f t="shared" si="2"/>
        <v>0</v>
      </c>
    </row>
    <row r="205" spans="1:11" ht="21" customHeight="1" x14ac:dyDescent="0.2">
      <c r="A205" s="1" t="s">
        <v>666</v>
      </c>
      <c r="B205" s="1" t="s">
        <v>883</v>
      </c>
      <c r="C205" s="1" t="s">
        <v>884</v>
      </c>
      <c r="D205" s="1" t="s">
        <v>885</v>
      </c>
      <c r="E205" s="1" t="s">
        <v>8</v>
      </c>
      <c r="F205" s="1" t="s">
        <v>886</v>
      </c>
      <c r="G205" s="1" t="s">
        <v>887</v>
      </c>
      <c r="I205" s="1">
        <f t="shared" si="0"/>
        <v>1</v>
      </c>
      <c r="J205" s="1">
        <f t="shared" si="1"/>
        <v>0</v>
      </c>
      <c r="K205" s="1">
        <f t="shared" si="2"/>
        <v>0</v>
      </c>
    </row>
    <row r="206" spans="1:11" ht="21" customHeight="1" x14ac:dyDescent="0.2">
      <c r="A206" s="1" t="s">
        <v>666</v>
      </c>
      <c r="B206" s="1" t="s">
        <v>888</v>
      </c>
      <c r="C206" s="1" t="s">
        <v>889</v>
      </c>
      <c r="D206" s="1" t="s">
        <v>890</v>
      </c>
      <c r="E206" s="1" t="s">
        <v>10</v>
      </c>
      <c r="F206" s="1" t="s">
        <v>891</v>
      </c>
      <c r="G206" s="1" t="s">
        <v>31</v>
      </c>
      <c r="I206" s="1">
        <f t="shared" si="0"/>
        <v>0</v>
      </c>
      <c r="J206" s="1">
        <f t="shared" si="1"/>
        <v>0</v>
      </c>
      <c r="K206" s="1">
        <f t="shared" si="2"/>
        <v>1</v>
      </c>
    </row>
    <row r="207" spans="1:11" ht="21" customHeight="1" x14ac:dyDescent="0.2">
      <c r="A207" s="1" t="s">
        <v>666</v>
      </c>
      <c r="B207" s="1" t="s">
        <v>892</v>
      </c>
      <c r="C207" s="1" t="s">
        <v>893</v>
      </c>
      <c r="D207" s="1" t="s">
        <v>894</v>
      </c>
      <c r="E207" s="1" t="s">
        <v>8</v>
      </c>
      <c r="F207" s="1" t="s">
        <v>895</v>
      </c>
      <c r="G207" s="1" t="s">
        <v>26</v>
      </c>
      <c r="I207" s="1">
        <f t="shared" si="0"/>
        <v>1</v>
      </c>
      <c r="J207" s="1">
        <f t="shared" si="1"/>
        <v>0</v>
      </c>
      <c r="K207" s="1">
        <f t="shared" si="2"/>
        <v>0</v>
      </c>
    </row>
    <row r="208" spans="1:11" ht="21" customHeight="1" x14ac:dyDescent="0.2">
      <c r="A208" s="1" t="s">
        <v>666</v>
      </c>
      <c r="B208" s="1" t="s">
        <v>896</v>
      </c>
      <c r="C208" s="1" t="s">
        <v>897</v>
      </c>
      <c r="D208" s="1" t="s">
        <v>898</v>
      </c>
      <c r="E208" s="1" t="s">
        <v>8</v>
      </c>
      <c r="F208" s="1" t="s">
        <v>899</v>
      </c>
      <c r="G208" s="1" t="s">
        <v>108</v>
      </c>
      <c r="I208" s="1">
        <f t="shared" si="0"/>
        <v>1</v>
      </c>
      <c r="J208" s="1">
        <f t="shared" si="1"/>
        <v>0</v>
      </c>
      <c r="K208" s="1">
        <f t="shared" si="2"/>
        <v>0</v>
      </c>
    </row>
    <row r="209" spans="1:11" ht="21" customHeight="1" x14ac:dyDescent="0.2">
      <c r="A209" s="1" t="s">
        <v>666</v>
      </c>
      <c r="B209" s="1" t="s">
        <v>900</v>
      </c>
      <c r="C209" s="1" t="s">
        <v>901</v>
      </c>
      <c r="D209" s="1" t="s">
        <v>902</v>
      </c>
      <c r="E209" s="1" t="s">
        <v>10</v>
      </c>
      <c r="F209" s="1" t="s">
        <v>903</v>
      </c>
      <c r="G209" s="1" t="s">
        <v>21</v>
      </c>
      <c r="I209" s="1">
        <f t="shared" si="0"/>
        <v>0</v>
      </c>
      <c r="J209" s="1">
        <f t="shared" si="1"/>
        <v>0</v>
      </c>
      <c r="K209" s="1">
        <f t="shared" si="2"/>
        <v>1</v>
      </c>
    </row>
    <row r="210" spans="1:11" ht="21" customHeight="1" x14ac:dyDescent="0.2">
      <c r="A210" s="1" t="s">
        <v>666</v>
      </c>
      <c r="B210" s="1" t="s">
        <v>904</v>
      </c>
      <c r="C210" s="1" t="s">
        <v>905</v>
      </c>
      <c r="D210" s="1" t="s">
        <v>906</v>
      </c>
      <c r="E210" s="1" t="s">
        <v>8</v>
      </c>
      <c r="F210" s="1" t="s">
        <v>907</v>
      </c>
      <c r="G210" s="1" t="s">
        <v>26</v>
      </c>
      <c r="I210" s="1">
        <f t="shared" si="0"/>
        <v>1</v>
      </c>
      <c r="J210" s="1">
        <f t="shared" si="1"/>
        <v>0</v>
      </c>
      <c r="K210" s="1">
        <f t="shared" si="2"/>
        <v>0</v>
      </c>
    </row>
    <row r="211" spans="1:11" ht="21" customHeight="1" x14ac:dyDescent="0.2">
      <c r="A211" s="1" t="s">
        <v>666</v>
      </c>
      <c r="B211" s="1" t="s">
        <v>908</v>
      </c>
      <c r="C211" s="1" t="s">
        <v>909</v>
      </c>
      <c r="D211" s="1" t="s">
        <v>910</v>
      </c>
      <c r="E211" s="1" t="s">
        <v>10</v>
      </c>
      <c r="F211" s="1" t="s">
        <v>911</v>
      </c>
      <c r="G211" s="1" t="s">
        <v>597</v>
      </c>
      <c r="I211" s="1">
        <f t="shared" si="0"/>
        <v>0</v>
      </c>
      <c r="J211" s="1">
        <f t="shared" si="1"/>
        <v>0</v>
      </c>
      <c r="K211" s="1">
        <f t="shared" si="2"/>
        <v>1</v>
      </c>
    </row>
    <row r="212" spans="1:11" ht="21" customHeight="1" x14ac:dyDescent="0.2">
      <c r="A212" s="1" t="s">
        <v>666</v>
      </c>
      <c r="B212" s="1" t="s">
        <v>912</v>
      </c>
      <c r="C212" s="1" t="s">
        <v>913</v>
      </c>
      <c r="D212" s="1" t="s">
        <v>914</v>
      </c>
      <c r="E212" s="1" t="s">
        <v>10</v>
      </c>
      <c r="F212" s="1" t="s">
        <v>915</v>
      </c>
      <c r="G212" s="1" t="s">
        <v>31</v>
      </c>
      <c r="I212" s="1">
        <f t="shared" si="0"/>
        <v>0</v>
      </c>
      <c r="J212" s="1">
        <f t="shared" si="1"/>
        <v>0</v>
      </c>
      <c r="K212" s="1">
        <f t="shared" si="2"/>
        <v>1</v>
      </c>
    </row>
    <row r="213" spans="1:11" ht="21" customHeight="1" x14ac:dyDescent="0.2">
      <c r="A213" s="1" t="s">
        <v>666</v>
      </c>
      <c r="B213" s="1" t="s">
        <v>916</v>
      </c>
      <c r="C213" s="1" t="s">
        <v>917</v>
      </c>
      <c r="D213" s="1" t="s">
        <v>918</v>
      </c>
      <c r="E213" s="1" t="s">
        <v>10</v>
      </c>
      <c r="F213" s="1" t="s">
        <v>919</v>
      </c>
      <c r="G213" s="1" t="s">
        <v>920</v>
      </c>
      <c r="I213" s="1">
        <f t="shared" si="0"/>
        <v>0</v>
      </c>
      <c r="J213" s="1">
        <f t="shared" si="1"/>
        <v>0</v>
      </c>
      <c r="K213" s="1">
        <f t="shared" si="2"/>
        <v>1</v>
      </c>
    </row>
    <row r="214" spans="1:11" ht="21" customHeight="1" x14ac:dyDescent="0.2">
      <c r="A214" s="1" t="s">
        <v>666</v>
      </c>
      <c r="B214" s="1" t="s">
        <v>921</v>
      </c>
      <c r="C214" s="1" t="s">
        <v>922</v>
      </c>
      <c r="D214" s="1" t="s">
        <v>923</v>
      </c>
      <c r="E214" s="1" t="s">
        <v>9</v>
      </c>
      <c r="F214" s="1" t="s">
        <v>924</v>
      </c>
      <c r="G214" s="1" t="s">
        <v>21</v>
      </c>
      <c r="I214" s="1">
        <f t="shared" si="0"/>
        <v>0</v>
      </c>
      <c r="J214" s="1">
        <f t="shared" si="1"/>
        <v>1</v>
      </c>
      <c r="K214" s="1">
        <f t="shared" si="2"/>
        <v>0</v>
      </c>
    </row>
    <row r="215" spans="1:11" ht="21" customHeight="1" x14ac:dyDescent="0.2">
      <c r="A215" s="1" t="s">
        <v>666</v>
      </c>
      <c r="B215" s="1" t="s">
        <v>925</v>
      </c>
      <c r="C215" s="1" t="s">
        <v>926</v>
      </c>
      <c r="D215" s="1" t="s">
        <v>927</v>
      </c>
      <c r="E215" s="1" t="s">
        <v>10</v>
      </c>
      <c r="F215" s="1" t="s">
        <v>928</v>
      </c>
      <c r="G215" s="1" t="s">
        <v>597</v>
      </c>
      <c r="I215" s="1">
        <f t="shared" si="0"/>
        <v>0</v>
      </c>
      <c r="J215" s="1">
        <f t="shared" si="1"/>
        <v>0</v>
      </c>
      <c r="K215" s="1">
        <f t="shared" si="2"/>
        <v>1</v>
      </c>
    </row>
    <row r="216" spans="1:11" ht="21" customHeight="1" x14ac:dyDescent="0.2">
      <c r="A216" s="1" t="s">
        <v>666</v>
      </c>
      <c r="B216" s="1" t="s">
        <v>929</v>
      </c>
      <c r="C216" s="1" t="s">
        <v>930</v>
      </c>
      <c r="D216" s="1" t="s">
        <v>931</v>
      </c>
      <c r="E216" s="1" t="s">
        <v>10</v>
      </c>
      <c r="F216" s="1" t="s">
        <v>932</v>
      </c>
      <c r="G216" s="1" t="s">
        <v>31</v>
      </c>
      <c r="I216" s="1">
        <f t="shared" si="0"/>
        <v>0</v>
      </c>
      <c r="J216" s="1">
        <f t="shared" si="1"/>
        <v>0</v>
      </c>
      <c r="K216" s="1">
        <f t="shared" si="2"/>
        <v>1</v>
      </c>
    </row>
    <row r="217" spans="1:11" ht="21" customHeight="1" x14ac:dyDescent="0.2">
      <c r="A217" s="1" t="s">
        <v>666</v>
      </c>
      <c r="B217" s="1" t="s">
        <v>933</v>
      </c>
      <c r="C217" s="1" t="s">
        <v>934</v>
      </c>
      <c r="D217" s="1" t="s">
        <v>935</v>
      </c>
      <c r="E217" s="1" t="s">
        <v>8</v>
      </c>
      <c r="F217" s="1" t="s">
        <v>936</v>
      </c>
      <c r="G217" s="1" t="s">
        <v>26</v>
      </c>
      <c r="I217" s="1">
        <f t="shared" si="0"/>
        <v>1</v>
      </c>
      <c r="J217" s="1">
        <f t="shared" si="1"/>
        <v>0</v>
      </c>
      <c r="K217" s="1">
        <f t="shared" si="2"/>
        <v>0</v>
      </c>
    </row>
    <row r="218" spans="1:11" ht="21" customHeight="1" x14ac:dyDescent="0.2">
      <c r="A218" s="1" t="s">
        <v>666</v>
      </c>
      <c r="B218" s="1" t="s">
        <v>937</v>
      </c>
      <c r="C218" s="1" t="s">
        <v>938</v>
      </c>
      <c r="D218" s="1" t="s">
        <v>939</v>
      </c>
      <c r="E218" s="1" t="s">
        <v>10</v>
      </c>
      <c r="F218" s="1" t="s">
        <v>940</v>
      </c>
      <c r="G218" s="1" t="s">
        <v>31</v>
      </c>
      <c r="I218" s="1">
        <f t="shared" si="0"/>
        <v>0</v>
      </c>
      <c r="J218" s="1">
        <f t="shared" si="1"/>
        <v>0</v>
      </c>
      <c r="K218" s="1">
        <f t="shared" si="2"/>
        <v>1</v>
      </c>
    </row>
    <row r="219" spans="1:11" ht="21" customHeight="1" x14ac:dyDescent="0.2">
      <c r="A219" s="1" t="s">
        <v>666</v>
      </c>
      <c r="B219" s="1" t="s">
        <v>941</v>
      </c>
      <c r="C219" s="1" t="s">
        <v>942</v>
      </c>
      <c r="D219" s="1" t="s">
        <v>943</v>
      </c>
      <c r="E219" s="1" t="s">
        <v>9</v>
      </c>
      <c r="F219" s="1" t="s">
        <v>944</v>
      </c>
      <c r="G219" s="1" t="s">
        <v>21</v>
      </c>
      <c r="I219" s="1">
        <f t="shared" si="0"/>
        <v>0</v>
      </c>
      <c r="J219" s="1">
        <f t="shared" si="1"/>
        <v>1</v>
      </c>
      <c r="K219" s="1">
        <f t="shared" si="2"/>
        <v>0</v>
      </c>
    </row>
    <row r="220" spans="1:11" ht="21" customHeight="1" x14ac:dyDescent="0.2">
      <c r="A220" s="1" t="s">
        <v>666</v>
      </c>
      <c r="B220" s="1" t="s">
        <v>945</v>
      </c>
      <c r="C220" s="1" t="s">
        <v>946</v>
      </c>
      <c r="D220" s="1" t="s">
        <v>947</v>
      </c>
      <c r="E220" s="1" t="s">
        <v>10</v>
      </c>
      <c r="F220" s="1" t="s">
        <v>948</v>
      </c>
      <c r="G220" s="1" t="s">
        <v>21</v>
      </c>
      <c r="I220" s="1">
        <f t="shared" si="0"/>
        <v>0</v>
      </c>
      <c r="J220" s="1">
        <f t="shared" si="1"/>
        <v>0</v>
      </c>
      <c r="K220" s="1">
        <f t="shared" si="2"/>
        <v>1</v>
      </c>
    </row>
    <row r="221" spans="1:11" ht="21" customHeight="1" x14ac:dyDescent="0.2">
      <c r="A221" s="1" t="s">
        <v>666</v>
      </c>
      <c r="B221" s="1" t="s">
        <v>949</v>
      </c>
      <c r="C221" s="1" t="s">
        <v>950</v>
      </c>
      <c r="D221" s="1" t="s">
        <v>951</v>
      </c>
      <c r="E221" s="1" t="s">
        <v>10</v>
      </c>
      <c r="F221" s="1" t="s">
        <v>952</v>
      </c>
      <c r="G221" s="1" t="s">
        <v>953</v>
      </c>
      <c r="I221" s="1">
        <f t="shared" si="0"/>
        <v>0</v>
      </c>
      <c r="J221" s="1">
        <f t="shared" si="1"/>
        <v>0</v>
      </c>
      <c r="K221" s="1">
        <f t="shared" si="2"/>
        <v>1</v>
      </c>
    </row>
    <row r="222" spans="1:11" ht="21" customHeight="1" x14ac:dyDescent="0.2">
      <c r="A222" s="1" t="s">
        <v>666</v>
      </c>
      <c r="B222" s="1" t="s">
        <v>954</v>
      </c>
      <c r="C222" s="1" t="s">
        <v>955</v>
      </c>
      <c r="D222" s="1" t="s">
        <v>956</v>
      </c>
      <c r="E222" s="1" t="s">
        <v>10</v>
      </c>
      <c r="F222" s="1" t="s">
        <v>957</v>
      </c>
      <c r="G222" s="1" t="s">
        <v>31</v>
      </c>
      <c r="I222" s="1">
        <f t="shared" si="0"/>
        <v>0</v>
      </c>
      <c r="J222" s="1">
        <f t="shared" si="1"/>
        <v>0</v>
      </c>
      <c r="K222" s="1">
        <f t="shared" si="2"/>
        <v>1</v>
      </c>
    </row>
    <row r="223" spans="1:11" ht="21" customHeight="1" x14ac:dyDescent="0.2">
      <c r="A223" s="1" t="s">
        <v>666</v>
      </c>
      <c r="B223" s="1" t="s">
        <v>958</v>
      </c>
      <c r="C223" s="1" t="s">
        <v>959</v>
      </c>
      <c r="D223" s="1" t="s">
        <v>960</v>
      </c>
      <c r="E223" s="1" t="s">
        <v>10</v>
      </c>
      <c r="F223" s="1" t="s">
        <v>961</v>
      </c>
      <c r="G223" s="1" t="s">
        <v>31</v>
      </c>
      <c r="I223" s="1">
        <f t="shared" si="0"/>
        <v>0</v>
      </c>
      <c r="J223" s="1">
        <f t="shared" si="1"/>
        <v>0</v>
      </c>
      <c r="K223" s="1">
        <f t="shared" si="2"/>
        <v>1</v>
      </c>
    </row>
    <row r="224" spans="1:11" ht="21" customHeight="1" x14ac:dyDescent="0.2">
      <c r="A224" s="1" t="s">
        <v>666</v>
      </c>
      <c r="B224" s="1" t="s">
        <v>962</v>
      </c>
      <c r="C224" s="1" t="s">
        <v>963</v>
      </c>
      <c r="D224" s="1" t="s">
        <v>964</v>
      </c>
      <c r="E224" s="1" t="s">
        <v>10</v>
      </c>
      <c r="F224" s="1" t="s">
        <v>965</v>
      </c>
      <c r="G224" s="1" t="s">
        <v>920</v>
      </c>
      <c r="I224" s="1">
        <f t="shared" si="0"/>
        <v>0</v>
      </c>
      <c r="J224" s="1">
        <f t="shared" si="1"/>
        <v>0</v>
      </c>
      <c r="K224" s="1">
        <f t="shared" si="2"/>
        <v>1</v>
      </c>
    </row>
    <row r="225" spans="1:11" ht="21" customHeight="1" x14ac:dyDescent="0.2">
      <c r="A225" s="1" t="s">
        <v>666</v>
      </c>
      <c r="B225" s="1" t="s">
        <v>966</v>
      </c>
      <c r="C225" s="1" t="s">
        <v>967</v>
      </c>
      <c r="D225" s="1" t="s">
        <v>968</v>
      </c>
      <c r="E225" s="1" t="s">
        <v>10</v>
      </c>
      <c r="F225" s="1" t="s">
        <v>969</v>
      </c>
      <c r="G225" s="1" t="s">
        <v>31</v>
      </c>
      <c r="I225" s="1">
        <f t="shared" si="0"/>
        <v>0</v>
      </c>
      <c r="J225" s="1">
        <f t="shared" si="1"/>
        <v>0</v>
      </c>
      <c r="K225" s="1">
        <f t="shared" si="2"/>
        <v>1</v>
      </c>
    </row>
    <row r="226" spans="1:11" ht="21" customHeight="1" x14ac:dyDescent="0.2">
      <c r="A226" s="1" t="s">
        <v>666</v>
      </c>
      <c r="B226" s="1" t="s">
        <v>970</v>
      </c>
      <c r="C226" s="1" t="s">
        <v>971</v>
      </c>
      <c r="D226" s="1" t="s">
        <v>972</v>
      </c>
      <c r="E226" s="1" t="s">
        <v>8</v>
      </c>
      <c r="F226" s="1" t="s">
        <v>973</v>
      </c>
      <c r="G226" s="1" t="s">
        <v>36</v>
      </c>
      <c r="I226" s="1">
        <f t="shared" si="0"/>
        <v>1</v>
      </c>
      <c r="J226" s="1">
        <f t="shared" si="1"/>
        <v>0</v>
      </c>
      <c r="K226" s="1">
        <f t="shared" si="2"/>
        <v>0</v>
      </c>
    </row>
    <row r="227" spans="1:11" ht="21" customHeight="1" x14ac:dyDescent="0.2">
      <c r="A227" s="1" t="s">
        <v>666</v>
      </c>
      <c r="B227" s="1" t="s">
        <v>974</v>
      </c>
      <c r="C227" s="1" t="s">
        <v>975</v>
      </c>
      <c r="D227" s="1" t="s">
        <v>976</v>
      </c>
      <c r="E227" s="1" t="s">
        <v>10</v>
      </c>
      <c r="F227" s="1" t="s">
        <v>977</v>
      </c>
      <c r="G227" s="1" t="s">
        <v>31</v>
      </c>
      <c r="I227" s="1">
        <f t="shared" si="0"/>
        <v>0</v>
      </c>
      <c r="J227" s="1">
        <f t="shared" si="1"/>
        <v>0</v>
      </c>
      <c r="K227" s="1">
        <f t="shared" si="2"/>
        <v>1</v>
      </c>
    </row>
    <row r="228" spans="1:11" ht="21" customHeight="1" x14ac:dyDescent="0.2">
      <c r="A228" s="1" t="s">
        <v>666</v>
      </c>
      <c r="B228" s="1" t="s">
        <v>978</v>
      </c>
      <c r="C228" s="1" t="s">
        <v>979</v>
      </c>
      <c r="D228" s="1" t="s">
        <v>980</v>
      </c>
      <c r="E228" s="1" t="s">
        <v>8</v>
      </c>
      <c r="F228" s="1" t="s">
        <v>981</v>
      </c>
      <c r="G228" s="1" t="s">
        <v>80</v>
      </c>
      <c r="I228" s="1">
        <f t="shared" si="0"/>
        <v>1</v>
      </c>
      <c r="J228" s="1">
        <f t="shared" si="1"/>
        <v>0</v>
      </c>
      <c r="K228" s="1">
        <f t="shared" si="2"/>
        <v>0</v>
      </c>
    </row>
    <row r="229" spans="1:11" ht="21" customHeight="1" x14ac:dyDescent="0.2">
      <c r="A229" s="1" t="s">
        <v>666</v>
      </c>
      <c r="B229" s="1" t="s">
        <v>982</v>
      </c>
      <c r="C229" s="1" t="s">
        <v>983</v>
      </c>
      <c r="D229" s="1" t="s">
        <v>984</v>
      </c>
      <c r="E229" s="1" t="s">
        <v>8</v>
      </c>
      <c r="F229" s="1" t="s">
        <v>985</v>
      </c>
      <c r="G229" s="1" t="s">
        <v>986</v>
      </c>
      <c r="I229" s="1">
        <f t="shared" si="0"/>
        <v>1</v>
      </c>
      <c r="J229" s="1">
        <f t="shared" si="1"/>
        <v>0</v>
      </c>
      <c r="K229" s="1">
        <f t="shared" si="2"/>
        <v>0</v>
      </c>
    </row>
    <row r="230" spans="1:11" ht="21" customHeight="1" x14ac:dyDescent="0.2">
      <c r="A230" s="1" t="s">
        <v>666</v>
      </c>
      <c r="B230" s="1" t="s">
        <v>987</v>
      </c>
      <c r="C230" s="1" t="s">
        <v>988</v>
      </c>
      <c r="D230" s="1" t="s">
        <v>989</v>
      </c>
      <c r="E230" s="1" t="s">
        <v>10</v>
      </c>
      <c r="F230" s="1" t="s">
        <v>990</v>
      </c>
      <c r="G230" s="1" t="s">
        <v>31</v>
      </c>
      <c r="I230" s="1">
        <f t="shared" si="0"/>
        <v>0</v>
      </c>
      <c r="J230" s="1">
        <f t="shared" si="1"/>
        <v>0</v>
      </c>
      <c r="K230" s="1">
        <f t="shared" si="2"/>
        <v>1</v>
      </c>
    </row>
    <row r="231" spans="1:11" ht="21" customHeight="1" x14ac:dyDescent="0.2">
      <c r="A231" s="1" t="s">
        <v>666</v>
      </c>
      <c r="B231" s="1" t="s">
        <v>991</v>
      </c>
      <c r="C231" s="1" t="s">
        <v>992</v>
      </c>
      <c r="D231" s="1" t="s">
        <v>993</v>
      </c>
      <c r="E231" s="1" t="s">
        <v>10</v>
      </c>
      <c r="F231" s="1" t="s">
        <v>994</v>
      </c>
      <c r="G231" s="1" t="s">
        <v>597</v>
      </c>
      <c r="I231" s="1">
        <f t="shared" si="0"/>
        <v>0</v>
      </c>
      <c r="J231" s="1">
        <f t="shared" si="1"/>
        <v>0</v>
      </c>
      <c r="K231" s="1">
        <f t="shared" si="2"/>
        <v>1</v>
      </c>
    </row>
    <row r="232" spans="1:11" ht="21" customHeight="1" x14ac:dyDescent="0.2">
      <c r="A232" s="1" t="s">
        <v>666</v>
      </c>
      <c r="B232" s="1" t="s">
        <v>995</v>
      </c>
      <c r="C232" s="1" t="s">
        <v>996</v>
      </c>
      <c r="D232" s="1" t="s">
        <v>997</v>
      </c>
      <c r="E232" s="1" t="s">
        <v>8</v>
      </c>
      <c r="F232" s="1" t="s">
        <v>998</v>
      </c>
      <c r="G232" s="1" t="s">
        <v>999</v>
      </c>
      <c r="I232" s="1">
        <f t="shared" si="0"/>
        <v>1</v>
      </c>
      <c r="J232" s="1">
        <f t="shared" si="1"/>
        <v>0</v>
      </c>
      <c r="K232" s="1">
        <f t="shared" si="2"/>
        <v>0</v>
      </c>
    </row>
    <row r="233" spans="1:11" ht="21" customHeight="1" x14ac:dyDescent="0.2">
      <c r="A233" s="1" t="s">
        <v>666</v>
      </c>
      <c r="B233" s="1" t="s">
        <v>1000</v>
      </c>
      <c r="C233" s="1" t="s">
        <v>1001</v>
      </c>
      <c r="D233" s="1" t="s">
        <v>1002</v>
      </c>
      <c r="E233" s="1" t="s">
        <v>8</v>
      </c>
      <c r="F233" s="1" t="s">
        <v>1003</v>
      </c>
      <c r="G233" s="1" t="s">
        <v>108</v>
      </c>
      <c r="I233" s="1">
        <f t="shared" si="0"/>
        <v>1</v>
      </c>
      <c r="J233" s="1">
        <f t="shared" si="1"/>
        <v>0</v>
      </c>
      <c r="K233" s="1">
        <f t="shared" si="2"/>
        <v>0</v>
      </c>
    </row>
    <row r="234" spans="1:11" ht="21" customHeight="1" x14ac:dyDescent="0.2">
      <c r="A234" s="1" t="s">
        <v>666</v>
      </c>
      <c r="B234" s="1" t="s">
        <v>1004</v>
      </c>
      <c r="C234" s="1" t="s">
        <v>1005</v>
      </c>
      <c r="D234" s="1" t="s">
        <v>1006</v>
      </c>
      <c r="E234" s="1" t="s">
        <v>10</v>
      </c>
      <c r="F234" s="1" t="s">
        <v>1007</v>
      </c>
      <c r="G234" s="1" t="s">
        <v>31</v>
      </c>
      <c r="I234" s="1">
        <f t="shared" si="0"/>
        <v>0</v>
      </c>
      <c r="J234" s="1">
        <f t="shared" si="1"/>
        <v>0</v>
      </c>
      <c r="K234" s="1">
        <f t="shared" si="2"/>
        <v>1</v>
      </c>
    </row>
    <row r="235" spans="1:11" ht="21" customHeight="1" x14ac:dyDescent="0.2">
      <c r="A235" s="1" t="s">
        <v>666</v>
      </c>
      <c r="B235" s="1" t="s">
        <v>1008</v>
      </c>
      <c r="C235" s="1" t="s">
        <v>1009</v>
      </c>
      <c r="D235" s="1" t="s">
        <v>1010</v>
      </c>
      <c r="E235" s="1" t="s">
        <v>10</v>
      </c>
      <c r="F235" s="1" t="s">
        <v>1011</v>
      </c>
      <c r="G235" s="1" t="s">
        <v>31</v>
      </c>
      <c r="I235" s="1">
        <f t="shared" si="0"/>
        <v>0</v>
      </c>
      <c r="J235" s="1">
        <f t="shared" si="1"/>
        <v>0</v>
      </c>
      <c r="K235" s="1">
        <f t="shared" si="2"/>
        <v>1</v>
      </c>
    </row>
    <row r="236" spans="1:11" ht="21" customHeight="1" x14ac:dyDescent="0.2">
      <c r="A236" s="1" t="s">
        <v>666</v>
      </c>
      <c r="B236" s="1" t="s">
        <v>1012</v>
      </c>
      <c r="C236" s="1" t="s">
        <v>1013</v>
      </c>
      <c r="D236" s="1" t="s">
        <v>1014</v>
      </c>
      <c r="E236" s="1" t="s">
        <v>9</v>
      </c>
      <c r="F236" s="1" t="s">
        <v>1015</v>
      </c>
      <c r="G236" s="1" t="s">
        <v>126</v>
      </c>
      <c r="I236" s="1">
        <f t="shared" si="0"/>
        <v>0</v>
      </c>
      <c r="J236" s="1">
        <f t="shared" si="1"/>
        <v>1</v>
      </c>
      <c r="K236" s="1">
        <f t="shared" si="2"/>
        <v>0</v>
      </c>
    </row>
    <row r="237" spans="1:11" ht="21" customHeight="1" x14ac:dyDescent="0.2">
      <c r="A237" s="1" t="s">
        <v>666</v>
      </c>
      <c r="B237" s="1" t="s">
        <v>1016</v>
      </c>
      <c r="C237" s="1" t="s">
        <v>1017</v>
      </c>
      <c r="D237" s="1" t="s">
        <v>1018</v>
      </c>
      <c r="E237" s="1" t="s">
        <v>8</v>
      </c>
      <c r="F237" s="1" t="s">
        <v>1019</v>
      </c>
      <c r="G237" s="1" t="s">
        <v>453</v>
      </c>
      <c r="I237" s="1">
        <f t="shared" si="0"/>
        <v>1</v>
      </c>
      <c r="J237" s="1">
        <f t="shared" si="1"/>
        <v>0</v>
      </c>
      <c r="K237" s="1">
        <f t="shared" si="2"/>
        <v>0</v>
      </c>
    </row>
    <row r="238" spans="1:11" ht="21" customHeight="1" x14ac:dyDescent="0.2">
      <c r="A238" s="1" t="s">
        <v>666</v>
      </c>
      <c r="B238" s="1" t="s">
        <v>1020</v>
      </c>
      <c r="C238" s="1" t="s">
        <v>1021</v>
      </c>
      <c r="D238" s="1" t="s">
        <v>1022</v>
      </c>
      <c r="E238" s="1" t="s">
        <v>8</v>
      </c>
      <c r="F238" s="1" t="s">
        <v>1023</v>
      </c>
      <c r="G238" s="1" t="s">
        <v>807</v>
      </c>
      <c r="I238" s="1">
        <f t="shared" si="0"/>
        <v>1</v>
      </c>
      <c r="J238" s="1">
        <f t="shared" si="1"/>
        <v>0</v>
      </c>
      <c r="K238" s="1">
        <f t="shared" si="2"/>
        <v>0</v>
      </c>
    </row>
    <row r="239" spans="1:11" ht="21" customHeight="1" x14ac:dyDescent="0.2">
      <c r="A239" s="1" t="s">
        <v>666</v>
      </c>
      <c r="B239" s="1" t="s">
        <v>1024</v>
      </c>
      <c r="C239" s="1" t="s">
        <v>1025</v>
      </c>
      <c r="D239" s="1" t="s">
        <v>1026</v>
      </c>
      <c r="E239" s="1" t="s">
        <v>10</v>
      </c>
      <c r="F239" s="1" t="s">
        <v>1027</v>
      </c>
      <c r="G239" s="1" t="s">
        <v>21</v>
      </c>
      <c r="I239" s="1">
        <f t="shared" si="0"/>
        <v>0</v>
      </c>
      <c r="J239" s="1">
        <f t="shared" si="1"/>
        <v>0</v>
      </c>
      <c r="K239" s="1">
        <f t="shared" si="2"/>
        <v>1</v>
      </c>
    </row>
    <row r="240" spans="1:11" ht="21" customHeight="1" x14ac:dyDescent="0.2">
      <c r="A240" s="1" t="s">
        <v>666</v>
      </c>
      <c r="B240" s="1" t="s">
        <v>1028</v>
      </c>
      <c r="C240" s="1" t="s">
        <v>1029</v>
      </c>
      <c r="D240" s="1" t="s">
        <v>1030</v>
      </c>
      <c r="E240" s="1" t="s">
        <v>9</v>
      </c>
      <c r="F240" s="1" t="s">
        <v>1031</v>
      </c>
      <c r="G240" s="1" t="s">
        <v>21</v>
      </c>
      <c r="I240" s="1">
        <f t="shared" si="0"/>
        <v>0</v>
      </c>
      <c r="J240" s="1">
        <f t="shared" si="1"/>
        <v>1</v>
      </c>
      <c r="K240" s="1">
        <f t="shared" si="2"/>
        <v>0</v>
      </c>
    </row>
    <row r="241" spans="1:11" ht="21" customHeight="1" x14ac:dyDescent="0.2">
      <c r="A241" s="1" t="s">
        <v>666</v>
      </c>
      <c r="B241" s="1" t="s">
        <v>1032</v>
      </c>
      <c r="C241" s="1" t="s">
        <v>1033</v>
      </c>
      <c r="D241" s="1" t="s">
        <v>1034</v>
      </c>
      <c r="E241" s="1" t="s">
        <v>8</v>
      </c>
      <c r="F241" s="1" t="s">
        <v>1035</v>
      </c>
      <c r="G241" s="1" t="s">
        <v>887</v>
      </c>
      <c r="I241" s="1">
        <f t="shared" si="0"/>
        <v>1</v>
      </c>
      <c r="J241" s="1">
        <f t="shared" si="1"/>
        <v>0</v>
      </c>
      <c r="K241" s="1">
        <f t="shared" si="2"/>
        <v>0</v>
      </c>
    </row>
    <row r="242" spans="1:11" ht="21" customHeight="1" x14ac:dyDescent="0.2">
      <c r="A242" s="1" t="s">
        <v>666</v>
      </c>
      <c r="B242" s="1" t="s">
        <v>1036</v>
      </c>
      <c r="C242" s="1" t="s">
        <v>1037</v>
      </c>
      <c r="D242" s="1" t="s">
        <v>1038</v>
      </c>
      <c r="E242" s="1" t="s">
        <v>10</v>
      </c>
      <c r="F242" s="1" t="s">
        <v>1039</v>
      </c>
      <c r="G242" s="1" t="s">
        <v>31</v>
      </c>
      <c r="I242" s="1">
        <f t="shared" si="0"/>
        <v>0</v>
      </c>
      <c r="J242" s="1">
        <f t="shared" si="1"/>
        <v>0</v>
      </c>
      <c r="K242" s="1">
        <f t="shared" si="2"/>
        <v>1</v>
      </c>
    </row>
    <row r="243" spans="1:11" ht="21" customHeight="1" x14ac:dyDescent="0.2">
      <c r="A243" s="1" t="s">
        <v>666</v>
      </c>
      <c r="B243" s="1" t="s">
        <v>1040</v>
      </c>
      <c r="C243" s="1" t="s">
        <v>1041</v>
      </c>
      <c r="D243" s="1" t="s">
        <v>1042</v>
      </c>
      <c r="E243" s="1" t="s">
        <v>10</v>
      </c>
      <c r="F243" s="1" t="s">
        <v>1043</v>
      </c>
      <c r="G243" s="1" t="s">
        <v>31</v>
      </c>
      <c r="I243" s="1">
        <f t="shared" si="0"/>
        <v>0</v>
      </c>
      <c r="J243" s="1">
        <f t="shared" si="1"/>
        <v>0</v>
      </c>
      <c r="K243" s="1">
        <f t="shared" si="2"/>
        <v>1</v>
      </c>
    </row>
    <row r="244" spans="1:11" ht="21" customHeight="1" x14ac:dyDescent="0.2">
      <c r="A244" s="1" t="s">
        <v>666</v>
      </c>
      <c r="B244" s="1" t="s">
        <v>1044</v>
      </c>
      <c r="C244" s="1" t="s">
        <v>1045</v>
      </c>
      <c r="D244" s="1" t="s">
        <v>1046</v>
      </c>
      <c r="E244" s="1" t="s">
        <v>8</v>
      </c>
      <c r="F244" s="1" t="s">
        <v>1047</v>
      </c>
      <c r="G244" s="1" t="s">
        <v>191</v>
      </c>
      <c r="I244" s="1">
        <f t="shared" si="0"/>
        <v>1</v>
      </c>
      <c r="J244" s="1">
        <f t="shared" si="1"/>
        <v>0</v>
      </c>
      <c r="K244" s="1">
        <f t="shared" si="2"/>
        <v>0</v>
      </c>
    </row>
    <row r="245" spans="1:11" ht="21" customHeight="1" x14ac:dyDescent="0.2">
      <c r="A245" s="1" t="s">
        <v>666</v>
      </c>
      <c r="B245" s="1" t="s">
        <v>1048</v>
      </c>
      <c r="C245" s="1" t="s">
        <v>1049</v>
      </c>
      <c r="D245" s="1" t="s">
        <v>1050</v>
      </c>
      <c r="E245" s="1" t="s">
        <v>9</v>
      </c>
      <c r="F245" s="1" t="s">
        <v>1051</v>
      </c>
      <c r="G245" s="1" t="s">
        <v>126</v>
      </c>
      <c r="I245" s="1">
        <f t="shared" si="0"/>
        <v>0</v>
      </c>
      <c r="J245" s="1">
        <f t="shared" si="1"/>
        <v>1</v>
      </c>
      <c r="K245" s="1">
        <f t="shared" si="2"/>
        <v>0</v>
      </c>
    </row>
    <row r="246" spans="1:11" ht="21" customHeight="1" x14ac:dyDescent="0.2">
      <c r="A246" s="1" t="s">
        <v>666</v>
      </c>
      <c r="B246" s="1" t="s">
        <v>1052</v>
      </c>
      <c r="C246" s="1" t="s">
        <v>1053</v>
      </c>
      <c r="D246" s="1" t="s">
        <v>1054</v>
      </c>
      <c r="E246" s="1" t="s">
        <v>10</v>
      </c>
      <c r="F246" s="1" t="s">
        <v>1055</v>
      </c>
      <c r="G246" s="1" t="s">
        <v>80</v>
      </c>
      <c r="I246" s="1">
        <f t="shared" si="0"/>
        <v>0</v>
      </c>
      <c r="J246" s="1">
        <f t="shared" si="1"/>
        <v>0</v>
      </c>
      <c r="K246" s="1">
        <f t="shared" si="2"/>
        <v>1</v>
      </c>
    </row>
    <row r="247" spans="1:11" ht="21" customHeight="1" x14ac:dyDescent="0.2">
      <c r="A247" s="1" t="s">
        <v>666</v>
      </c>
      <c r="B247" s="1" t="s">
        <v>1056</v>
      </c>
      <c r="C247" s="1" t="s">
        <v>1057</v>
      </c>
      <c r="D247" s="1" t="s">
        <v>1058</v>
      </c>
      <c r="E247" s="1" t="s">
        <v>8</v>
      </c>
      <c r="F247" s="1" t="s">
        <v>1059</v>
      </c>
      <c r="G247" s="1" t="s">
        <v>1060</v>
      </c>
      <c r="I247" s="1">
        <f t="shared" si="0"/>
        <v>1</v>
      </c>
      <c r="J247" s="1">
        <f t="shared" si="1"/>
        <v>0</v>
      </c>
      <c r="K247" s="1">
        <f t="shared" si="2"/>
        <v>0</v>
      </c>
    </row>
    <row r="248" spans="1:11" ht="21" customHeight="1" x14ac:dyDescent="0.2">
      <c r="A248" s="1" t="s">
        <v>666</v>
      </c>
      <c r="B248" s="1" t="s">
        <v>1061</v>
      </c>
      <c r="C248" s="1" t="s">
        <v>1062</v>
      </c>
      <c r="D248" s="1" t="s">
        <v>1063</v>
      </c>
      <c r="E248" s="1" t="s">
        <v>9</v>
      </c>
      <c r="F248" s="1" t="s">
        <v>1064</v>
      </c>
      <c r="G248" s="1" t="s">
        <v>21</v>
      </c>
      <c r="I248" s="1">
        <f t="shared" si="0"/>
        <v>0</v>
      </c>
      <c r="J248" s="1">
        <f t="shared" si="1"/>
        <v>1</v>
      </c>
      <c r="K248" s="1">
        <f t="shared" si="2"/>
        <v>0</v>
      </c>
    </row>
    <row r="249" spans="1:11" ht="21" customHeight="1" x14ac:dyDescent="0.2">
      <c r="A249" s="1" t="s">
        <v>666</v>
      </c>
      <c r="B249" s="1" t="s">
        <v>1065</v>
      </c>
      <c r="C249" s="1" t="s">
        <v>1066</v>
      </c>
      <c r="D249" s="1" t="s">
        <v>1067</v>
      </c>
      <c r="E249" s="1" t="s">
        <v>8</v>
      </c>
      <c r="F249" s="1" t="s">
        <v>1068</v>
      </c>
      <c r="G249" s="1" t="s">
        <v>75</v>
      </c>
      <c r="I249" s="1">
        <f t="shared" si="0"/>
        <v>1</v>
      </c>
      <c r="J249" s="1">
        <f t="shared" si="1"/>
        <v>0</v>
      </c>
      <c r="K249" s="1">
        <f t="shared" si="2"/>
        <v>0</v>
      </c>
    </row>
    <row r="250" spans="1:11" ht="21" customHeight="1" x14ac:dyDescent="0.2">
      <c r="A250" s="1" t="s">
        <v>666</v>
      </c>
      <c r="B250" s="1" t="s">
        <v>1069</v>
      </c>
      <c r="C250" s="1" t="s">
        <v>1070</v>
      </c>
      <c r="D250" s="1" t="s">
        <v>1071</v>
      </c>
      <c r="E250" s="1" t="s">
        <v>8</v>
      </c>
      <c r="F250" s="1" t="s">
        <v>1072</v>
      </c>
      <c r="G250" s="1" t="s">
        <v>436</v>
      </c>
      <c r="I250" s="1">
        <f t="shared" si="0"/>
        <v>1</v>
      </c>
      <c r="J250" s="1">
        <f t="shared" si="1"/>
        <v>0</v>
      </c>
      <c r="K250" s="1">
        <f t="shared" si="2"/>
        <v>0</v>
      </c>
    </row>
    <row r="251" spans="1:11" ht="21" customHeight="1" x14ac:dyDescent="0.2">
      <c r="A251" s="1" t="s">
        <v>666</v>
      </c>
      <c r="B251" s="1" t="s">
        <v>1073</v>
      </c>
      <c r="C251" s="1" t="s">
        <v>1074</v>
      </c>
      <c r="D251" s="1" t="s">
        <v>1075</v>
      </c>
      <c r="E251" s="1" t="s">
        <v>8</v>
      </c>
      <c r="F251" s="1" t="s">
        <v>1076</v>
      </c>
      <c r="G251" s="1" t="s">
        <v>1077</v>
      </c>
      <c r="I251" s="1">
        <f t="shared" si="0"/>
        <v>1</v>
      </c>
      <c r="J251" s="1">
        <f t="shared" si="1"/>
        <v>0</v>
      </c>
      <c r="K251" s="1">
        <f t="shared" si="2"/>
        <v>0</v>
      </c>
    </row>
    <row r="252" spans="1:11" ht="21" customHeight="1" x14ac:dyDescent="0.2">
      <c r="A252" s="1" t="s">
        <v>666</v>
      </c>
      <c r="B252" s="1" t="s">
        <v>1078</v>
      </c>
      <c r="C252" s="1" t="s">
        <v>1079</v>
      </c>
      <c r="D252" s="1" t="s">
        <v>1080</v>
      </c>
      <c r="E252" s="1" t="s">
        <v>8</v>
      </c>
      <c r="F252" s="1" t="s">
        <v>1081</v>
      </c>
      <c r="G252" s="1" t="s">
        <v>26</v>
      </c>
      <c r="I252" s="1">
        <f t="shared" si="0"/>
        <v>1</v>
      </c>
      <c r="J252" s="1">
        <f t="shared" si="1"/>
        <v>0</v>
      </c>
      <c r="K252" s="1">
        <f t="shared" si="2"/>
        <v>0</v>
      </c>
    </row>
    <row r="253" spans="1:11" ht="21" customHeight="1" x14ac:dyDescent="0.2">
      <c r="A253" s="1" t="s">
        <v>666</v>
      </c>
      <c r="B253" s="1" t="s">
        <v>1082</v>
      </c>
      <c r="C253" s="1" t="s">
        <v>1083</v>
      </c>
      <c r="D253" s="1" t="s">
        <v>1084</v>
      </c>
      <c r="E253" s="1" t="s">
        <v>10</v>
      </c>
      <c r="F253" s="1" t="s">
        <v>1085</v>
      </c>
      <c r="G253" s="1" t="s">
        <v>21</v>
      </c>
      <c r="I253" s="1">
        <f t="shared" si="0"/>
        <v>0</v>
      </c>
      <c r="J253" s="1">
        <f t="shared" si="1"/>
        <v>0</v>
      </c>
      <c r="K253" s="1">
        <f t="shared" si="2"/>
        <v>1</v>
      </c>
    </row>
    <row r="254" spans="1:11" ht="21" customHeight="1" x14ac:dyDescent="0.2">
      <c r="A254" s="1" t="s">
        <v>666</v>
      </c>
      <c r="B254" s="1" t="s">
        <v>1086</v>
      </c>
      <c r="C254" s="1" t="s">
        <v>1087</v>
      </c>
      <c r="D254" s="1" t="s">
        <v>1088</v>
      </c>
      <c r="E254" s="1" t="s">
        <v>8</v>
      </c>
      <c r="F254" s="1" t="s">
        <v>1089</v>
      </c>
      <c r="G254" s="1" t="s">
        <v>1090</v>
      </c>
      <c r="I254" s="1">
        <f t="shared" si="0"/>
        <v>1</v>
      </c>
      <c r="J254" s="1">
        <f t="shared" si="1"/>
        <v>0</v>
      </c>
      <c r="K254" s="1">
        <f t="shared" si="2"/>
        <v>0</v>
      </c>
    </row>
    <row r="255" spans="1:11" ht="21" customHeight="1" x14ac:dyDescent="0.2">
      <c r="A255" s="1" t="s">
        <v>666</v>
      </c>
      <c r="B255" s="1" t="s">
        <v>1091</v>
      </c>
      <c r="C255" s="1" t="s">
        <v>1092</v>
      </c>
      <c r="D255" s="1" t="s">
        <v>1093</v>
      </c>
      <c r="E255" s="1" t="s">
        <v>8</v>
      </c>
      <c r="F255" s="1" t="s">
        <v>1094</v>
      </c>
      <c r="G255" s="1" t="s">
        <v>150</v>
      </c>
      <c r="I255" s="1">
        <f t="shared" si="0"/>
        <v>1</v>
      </c>
      <c r="J255" s="1">
        <f t="shared" si="1"/>
        <v>0</v>
      </c>
      <c r="K255" s="1">
        <f t="shared" si="2"/>
        <v>0</v>
      </c>
    </row>
    <row r="256" spans="1:11" ht="21" customHeight="1" x14ac:dyDescent="0.2">
      <c r="A256" s="1" t="s">
        <v>666</v>
      </c>
      <c r="B256" s="1" t="s">
        <v>1095</v>
      </c>
      <c r="C256" s="1" t="s">
        <v>1096</v>
      </c>
      <c r="D256" s="1" t="s">
        <v>1097</v>
      </c>
      <c r="E256" s="1" t="s">
        <v>10</v>
      </c>
      <c r="F256" s="1" t="s">
        <v>1098</v>
      </c>
      <c r="G256" s="1" t="s">
        <v>31</v>
      </c>
      <c r="I256" s="1">
        <f t="shared" si="0"/>
        <v>0</v>
      </c>
      <c r="J256" s="1">
        <f t="shared" si="1"/>
        <v>0</v>
      </c>
      <c r="K256" s="1">
        <f t="shared" si="2"/>
        <v>1</v>
      </c>
    </row>
    <row r="257" spans="1:11" ht="21" customHeight="1" x14ac:dyDescent="0.2">
      <c r="A257" s="1" t="s">
        <v>666</v>
      </c>
      <c r="B257" s="1" t="s">
        <v>1099</v>
      </c>
      <c r="C257" s="1" t="s">
        <v>1100</v>
      </c>
      <c r="D257" s="1" t="s">
        <v>1101</v>
      </c>
      <c r="E257" s="1" t="s">
        <v>10</v>
      </c>
      <c r="F257" s="1" t="s">
        <v>1102</v>
      </c>
      <c r="G257" s="1" t="s">
        <v>31</v>
      </c>
      <c r="I257" s="1">
        <f t="shared" ref="I257:I333" si="3">IF(E257="include",1,0)</f>
        <v>0</v>
      </c>
      <c r="J257" s="1">
        <f t="shared" ref="J257:J333" si="4">IF(E257="exclude",1,0)</f>
        <v>0</v>
      </c>
      <c r="K257" s="1">
        <f t="shared" ref="K257:K333" si="5">IF(E257="uncertain",1,0)</f>
        <v>1</v>
      </c>
    </row>
    <row r="258" spans="1:11" ht="21" customHeight="1" x14ac:dyDescent="0.2">
      <c r="A258" s="1" t="s">
        <v>666</v>
      </c>
      <c r="B258" s="1" t="s">
        <v>1103</v>
      </c>
      <c r="C258" s="1" t="s">
        <v>1104</v>
      </c>
      <c r="D258" s="1" t="s">
        <v>1105</v>
      </c>
      <c r="E258" s="1" t="s">
        <v>8</v>
      </c>
      <c r="F258" s="1" t="s">
        <v>1106</v>
      </c>
      <c r="G258" s="1" t="s">
        <v>26</v>
      </c>
      <c r="I258" s="1">
        <f t="shared" si="3"/>
        <v>1</v>
      </c>
      <c r="J258" s="1">
        <f t="shared" si="4"/>
        <v>0</v>
      </c>
      <c r="K258" s="1">
        <f t="shared" si="5"/>
        <v>0</v>
      </c>
    </row>
    <row r="259" spans="1:11" ht="21" customHeight="1" x14ac:dyDescent="0.2">
      <c r="A259" s="1" t="s">
        <v>666</v>
      </c>
      <c r="B259" s="1" t="s">
        <v>1107</v>
      </c>
      <c r="C259" s="1" t="s">
        <v>1108</v>
      </c>
      <c r="D259" s="1" t="s">
        <v>1109</v>
      </c>
      <c r="E259" s="1" t="s">
        <v>8</v>
      </c>
      <c r="F259" s="1" t="s">
        <v>1110</v>
      </c>
      <c r="G259" s="1" t="s">
        <v>427</v>
      </c>
      <c r="I259" s="1">
        <f t="shared" si="3"/>
        <v>1</v>
      </c>
      <c r="J259" s="1">
        <f t="shared" si="4"/>
        <v>0</v>
      </c>
      <c r="K259" s="1">
        <f t="shared" si="5"/>
        <v>0</v>
      </c>
    </row>
    <row r="260" spans="1:11" ht="21" customHeight="1" x14ac:dyDescent="0.2">
      <c r="A260" s="1" t="s">
        <v>666</v>
      </c>
      <c r="B260" s="1" t="s">
        <v>1111</v>
      </c>
      <c r="C260" s="1" t="s">
        <v>1112</v>
      </c>
      <c r="D260" s="1" t="s">
        <v>1113</v>
      </c>
      <c r="E260" s="1" t="s">
        <v>8</v>
      </c>
      <c r="F260" s="1" t="s">
        <v>1114</v>
      </c>
      <c r="G260" s="1" t="s">
        <v>85</v>
      </c>
      <c r="I260" s="1">
        <f t="shared" si="3"/>
        <v>1</v>
      </c>
      <c r="J260" s="1">
        <f t="shared" si="4"/>
        <v>0</v>
      </c>
      <c r="K260" s="1">
        <f t="shared" si="5"/>
        <v>0</v>
      </c>
    </row>
    <row r="261" spans="1:11" ht="21" customHeight="1" x14ac:dyDescent="0.2">
      <c r="A261" s="1" t="s">
        <v>666</v>
      </c>
      <c r="B261" s="1" t="s">
        <v>1115</v>
      </c>
      <c r="C261" s="1" t="s">
        <v>1116</v>
      </c>
      <c r="D261" s="1" t="s">
        <v>1117</v>
      </c>
      <c r="E261" s="1" t="s">
        <v>10</v>
      </c>
      <c r="F261" s="1" t="s">
        <v>1118</v>
      </c>
      <c r="G261" s="1" t="s">
        <v>802</v>
      </c>
      <c r="I261" s="1">
        <f t="shared" si="3"/>
        <v>0</v>
      </c>
      <c r="J261" s="1">
        <f t="shared" si="4"/>
        <v>0</v>
      </c>
      <c r="K261" s="1">
        <f t="shared" si="5"/>
        <v>1</v>
      </c>
    </row>
    <row r="262" spans="1:11" ht="21" customHeight="1" x14ac:dyDescent="0.2">
      <c r="A262" s="1" t="s">
        <v>666</v>
      </c>
      <c r="B262" s="1" t="s">
        <v>1119</v>
      </c>
      <c r="C262" s="1" t="s">
        <v>1120</v>
      </c>
      <c r="D262" s="1" t="s">
        <v>1121</v>
      </c>
      <c r="E262" s="1" t="s">
        <v>10</v>
      </c>
      <c r="F262" s="1" t="s">
        <v>1122</v>
      </c>
      <c r="G262" s="1" t="s">
        <v>453</v>
      </c>
      <c r="I262" s="1">
        <f t="shared" si="3"/>
        <v>0</v>
      </c>
      <c r="J262" s="1">
        <f t="shared" si="4"/>
        <v>0</v>
      </c>
      <c r="K262" s="1">
        <f t="shared" si="5"/>
        <v>1</v>
      </c>
    </row>
    <row r="263" spans="1:11" ht="21" customHeight="1" x14ac:dyDescent="0.2">
      <c r="A263" s="1" t="s">
        <v>666</v>
      </c>
      <c r="B263" s="1" t="s">
        <v>1123</v>
      </c>
      <c r="C263" s="1" t="s">
        <v>1124</v>
      </c>
      <c r="D263" s="1" t="s">
        <v>1125</v>
      </c>
      <c r="E263" s="1" t="s">
        <v>8</v>
      </c>
      <c r="F263" s="1" t="s">
        <v>1126</v>
      </c>
      <c r="G263" s="1" t="s">
        <v>276</v>
      </c>
      <c r="I263" s="1">
        <f t="shared" si="3"/>
        <v>1</v>
      </c>
      <c r="J263" s="1">
        <f t="shared" si="4"/>
        <v>0</v>
      </c>
      <c r="K263" s="1">
        <f t="shared" si="5"/>
        <v>0</v>
      </c>
    </row>
    <row r="264" spans="1:11" ht="21" customHeight="1" x14ac:dyDescent="0.2">
      <c r="A264" s="1" t="s">
        <v>666</v>
      </c>
      <c r="B264" s="1" t="s">
        <v>1127</v>
      </c>
      <c r="C264" s="1" t="s">
        <v>1128</v>
      </c>
      <c r="D264" s="1" t="s">
        <v>1129</v>
      </c>
      <c r="E264" s="1" t="s">
        <v>8</v>
      </c>
      <c r="F264" s="1" t="s">
        <v>1130</v>
      </c>
      <c r="G264" s="1" t="s">
        <v>1131</v>
      </c>
      <c r="I264" s="1">
        <f t="shared" si="3"/>
        <v>1</v>
      </c>
      <c r="J264" s="1">
        <f t="shared" si="4"/>
        <v>0</v>
      </c>
      <c r="K264" s="1">
        <f t="shared" si="5"/>
        <v>0</v>
      </c>
    </row>
    <row r="265" spans="1:11" ht="21" customHeight="1" x14ac:dyDescent="0.2">
      <c r="A265" s="1" t="s">
        <v>666</v>
      </c>
      <c r="B265" s="1" t="s">
        <v>1132</v>
      </c>
      <c r="C265" s="1" t="s">
        <v>1133</v>
      </c>
      <c r="D265" s="1" t="s">
        <v>1134</v>
      </c>
      <c r="E265" s="1" t="s">
        <v>8</v>
      </c>
      <c r="F265" s="1" t="s">
        <v>1135</v>
      </c>
      <c r="G265" s="1" t="s">
        <v>1136</v>
      </c>
      <c r="I265" s="1">
        <f t="shared" si="3"/>
        <v>1</v>
      </c>
      <c r="J265" s="1">
        <f t="shared" si="4"/>
        <v>0</v>
      </c>
      <c r="K265" s="1">
        <f t="shared" si="5"/>
        <v>0</v>
      </c>
    </row>
    <row r="266" spans="1:11" ht="21" customHeight="1" x14ac:dyDescent="0.2">
      <c r="A266" s="1" t="s">
        <v>666</v>
      </c>
      <c r="B266" s="1" t="s">
        <v>1137</v>
      </c>
      <c r="C266" s="1" t="s">
        <v>1138</v>
      </c>
      <c r="D266" s="1" t="s">
        <v>1139</v>
      </c>
      <c r="E266" s="1" t="s">
        <v>9</v>
      </c>
      <c r="F266" s="1" t="s">
        <v>1140</v>
      </c>
      <c r="G266" s="1" t="s">
        <v>126</v>
      </c>
      <c r="I266" s="1">
        <f t="shared" si="3"/>
        <v>0</v>
      </c>
      <c r="J266" s="1">
        <f t="shared" si="4"/>
        <v>1</v>
      </c>
      <c r="K266" s="1">
        <f t="shared" si="5"/>
        <v>0</v>
      </c>
    </row>
    <row r="267" spans="1:11" ht="21" customHeight="1" x14ac:dyDescent="0.2">
      <c r="A267" s="1" t="s">
        <v>666</v>
      </c>
      <c r="B267" s="1" t="s">
        <v>1141</v>
      </c>
      <c r="C267" s="1" t="s">
        <v>1142</v>
      </c>
      <c r="D267" s="1" t="s">
        <v>1143</v>
      </c>
      <c r="E267" s="1" t="s">
        <v>9</v>
      </c>
      <c r="F267" s="1" t="s">
        <v>1144</v>
      </c>
      <c r="G267" s="1" t="s">
        <v>126</v>
      </c>
      <c r="I267" s="1">
        <f t="shared" si="3"/>
        <v>0</v>
      </c>
      <c r="J267" s="1">
        <f t="shared" si="4"/>
        <v>1</v>
      </c>
      <c r="K267" s="1">
        <f t="shared" si="5"/>
        <v>0</v>
      </c>
    </row>
    <row r="268" spans="1:11" ht="21" customHeight="1" x14ac:dyDescent="0.2">
      <c r="A268" s="1" t="s">
        <v>666</v>
      </c>
      <c r="B268" s="1" t="s">
        <v>1145</v>
      </c>
      <c r="C268" s="1" t="s">
        <v>1146</v>
      </c>
      <c r="D268" s="1" t="s">
        <v>1147</v>
      </c>
      <c r="E268" s="1" t="s">
        <v>8</v>
      </c>
      <c r="F268" s="1" t="s">
        <v>1148</v>
      </c>
      <c r="G268" s="1" t="s">
        <v>26</v>
      </c>
      <c r="I268" s="1">
        <f t="shared" si="3"/>
        <v>1</v>
      </c>
      <c r="J268" s="1">
        <f t="shared" si="4"/>
        <v>0</v>
      </c>
      <c r="K268" s="1">
        <f t="shared" si="5"/>
        <v>0</v>
      </c>
    </row>
    <row r="269" spans="1:11" ht="21" customHeight="1" x14ac:dyDescent="0.2">
      <c r="A269" s="1" t="s">
        <v>666</v>
      </c>
      <c r="B269" s="1" t="s">
        <v>1149</v>
      </c>
      <c r="C269" s="1" t="s">
        <v>1150</v>
      </c>
      <c r="D269" s="1" t="s">
        <v>1151</v>
      </c>
      <c r="E269" s="1" t="s">
        <v>8</v>
      </c>
      <c r="F269" s="1" t="s">
        <v>1152</v>
      </c>
      <c r="G269" s="1" t="s">
        <v>26</v>
      </c>
      <c r="I269" s="1">
        <f t="shared" si="3"/>
        <v>1</v>
      </c>
      <c r="J269" s="1">
        <f t="shared" si="4"/>
        <v>0</v>
      </c>
      <c r="K269" s="1">
        <f t="shared" si="5"/>
        <v>0</v>
      </c>
    </row>
    <row r="270" spans="1:11" ht="21" customHeight="1" x14ac:dyDescent="0.2">
      <c r="A270" s="1" t="s">
        <v>666</v>
      </c>
      <c r="B270" s="1" t="s">
        <v>1153</v>
      </c>
      <c r="C270" s="1" t="s">
        <v>1154</v>
      </c>
      <c r="D270" s="1" t="s">
        <v>1155</v>
      </c>
      <c r="E270" s="1" t="s">
        <v>9</v>
      </c>
      <c r="F270" s="1" t="s">
        <v>1156</v>
      </c>
      <c r="G270" s="1" t="s">
        <v>126</v>
      </c>
      <c r="I270" s="1">
        <f t="shared" si="3"/>
        <v>0</v>
      </c>
      <c r="J270" s="1">
        <f t="shared" si="4"/>
        <v>1</v>
      </c>
      <c r="K270" s="1">
        <f t="shared" si="5"/>
        <v>0</v>
      </c>
    </row>
    <row r="271" spans="1:11" ht="21" customHeight="1" x14ac:dyDescent="0.2">
      <c r="A271" s="1" t="s">
        <v>666</v>
      </c>
      <c r="B271" s="1" t="s">
        <v>1157</v>
      </c>
      <c r="C271" s="1" t="s">
        <v>1158</v>
      </c>
      <c r="D271" s="1" t="s">
        <v>1159</v>
      </c>
      <c r="E271" s="1" t="s">
        <v>9</v>
      </c>
      <c r="F271" s="1" t="s">
        <v>1160</v>
      </c>
      <c r="G271" s="1" t="s">
        <v>21</v>
      </c>
      <c r="I271" s="1">
        <f t="shared" si="3"/>
        <v>0</v>
      </c>
      <c r="J271" s="1">
        <f t="shared" si="4"/>
        <v>1</v>
      </c>
      <c r="K271" s="1">
        <f t="shared" si="5"/>
        <v>0</v>
      </c>
    </row>
    <row r="272" spans="1:11" ht="21" customHeight="1" x14ac:dyDescent="0.2">
      <c r="A272" s="1" t="s">
        <v>666</v>
      </c>
      <c r="B272" s="1" t="s">
        <v>1161</v>
      </c>
      <c r="C272" s="1" t="s">
        <v>1162</v>
      </c>
      <c r="D272" s="1" t="s">
        <v>1163</v>
      </c>
      <c r="E272" s="1" t="s">
        <v>9</v>
      </c>
      <c r="F272" s="1" t="s">
        <v>1164</v>
      </c>
      <c r="G272" s="1" t="s">
        <v>126</v>
      </c>
      <c r="I272" s="1">
        <f t="shared" si="3"/>
        <v>0</v>
      </c>
      <c r="J272" s="1">
        <f t="shared" si="4"/>
        <v>1</v>
      </c>
      <c r="K272" s="1">
        <f t="shared" si="5"/>
        <v>0</v>
      </c>
    </row>
    <row r="273" spans="1:11" ht="21" customHeight="1" x14ac:dyDescent="0.2">
      <c r="A273" s="1" t="s">
        <v>666</v>
      </c>
      <c r="B273" s="1" t="s">
        <v>1165</v>
      </c>
      <c r="C273" s="1" t="s">
        <v>1166</v>
      </c>
      <c r="D273" s="1" t="s">
        <v>1167</v>
      </c>
      <c r="E273" s="1" t="s">
        <v>10</v>
      </c>
      <c r="F273" s="1" t="s">
        <v>1168</v>
      </c>
      <c r="G273" s="1" t="s">
        <v>31</v>
      </c>
      <c r="I273" s="1">
        <f t="shared" si="3"/>
        <v>0</v>
      </c>
      <c r="J273" s="1">
        <f t="shared" si="4"/>
        <v>0</v>
      </c>
      <c r="K273" s="1">
        <f t="shared" si="5"/>
        <v>1</v>
      </c>
    </row>
    <row r="274" spans="1:11" ht="21" customHeight="1" x14ac:dyDescent="0.2">
      <c r="A274" s="1" t="s">
        <v>666</v>
      </c>
      <c r="B274" s="1" t="s">
        <v>1169</v>
      </c>
      <c r="C274" s="1" t="s">
        <v>1170</v>
      </c>
      <c r="D274" s="1" t="s">
        <v>1171</v>
      </c>
      <c r="E274" s="1" t="s">
        <v>10</v>
      </c>
      <c r="F274" s="1" t="s">
        <v>1172</v>
      </c>
      <c r="G274" s="1" t="s">
        <v>1173</v>
      </c>
      <c r="I274" s="1">
        <f t="shared" si="3"/>
        <v>0</v>
      </c>
      <c r="J274" s="1">
        <f t="shared" si="4"/>
        <v>0</v>
      </c>
      <c r="K274" s="1">
        <f t="shared" si="5"/>
        <v>1</v>
      </c>
    </row>
    <row r="275" spans="1:11" ht="21" customHeight="1" x14ac:dyDescent="0.2">
      <c r="A275" s="1" t="s">
        <v>666</v>
      </c>
      <c r="B275" s="1" t="s">
        <v>1174</v>
      </c>
      <c r="C275" s="1" t="s">
        <v>1175</v>
      </c>
      <c r="D275" s="1" t="s">
        <v>1176</v>
      </c>
      <c r="E275" s="1" t="s">
        <v>10</v>
      </c>
      <c r="F275" s="1" t="s">
        <v>1177</v>
      </c>
      <c r="G275" s="1" t="s">
        <v>31</v>
      </c>
      <c r="I275" s="1">
        <f t="shared" si="3"/>
        <v>0</v>
      </c>
      <c r="J275" s="1">
        <f t="shared" si="4"/>
        <v>0</v>
      </c>
      <c r="K275" s="1">
        <f t="shared" si="5"/>
        <v>1</v>
      </c>
    </row>
    <row r="276" spans="1:11" ht="21" customHeight="1" x14ac:dyDescent="0.2">
      <c r="A276" s="1" t="s">
        <v>1178</v>
      </c>
      <c r="B276" s="1" t="s">
        <v>1179</v>
      </c>
      <c r="C276" s="1" t="s">
        <v>1180</v>
      </c>
      <c r="D276" s="1" t="s">
        <v>1181</v>
      </c>
      <c r="E276" s="1" t="s">
        <v>10</v>
      </c>
      <c r="F276" s="1" t="s">
        <v>1182</v>
      </c>
      <c r="G276" s="1" t="s">
        <v>31</v>
      </c>
      <c r="I276" s="1">
        <f t="shared" si="3"/>
        <v>0</v>
      </c>
      <c r="J276" s="1">
        <f t="shared" si="4"/>
        <v>0</v>
      </c>
      <c r="K276" s="1">
        <f t="shared" si="5"/>
        <v>1</v>
      </c>
    </row>
    <row r="277" spans="1:11" ht="21" customHeight="1" x14ac:dyDescent="0.2">
      <c r="A277" s="1" t="s">
        <v>1178</v>
      </c>
      <c r="B277" s="1" t="s">
        <v>1183</v>
      </c>
      <c r="C277" s="1" t="s">
        <v>1184</v>
      </c>
      <c r="D277" s="1" t="s">
        <v>1185</v>
      </c>
      <c r="E277" s="1" t="s">
        <v>10</v>
      </c>
      <c r="F277" s="1" t="s">
        <v>1186</v>
      </c>
      <c r="G277" s="1" t="s">
        <v>31</v>
      </c>
      <c r="I277" s="1">
        <f t="shared" si="3"/>
        <v>0</v>
      </c>
      <c r="J277" s="1">
        <f t="shared" si="4"/>
        <v>0</v>
      </c>
      <c r="K277" s="1">
        <f t="shared" si="5"/>
        <v>1</v>
      </c>
    </row>
    <row r="278" spans="1:11" ht="21" customHeight="1" x14ac:dyDescent="0.2">
      <c r="A278" s="1" t="s">
        <v>1178</v>
      </c>
      <c r="B278" s="1" t="s">
        <v>1187</v>
      </c>
      <c r="C278" s="1" t="s">
        <v>1188</v>
      </c>
      <c r="D278" s="1" t="s">
        <v>1189</v>
      </c>
      <c r="E278" s="1" t="s">
        <v>10</v>
      </c>
      <c r="F278" s="1" t="s">
        <v>1190</v>
      </c>
      <c r="G278" s="1" t="s">
        <v>597</v>
      </c>
      <c r="I278" s="1">
        <f t="shared" si="3"/>
        <v>0</v>
      </c>
      <c r="J278" s="1">
        <f t="shared" si="4"/>
        <v>0</v>
      </c>
      <c r="K278" s="1">
        <f t="shared" si="5"/>
        <v>1</v>
      </c>
    </row>
    <row r="279" spans="1:11" ht="21" customHeight="1" x14ac:dyDescent="0.2">
      <c r="A279" s="1" t="s">
        <v>1178</v>
      </c>
      <c r="B279" s="1" t="s">
        <v>1191</v>
      </c>
      <c r="C279" s="1" t="s">
        <v>1192</v>
      </c>
      <c r="D279" s="1" t="s">
        <v>1193</v>
      </c>
      <c r="E279" s="1" t="s">
        <v>9</v>
      </c>
      <c r="F279" s="1" t="s">
        <v>1194</v>
      </c>
      <c r="G279" s="1" t="s">
        <v>126</v>
      </c>
      <c r="I279" s="1">
        <f t="shared" si="3"/>
        <v>0</v>
      </c>
      <c r="J279" s="1">
        <f t="shared" si="4"/>
        <v>1</v>
      </c>
      <c r="K279" s="1">
        <f t="shared" si="5"/>
        <v>0</v>
      </c>
    </row>
    <row r="280" spans="1:11" ht="21" customHeight="1" x14ac:dyDescent="0.2">
      <c r="A280" s="1" t="s">
        <v>1178</v>
      </c>
      <c r="B280" s="1" t="s">
        <v>1195</v>
      </c>
      <c r="C280" s="1" t="s">
        <v>1196</v>
      </c>
      <c r="D280" s="1" t="s">
        <v>1197</v>
      </c>
      <c r="E280" s="1" t="s">
        <v>8</v>
      </c>
      <c r="F280" s="1" t="s">
        <v>1198</v>
      </c>
      <c r="G280" s="1" t="s">
        <v>291</v>
      </c>
      <c r="I280" s="1">
        <f t="shared" si="3"/>
        <v>1</v>
      </c>
      <c r="J280" s="1">
        <f t="shared" si="4"/>
        <v>0</v>
      </c>
      <c r="K280" s="1">
        <f t="shared" si="5"/>
        <v>0</v>
      </c>
    </row>
    <row r="281" spans="1:11" ht="21" customHeight="1" x14ac:dyDescent="0.2">
      <c r="A281" s="1" t="s">
        <v>1178</v>
      </c>
      <c r="B281" s="1" t="s">
        <v>1199</v>
      </c>
      <c r="C281" s="1" t="s">
        <v>1200</v>
      </c>
      <c r="D281" s="1" t="s">
        <v>1201</v>
      </c>
      <c r="E281" s="1" t="s">
        <v>9</v>
      </c>
      <c r="F281" s="1" t="s">
        <v>1202</v>
      </c>
      <c r="G281" s="1" t="s">
        <v>21</v>
      </c>
      <c r="I281" s="1">
        <f t="shared" si="3"/>
        <v>0</v>
      </c>
      <c r="J281" s="1">
        <f t="shared" si="4"/>
        <v>1</v>
      </c>
      <c r="K281" s="1">
        <f t="shared" si="5"/>
        <v>0</v>
      </c>
    </row>
    <row r="282" spans="1:11" ht="21" customHeight="1" x14ac:dyDescent="0.2">
      <c r="A282" s="1" t="s">
        <v>1178</v>
      </c>
      <c r="B282" s="1" t="s">
        <v>1203</v>
      </c>
      <c r="C282" s="1" t="s">
        <v>1204</v>
      </c>
      <c r="D282" s="1" t="s">
        <v>1205</v>
      </c>
      <c r="E282" s="1" t="s">
        <v>8</v>
      </c>
      <c r="F282" s="1" t="s">
        <v>1206</v>
      </c>
      <c r="G282" s="1" t="s">
        <v>1207</v>
      </c>
      <c r="I282" s="1">
        <f t="shared" si="3"/>
        <v>1</v>
      </c>
      <c r="J282" s="1">
        <f t="shared" si="4"/>
        <v>0</v>
      </c>
      <c r="K282" s="1">
        <f t="shared" si="5"/>
        <v>0</v>
      </c>
    </row>
    <row r="283" spans="1:11" ht="21" customHeight="1" x14ac:dyDescent="0.2">
      <c r="A283" s="1" t="s">
        <v>1178</v>
      </c>
      <c r="B283" s="1" t="s">
        <v>1208</v>
      </c>
      <c r="C283" s="1" t="s">
        <v>1209</v>
      </c>
      <c r="D283" s="1" t="s">
        <v>1210</v>
      </c>
      <c r="E283" s="1" t="s">
        <v>10</v>
      </c>
      <c r="F283" s="1" t="s">
        <v>1211</v>
      </c>
      <c r="G283" s="1" t="s">
        <v>21</v>
      </c>
      <c r="I283" s="1">
        <f t="shared" si="3"/>
        <v>0</v>
      </c>
      <c r="J283" s="1">
        <f t="shared" si="4"/>
        <v>0</v>
      </c>
      <c r="K283" s="1">
        <f t="shared" si="5"/>
        <v>1</v>
      </c>
    </row>
    <row r="284" spans="1:11" ht="21" customHeight="1" x14ac:dyDescent="0.2">
      <c r="A284" s="1" t="s">
        <v>1178</v>
      </c>
      <c r="B284" s="1" t="s">
        <v>1212</v>
      </c>
      <c r="C284" s="1" t="s">
        <v>1213</v>
      </c>
      <c r="D284" s="1" t="s">
        <v>1214</v>
      </c>
      <c r="E284" s="1" t="s">
        <v>10</v>
      </c>
      <c r="F284" s="1" t="s">
        <v>1215</v>
      </c>
      <c r="G284" s="1" t="s">
        <v>21</v>
      </c>
      <c r="I284" s="1">
        <f t="shared" si="3"/>
        <v>0</v>
      </c>
      <c r="J284" s="1">
        <f t="shared" si="4"/>
        <v>0</v>
      </c>
      <c r="K284" s="1">
        <f t="shared" si="5"/>
        <v>1</v>
      </c>
    </row>
    <row r="285" spans="1:11" ht="21" customHeight="1" x14ac:dyDescent="0.2">
      <c r="A285" s="1" t="s">
        <v>1178</v>
      </c>
      <c r="B285" s="1" t="s">
        <v>1216</v>
      </c>
      <c r="C285" s="1" t="s">
        <v>1217</v>
      </c>
      <c r="D285" s="1" t="s">
        <v>1218</v>
      </c>
      <c r="E285" s="1" t="s">
        <v>8</v>
      </c>
      <c r="F285" s="1" t="s">
        <v>1219</v>
      </c>
      <c r="G285" s="1" t="s">
        <v>26</v>
      </c>
      <c r="I285" s="1">
        <f t="shared" si="3"/>
        <v>1</v>
      </c>
      <c r="J285" s="1">
        <f t="shared" si="4"/>
        <v>0</v>
      </c>
      <c r="K285" s="1">
        <f t="shared" si="5"/>
        <v>0</v>
      </c>
    </row>
    <row r="286" spans="1:11" ht="21" customHeight="1" x14ac:dyDescent="0.2">
      <c r="A286" s="1" t="s">
        <v>1178</v>
      </c>
      <c r="B286" s="1" t="s">
        <v>1220</v>
      </c>
      <c r="C286" s="1" t="s">
        <v>1221</v>
      </c>
      <c r="D286" s="1" t="s">
        <v>1222</v>
      </c>
      <c r="E286" s="1" t="s">
        <v>10</v>
      </c>
      <c r="F286" s="1" t="s">
        <v>1223</v>
      </c>
      <c r="G286" s="1" t="s">
        <v>21</v>
      </c>
      <c r="I286" s="1">
        <f t="shared" si="3"/>
        <v>0</v>
      </c>
      <c r="J286" s="1">
        <f t="shared" si="4"/>
        <v>0</v>
      </c>
      <c r="K286" s="1">
        <f t="shared" si="5"/>
        <v>1</v>
      </c>
    </row>
    <row r="287" spans="1:11" ht="21" customHeight="1" x14ac:dyDescent="0.2">
      <c r="A287" s="1" t="s">
        <v>1178</v>
      </c>
      <c r="B287" s="1" t="s">
        <v>1224</v>
      </c>
      <c r="C287" s="1" t="s">
        <v>1225</v>
      </c>
      <c r="D287" s="1" t="s">
        <v>1226</v>
      </c>
      <c r="E287" s="1" t="s">
        <v>10</v>
      </c>
      <c r="F287" s="1" t="s">
        <v>1227</v>
      </c>
      <c r="G287" s="1" t="s">
        <v>291</v>
      </c>
      <c r="I287" s="1">
        <f t="shared" si="3"/>
        <v>0</v>
      </c>
      <c r="J287" s="1">
        <f t="shared" si="4"/>
        <v>0</v>
      </c>
      <c r="K287" s="1">
        <f t="shared" si="5"/>
        <v>1</v>
      </c>
    </row>
    <row r="288" spans="1:11" ht="21" customHeight="1" x14ac:dyDescent="0.2">
      <c r="A288" s="1" t="s">
        <v>1178</v>
      </c>
      <c r="B288" s="1" t="s">
        <v>1228</v>
      </c>
      <c r="C288" s="1" t="s">
        <v>1229</v>
      </c>
      <c r="D288" s="1" t="s">
        <v>1230</v>
      </c>
      <c r="E288" s="1" t="s">
        <v>8</v>
      </c>
      <c r="F288" s="1" t="s">
        <v>1231</v>
      </c>
      <c r="G288" s="1" t="s">
        <v>1232</v>
      </c>
      <c r="I288" s="1">
        <f t="shared" si="3"/>
        <v>1</v>
      </c>
      <c r="J288" s="1">
        <f t="shared" si="4"/>
        <v>0</v>
      </c>
      <c r="K288" s="1">
        <f t="shared" si="5"/>
        <v>0</v>
      </c>
    </row>
    <row r="289" spans="1:11" ht="21" customHeight="1" x14ac:dyDescent="0.2">
      <c r="A289" s="1" t="s">
        <v>1178</v>
      </c>
      <c r="B289" s="1" t="s">
        <v>1233</v>
      </c>
      <c r="C289" s="1" t="s">
        <v>1234</v>
      </c>
      <c r="D289" s="1" t="s">
        <v>1235</v>
      </c>
      <c r="E289" s="1" t="s">
        <v>8</v>
      </c>
      <c r="F289" s="1" t="s">
        <v>1236</v>
      </c>
      <c r="G289" s="1" t="s">
        <v>26</v>
      </c>
      <c r="I289" s="1">
        <f t="shared" si="3"/>
        <v>1</v>
      </c>
      <c r="J289" s="1">
        <f t="shared" si="4"/>
        <v>0</v>
      </c>
      <c r="K289" s="1">
        <f t="shared" si="5"/>
        <v>0</v>
      </c>
    </row>
    <row r="290" spans="1:11" ht="21" customHeight="1" x14ac:dyDescent="0.2">
      <c r="A290" s="1" t="s">
        <v>1178</v>
      </c>
      <c r="B290" s="1" t="s">
        <v>1237</v>
      </c>
      <c r="C290" s="1" t="s">
        <v>1238</v>
      </c>
      <c r="D290" s="1" t="s">
        <v>1239</v>
      </c>
      <c r="E290" s="1" t="s">
        <v>10</v>
      </c>
      <c r="F290" s="1" t="s">
        <v>1240</v>
      </c>
      <c r="G290" s="1" t="s">
        <v>31</v>
      </c>
      <c r="I290" s="1">
        <f t="shared" si="3"/>
        <v>0</v>
      </c>
      <c r="J290" s="1">
        <f t="shared" si="4"/>
        <v>0</v>
      </c>
      <c r="K290" s="1">
        <f t="shared" si="5"/>
        <v>1</v>
      </c>
    </row>
    <row r="291" spans="1:11" ht="21" customHeight="1" x14ac:dyDescent="0.2">
      <c r="A291" s="1" t="s">
        <v>1178</v>
      </c>
      <c r="B291" s="1" t="s">
        <v>1241</v>
      </c>
      <c r="C291" s="1" t="s">
        <v>1242</v>
      </c>
      <c r="D291" s="1" t="s">
        <v>1243</v>
      </c>
      <c r="E291" s="1" t="s">
        <v>8</v>
      </c>
      <c r="F291" s="1" t="s">
        <v>1244</v>
      </c>
      <c r="G291" s="1" t="s">
        <v>163</v>
      </c>
      <c r="I291" s="1">
        <f t="shared" si="3"/>
        <v>1</v>
      </c>
      <c r="J291" s="1">
        <f t="shared" si="4"/>
        <v>0</v>
      </c>
      <c r="K291" s="1">
        <f t="shared" si="5"/>
        <v>0</v>
      </c>
    </row>
    <row r="292" spans="1:11" ht="21" customHeight="1" x14ac:dyDescent="0.2">
      <c r="A292" s="1" t="s">
        <v>1178</v>
      </c>
      <c r="B292" s="1" t="s">
        <v>1245</v>
      </c>
      <c r="C292" s="1" t="s">
        <v>1246</v>
      </c>
      <c r="D292" s="1" t="s">
        <v>1247</v>
      </c>
      <c r="E292" s="1" t="s">
        <v>9</v>
      </c>
      <c r="F292" s="1" t="s">
        <v>1248</v>
      </c>
      <c r="G292" s="1" t="s">
        <v>21</v>
      </c>
      <c r="I292" s="1">
        <f t="shared" si="3"/>
        <v>0</v>
      </c>
      <c r="J292" s="1">
        <f t="shared" si="4"/>
        <v>1</v>
      </c>
      <c r="K292" s="1">
        <f t="shared" si="5"/>
        <v>0</v>
      </c>
    </row>
    <row r="293" spans="1:11" ht="21" customHeight="1" x14ac:dyDescent="0.2">
      <c r="A293" s="1" t="s">
        <v>1178</v>
      </c>
      <c r="B293" s="1" t="s">
        <v>1249</v>
      </c>
      <c r="C293" s="1" t="s">
        <v>1250</v>
      </c>
      <c r="D293" s="1" t="s">
        <v>1251</v>
      </c>
      <c r="E293" s="1" t="s">
        <v>9</v>
      </c>
      <c r="F293" s="1" t="s">
        <v>1252</v>
      </c>
      <c r="G293" s="1" t="s">
        <v>126</v>
      </c>
      <c r="I293" s="1">
        <f t="shared" si="3"/>
        <v>0</v>
      </c>
      <c r="J293" s="1">
        <f t="shared" si="4"/>
        <v>1</v>
      </c>
      <c r="K293" s="1">
        <f t="shared" si="5"/>
        <v>0</v>
      </c>
    </row>
    <row r="294" spans="1:11" ht="21" customHeight="1" x14ac:dyDescent="0.2">
      <c r="A294" s="1" t="s">
        <v>1178</v>
      </c>
      <c r="B294" s="1" t="s">
        <v>1253</v>
      </c>
      <c r="C294" s="1" t="s">
        <v>1254</v>
      </c>
      <c r="D294" s="1" t="s">
        <v>1255</v>
      </c>
      <c r="E294" s="1" t="s">
        <v>8</v>
      </c>
      <c r="F294" s="1" t="s">
        <v>1256</v>
      </c>
      <c r="G294" s="1" t="s">
        <v>372</v>
      </c>
      <c r="I294" s="1">
        <f t="shared" si="3"/>
        <v>1</v>
      </c>
      <c r="J294" s="1">
        <f t="shared" si="4"/>
        <v>0</v>
      </c>
      <c r="K294" s="1">
        <f t="shared" si="5"/>
        <v>0</v>
      </c>
    </row>
    <row r="295" spans="1:11" ht="21" customHeight="1" x14ac:dyDescent="0.2">
      <c r="A295" s="1" t="s">
        <v>1178</v>
      </c>
      <c r="B295" s="1" t="s">
        <v>1257</v>
      </c>
      <c r="C295" s="1" t="s">
        <v>1258</v>
      </c>
      <c r="D295" s="1" t="s">
        <v>1259</v>
      </c>
      <c r="E295" s="1" t="s">
        <v>8</v>
      </c>
      <c r="F295" s="1" t="s">
        <v>1260</v>
      </c>
      <c r="G295" s="1" t="s">
        <v>36</v>
      </c>
      <c r="I295" s="1">
        <f t="shared" si="3"/>
        <v>1</v>
      </c>
      <c r="J295" s="1">
        <f t="shared" si="4"/>
        <v>0</v>
      </c>
      <c r="K295" s="1">
        <f t="shared" si="5"/>
        <v>0</v>
      </c>
    </row>
    <row r="296" spans="1:11" ht="21" customHeight="1" x14ac:dyDescent="0.2">
      <c r="A296" s="1" t="s">
        <v>1178</v>
      </c>
      <c r="B296" s="1" t="s">
        <v>1261</v>
      </c>
      <c r="C296" s="1" t="s">
        <v>1262</v>
      </c>
      <c r="D296" s="1" t="s">
        <v>1263</v>
      </c>
      <c r="E296" s="1" t="s">
        <v>8</v>
      </c>
      <c r="F296" s="1" t="s">
        <v>1264</v>
      </c>
      <c r="G296" s="1" t="s">
        <v>887</v>
      </c>
      <c r="I296" s="1">
        <f t="shared" si="3"/>
        <v>1</v>
      </c>
      <c r="J296" s="1">
        <f t="shared" si="4"/>
        <v>0</v>
      </c>
      <c r="K296" s="1">
        <f t="shared" si="5"/>
        <v>0</v>
      </c>
    </row>
    <row r="297" spans="1:11" ht="21" customHeight="1" x14ac:dyDescent="0.2">
      <c r="A297" s="1" t="s">
        <v>1178</v>
      </c>
      <c r="B297" s="1" t="s">
        <v>1265</v>
      </c>
      <c r="C297" s="1" t="s">
        <v>1266</v>
      </c>
      <c r="D297" s="1" t="s">
        <v>1267</v>
      </c>
      <c r="E297" s="1" t="s">
        <v>8</v>
      </c>
      <c r="F297" s="1" t="s">
        <v>1268</v>
      </c>
      <c r="G297" s="1" t="s">
        <v>1269</v>
      </c>
      <c r="I297" s="1">
        <f t="shared" si="3"/>
        <v>1</v>
      </c>
      <c r="J297" s="1">
        <f t="shared" si="4"/>
        <v>0</v>
      </c>
      <c r="K297" s="1">
        <f t="shared" si="5"/>
        <v>0</v>
      </c>
    </row>
    <row r="298" spans="1:11" ht="21" customHeight="1" x14ac:dyDescent="0.2">
      <c r="A298" s="1" t="s">
        <v>1178</v>
      </c>
      <c r="B298" s="1" t="s">
        <v>1270</v>
      </c>
      <c r="C298" s="1" t="s">
        <v>1271</v>
      </c>
      <c r="D298" s="1" t="s">
        <v>1272</v>
      </c>
      <c r="E298" s="1" t="s">
        <v>10</v>
      </c>
      <c r="F298" s="1" t="s">
        <v>1273</v>
      </c>
      <c r="G298" s="1" t="s">
        <v>31</v>
      </c>
      <c r="I298" s="1">
        <f t="shared" si="3"/>
        <v>0</v>
      </c>
      <c r="J298" s="1">
        <f t="shared" si="4"/>
        <v>0</v>
      </c>
      <c r="K298" s="1">
        <f t="shared" si="5"/>
        <v>1</v>
      </c>
    </row>
    <row r="299" spans="1:11" ht="21" customHeight="1" x14ac:dyDescent="0.2">
      <c r="A299" s="1" t="s">
        <v>1178</v>
      </c>
      <c r="B299" s="1" t="s">
        <v>1274</v>
      </c>
      <c r="C299" s="1" t="s">
        <v>1275</v>
      </c>
      <c r="D299" s="1" t="s">
        <v>1276</v>
      </c>
      <c r="E299" s="1" t="s">
        <v>8</v>
      </c>
      <c r="F299" s="1" t="s">
        <v>1277</v>
      </c>
      <c r="G299" s="1" t="s">
        <v>1136</v>
      </c>
      <c r="I299" s="1">
        <f t="shared" si="3"/>
        <v>1</v>
      </c>
      <c r="J299" s="1">
        <f t="shared" si="4"/>
        <v>0</v>
      </c>
      <c r="K299" s="1">
        <f t="shared" si="5"/>
        <v>0</v>
      </c>
    </row>
    <row r="300" spans="1:11" ht="21" customHeight="1" x14ac:dyDescent="0.2">
      <c r="A300" s="1" t="s">
        <v>1178</v>
      </c>
      <c r="B300" s="1" t="s">
        <v>1278</v>
      </c>
      <c r="C300" s="1" t="s">
        <v>1279</v>
      </c>
      <c r="D300" s="1" t="s">
        <v>1280</v>
      </c>
      <c r="E300" s="1" t="s">
        <v>8</v>
      </c>
      <c r="F300" s="1" t="s">
        <v>1281</v>
      </c>
      <c r="G300" s="1" t="s">
        <v>26</v>
      </c>
      <c r="I300" s="1">
        <f t="shared" si="3"/>
        <v>1</v>
      </c>
      <c r="J300" s="1">
        <f t="shared" si="4"/>
        <v>0</v>
      </c>
      <c r="K300" s="1">
        <f t="shared" si="5"/>
        <v>0</v>
      </c>
    </row>
    <row r="301" spans="1:11" ht="21" customHeight="1" x14ac:dyDescent="0.2">
      <c r="A301" s="1" t="s">
        <v>1178</v>
      </c>
      <c r="B301" s="1" t="s">
        <v>1282</v>
      </c>
      <c r="C301" s="1" t="s">
        <v>1283</v>
      </c>
      <c r="D301" s="1" t="s">
        <v>1284</v>
      </c>
      <c r="E301" s="1" t="s">
        <v>8</v>
      </c>
      <c r="F301" s="1" t="s">
        <v>1285</v>
      </c>
      <c r="G301" s="1" t="s">
        <v>1286</v>
      </c>
      <c r="I301" s="1">
        <f t="shared" si="3"/>
        <v>1</v>
      </c>
      <c r="J301" s="1">
        <f t="shared" si="4"/>
        <v>0</v>
      </c>
      <c r="K301" s="1">
        <f t="shared" si="5"/>
        <v>0</v>
      </c>
    </row>
    <row r="302" spans="1:11" ht="21" customHeight="1" x14ac:dyDescent="0.2">
      <c r="A302" s="1" t="s">
        <v>1178</v>
      </c>
      <c r="B302" s="1" t="s">
        <v>1287</v>
      </c>
      <c r="C302" s="1" t="s">
        <v>1288</v>
      </c>
      <c r="D302" s="1" t="s">
        <v>1289</v>
      </c>
      <c r="E302" s="1" t="s">
        <v>10</v>
      </c>
      <c r="F302" s="1" t="s">
        <v>1290</v>
      </c>
      <c r="G302" s="1" t="s">
        <v>21</v>
      </c>
      <c r="I302" s="1">
        <f t="shared" si="3"/>
        <v>0</v>
      </c>
      <c r="J302" s="1">
        <f t="shared" si="4"/>
        <v>0</v>
      </c>
      <c r="K302" s="1">
        <f t="shared" si="5"/>
        <v>1</v>
      </c>
    </row>
    <row r="303" spans="1:11" ht="21" customHeight="1" x14ac:dyDescent="0.2">
      <c r="A303" s="1" t="s">
        <v>1178</v>
      </c>
      <c r="B303" s="1" t="s">
        <v>1291</v>
      </c>
      <c r="C303" s="1" t="s">
        <v>1292</v>
      </c>
      <c r="D303" s="1" t="s">
        <v>1293</v>
      </c>
      <c r="E303" s="1" t="s">
        <v>9</v>
      </c>
      <c r="F303" s="1" t="s">
        <v>1294</v>
      </c>
      <c r="G303" s="1" t="s">
        <v>126</v>
      </c>
      <c r="I303" s="1">
        <f t="shared" si="3"/>
        <v>0</v>
      </c>
      <c r="J303" s="1">
        <f t="shared" si="4"/>
        <v>1</v>
      </c>
      <c r="K303" s="1">
        <f t="shared" si="5"/>
        <v>0</v>
      </c>
    </row>
    <row r="304" spans="1:11" ht="21" customHeight="1" x14ac:dyDescent="0.2">
      <c r="A304" s="1" t="s">
        <v>1178</v>
      </c>
      <c r="B304" s="1" t="s">
        <v>1295</v>
      </c>
      <c r="C304" s="1" t="s">
        <v>1296</v>
      </c>
      <c r="D304" s="1" t="s">
        <v>1297</v>
      </c>
      <c r="E304" s="1" t="s">
        <v>8</v>
      </c>
      <c r="F304" s="1" t="s">
        <v>1298</v>
      </c>
      <c r="G304" s="1" t="s">
        <v>526</v>
      </c>
      <c r="I304" s="1">
        <f t="shared" si="3"/>
        <v>1</v>
      </c>
      <c r="J304" s="1">
        <f t="shared" si="4"/>
        <v>0</v>
      </c>
      <c r="K304" s="1">
        <f t="shared" si="5"/>
        <v>0</v>
      </c>
    </row>
    <row r="305" spans="1:11" ht="21" customHeight="1" x14ac:dyDescent="0.2">
      <c r="A305" s="1" t="s">
        <v>1178</v>
      </c>
      <c r="B305" s="1" t="s">
        <v>1299</v>
      </c>
      <c r="C305" s="1" t="s">
        <v>1300</v>
      </c>
      <c r="D305" s="1" t="s">
        <v>1301</v>
      </c>
      <c r="E305" s="1" t="s">
        <v>8</v>
      </c>
      <c r="F305" s="1" t="s">
        <v>1302</v>
      </c>
      <c r="G305" s="1" t="s">
        <v>75</v>
      </c>
      <c r="I305" s="1">
        <f t="shared" si="3"/>
        <v>1</v>
      </c>
      <c r="J305" s="1">
        <f t="shared" si="4"/>
        <v>0</v>
      </c>
      <c r="K305" s="1">
        <f t="shared" si="5"/>
        <v>0</v>
      </c>
    </row>
    <row r="306" spans="1:11" ht="21" customHeight="1" x14ac:dyDescent="0.2">
      <c r="A306" s="1" t="s">
        <v>1178</v>
      </c>
      <c r="B306" s="1" t="s">
        <v>1303</v>
      </c>
      <c r="C306" s="1" t="s">
        <v>1304</v>
      </c>
      <c r="D306" s="1" t="s">
        <v>1305</v>
      </c>
      <c r="E306" s="1" t="s">
        <v>9</v>
      </c>
      <c r="F306" s="1" t="s">
        <v>1306</v>
      </c>
      <c r="G306" s="1" t="s">
        <v>21</v>
      </c>
      <c r="I306" s="1">
        <f t="shared" si="3"/>
        <v>0</v>
      </c>
      <c r="J306" s="1">
        <f t="shared" si="4"/>
        <v>1</v>
      </c>
      <c r="K306" s="1">
        <f t="shared" si="5"/>
        <v>0</v>
      </c>
    </row>
    <row r="307" spans="1:11" ht="21" customHeight="1" x14ac:dyDescent="0.2">
      <c r="A307" s="1" t="s">
        <v>1178</v>
      </c>
      <c r="B307" s="1" t="s">
        <v>1307</v>
      </c>
      <c r="C307" s="1" t="s">
        <v>1308</v>
      </c>
      <c r="D307" s="1" t="s">
        <v>1309</v>
      </c>
      <c r="E307" s="1" t="s">
        <v>10</v>
      </c>
      <c r="F307" s="1" t="s">
        <v>1310</v>
      </c>
      <c r="G307" s="1" t="s">
        <v>1311</v>
      </c>
      <c r="I307" s="1">
        <f t="shared" si="3"/>
        <v>0</v>
      </c>
      <c r="J307" s="1">
        <f t="shared" si="4"/>
        <v>0</v>
      </c>
      <c r="K307" s="1">
        <f t="shared" si="5"/>
        <v>1</v>
      </c>
    </row>
    <row r="308" spans="1:11" ht="21" customHeight="1" x14ac:dyDescent="0.2">
      <c r="A308" s="1" t="s">
        <v>1178</v>
      </c>
      <c r="B308" s="1" t="s">
        <v>1312</v>
      </c>
      <c r="C308" s="1" t="s">
        <v>1313</v>
      </c>
      <c r="D308" s="1" t="s">
        <v>1314</v>
      </c>
      <c r="E308" s="1" t="s">
        <v>9</v>
      </c>
      <c r="F308" s="1" t="s">
        <v>1315</v>
      </c>
      <c r="G308" s="1" t="s">
        <v>21</v>
      </c>
      <c r="I308" s="1">
        <f t="shared" si="3"/>
        <v>0</v>
      </c>
      <c r="J308" s="1">
        <f t="shared" si="4"/>
        <v>1</v>
      </c>
      <c r="K308" s="1">
        <f t="shared" si="5"/>
        <v>0</v>
      </c>
    </row>
    <row r="309" spans="1:11" ht="21" customHeight="1" x14ac:dyDescent="0.2">
      <c r="A309" s="1" t="s">
        <v>1178</v>
      </c>
      <c r="B309" s="1" t="s">
        <v>1316</v>
      </c>
      <c r="C309" s="1" t="s">
        <v>1317</v>
      </c>
      <c r="D309" s="1" t="s">
        <v>1318</v>
      </c>
      <c r="E309" s="1" t="s">
        <v>8</v>
      </c>
      <c r="F309" s="1" t="s">
        <v>1319</v>
      </c>
      <c r="G309" s="1" t="s">
        <v>564</v>
      </c>
      <c r="I309" s="1">
        <f t="shared" si="3"/>
        <v>1</v>
      </c>
      <c r="J309" s="1">
        <f t="shared" si="4"/>
        <v>0</v>
      </c>
      <c r="K309" s="1">
        <f t="shared" si="5"/>
        <v>0</v>
      </c>
    </row>
    <row r="310" spans="1:11" ht="21" customHeight="1" x14ac:dyDescent="0.2">
      <c r="A310" s="1" t="s">
        <v>1178</v>
      </c>
      <c r="B310" s="1" t="s">
        <v>1320</v>
      </c>
      <c r="C310" s="1" t="s">
        <v>1321</v>
      </c>
      <c r="D310" s="1" t="s">
        <v>1322</v>
      </c>
      <c r="E310" s="1" t="s">
        <v>9</v>
      </c>
      <c r="F310" s="1" t="s">
        <v>1323</v>
      </c>
      <c r="G310" s="1" t="s">
        <v>21</v>
      </c>
      <c r="I310" s="1">
        <f t="shared" si="3"/>
        <v>0</v>
      </c>
      <c r="J310" s="1">
        <f t="shared" si="4"/>
        <v>1</v>
      </c>
      <c r="K310" s="1">
        <f t="shared" si="5"/>
        <v>0</v>
      </c>
    </row>
    <row r="311" spans="1:11" ht="21" customHeight="1" x14ac:dyDescent="0.2">
      <c r="A311" s="1" t="s">
        <v>1178</v>
      </c>
      <c r="B311" s="1" t="s">
        <v>1324</v>
      </c>
      <c r="C311" s="1" t="s">
        <v>1325</v>
      </c>
      <c r="D311" s="1" t="s">
        <v>1326</v>
      </c>
      <c r="E311" s="1" t="s">
        <v>8</v>
      </c>
      <c r="F311" s="1" t="s">
        <v>1327</v>
      </c>
      <c r="G311" s="1" t="s">
        <v>26</v>
      </c>
      <c r="I311" s="1">
        <f t="shared" si="3"/>
        <v>1</v>
      </c>
      <c r="J311" s="1">
        <f t="shared" si="4"/>
        <v>0</v>
      </c>
      <c r="K311" s="1">
        <f t="shared" si="5"/>
        <v>0</v>
      </c>
    </row>
    <row r="312" spans="1:11" ht="21" customHeight="1" x14ac:dyDescent="0.2">
      <c r="A312" s="1" t="s">
        <v>1178</v>
      </c>
      <c r="B312" s="1" t="s">
        <v>1328</v>
      </c>
      <c r="C312" s="1" t="s">
        <v>1329</v>
      </c>
      <c r="D312" s="1" t="s">
        <v>1330</v>
      </c>
      <c r="E312" s="1" t="s">
        <v>8</v>
      </c>
      <c r="F312" s="1" t="s">
        <v>1331</v>
      </c>
      <c r="G312" s="1" t="s">
        <v>26</v>
      </c>
      <c r="I312" s="1">
        <f t="shared" si="3"/>
        <v>1</v>
      </c>
      <c r="J312" s="1">
        <f t="shared" si="4"/>
        <v>0</v>
      </c>
      <c r="K312" s="1">
        <f t="shared" si="5"/>
        <v>0</v>
      </c>
    </row>
    <row r="313" spans="1:11" ht="21" customHeight="1" x14ac:dyDescent="0.2">
      <c r="A313" s="1" t="s">
        <v>1178</v>
      </c>
      <c r="B313" s="1" t="s">
        <v>1332</v>
      </c>
      <c r="C313" s="1" t="s">
        <v>1333</v>
      </c>
      <c r="D313" s="1" t="s">
        <v>1334</v>
      </c>
      <c r="E313" s="1" t="s">
        <v>10</v>
      </c>
      <c r="F313" s="1" t="s">
        <v>1335</v>
      </c>
      <c r="G313" s="1" t="s">
        <v>597</v>
      </c>
      <c r="I313" s="1">
        <f t="shared" si="3"/>
        <v>0</v>
      </c>
      <c r="J313" s="1">
        <f t="shared" si="4"/>
        <v>0</v>
      </c>
      <c r="K313" s="1">
        <f t="shared" si="5"/>
        <v>1</v>
      </c>
    </row>
    <row r="314" spans="1:11" ht="21" customHeight="1" x14ac:dyDescent="0.2">
      <c r="A314" s="1" t="s">
        <v>1178</v>
      </c>
      <c r="B314" s="1" t="s">
        <v>1336</v>
      </c>
      <c r="C314" s="1" t="s">
        <v>1337</v>
      </c>
      <c r="D314" s="1" t="s">
        <v>1338</v>
      </c>
      <c r="E314" s="1" t="s">
        <v>8</v>
      </c>
      <c r="F314" s="1" t="s">
        <v>1339</v>
      </c>
      <c r="G314" s="1" t="s">
        <v>26</v>
      </c>
      <c r="I314" s="1">
        <f t="shared" si="3"/>
        <v>1</v>
      </c>
      <c r="J314" s="1">
        <f t="shared" si="4"/>
        <v>0</v>
      </c>
      <c r="K314" s="1">
        <f t="shared" si="5"/>
        <v>0</v>
      </c>
    </row>
    <row r="315" spans="1:11" ht="21" customHeight="1" x14ac:dyDescent="0.2">
      <c r="A315" s="1" t="s">
        <v>1178</v>
      </c>
      <c r="B315" s="1" t="s">
        <v>1340</v>
      </c>
      <c r="C315" s="1" t="s">
        <v>1341</v>
      </c>
      <c r="D315" s="1" t="s">
        <v>1342</v>
      </c>
      <c r="E315" s="1" t="s">
        <v>8</v>
      </c>
      <c r="F315" s="1" t="s">
        <v>1343</v>
      </c>
      <c r="G315" s="1" t="s">
        <v>1344</v>
      </c>
      <c r="I315" s="1">
        <f t="shared" si="3"/>
        <v>1</v>
      </c>
      <c r="J315" s="1">
        <f t="shared" si="4"/>
        <v>0</v>
      </c>
      <c r="K315" s="1">
        <f t="shared" si="5"/>
        <v>0</v>
      </c>
    </row>
    <row r="316" spans="1:11" ht="21" customHeight="1" x14ac:dyDescent="0.2">
      <c r="A316" s="1" t="s">
        <v>1178</v>
      </c>
      <c r="B316" s="1" t="s">
        <v>1345</v>
      </c>
      <c r="C316" s="1" t="s">
        <v>1346</v>
      </c>
      <c r="D316" s="1" t="s">
        <v>1347</v>
      </c>
      <c r="E316" s="1" t="s">
        <v>8</v>
      </c>
      <c r="F316" s="1" t="s">
        <v>1348</v>
      </c>
      <c r="G316" s="1" t="s">
        <v>999</v>
      </c>
      <c r="I316" s="1">
        <f t="shared" si="3"/>
        <v>1</v>
      </c>
      <c r="J316" s="1">
        <f t="shared" si="4"/>
        <v>0</v>
      </c>
      <c r="K316" s="1">
        <f t="shared" si="5"/>
        <v>0</v>
      </c>
    </row>
    <row r="317" spans="1:11" ht="21" customHeight="1" x14ac:dyDescent="0.2">
      <c r="A317" s="1" t="s">
        <v>1178</v>
      </c>
      <c r="B317" s="1" t="s">
        <v>1349</v>
      </c>
      <c r="C317" s="1" t="s">
        <v>1350</v>
      </c>
      <c r="D317" s="1" t="s">
        <v>1351</v>
      </c>
      <c r="E317" s="1" t="s">
        <v>8</v>
      </c>
      <c r="F317" s="1" t="s">
        <v>1352</v>
      </c>
      <c r="G317" s="1" t="s">
        <v>1353</v>
      </c>
      <c r="I317" s="1">
        <f t="shared" si="3"/>
        <v>1</v>
      </c>
      <c r="J317" s="1">
        <f t="shared" si="4"/>
        <v>0</v>
      </c>
      <c r="K317" s="1">
        <f t="shared" si="5"/>
        <v>0</v>
      </c>
    </row>
    <row r="318" spans="1:11" ht="21" customHeight="1" x14ac:dyDescent="0.2">
      <c r="A318" s="1" t="s">
        <v>1178</v>
      </c>
      <c r="B318" s="1" t="s">
        <v>1354</v>
      </c>
      <c r="C318" s="1" t="s">
        <v>1355</v>
      </c>
      <c r="D318" s="1" t="s">
        <v>1356</v>
      </c>
      <c r="E318" s="1" t="s">
        <v>8</v>
      </c>
      <c r="F318" s="1" t="s">
        <v>1357</v>
      </c>
      <c r="G318" s="1" t="s">
        <v>1358</v>
      </c>
      <c r="I318" s="1">
        <f t="shared" si="3"/>
        <v>1</v>
      </c>
      <c r="J318" s="1">
        <f t="shared" si="4"/>
        <v>0</v>
      </c>
      <c r="K318" s="1">
        <f t="shared" si="5"/>
        <v>0</v>
      </c>
    </row>
    <row r="319" spans="1:11" ht="21" customHeight="1" x14ac:dyDescent="0.2">
      <c r="A319" s="1" t="s">
        <v>1178</v>
      </c>
      <c r="B319" s="1" t="s">
        <v>1359</v>
      </c>
      <c r="C319" s="1" t="s">
        <v>1360</v>
      </c>
      <c r="D319" s="1" t="s">
        <v>1361</v>
      </c>
      <c r="E319" s="1" t="s">
        <v>10</v>
      </c>
      <c r="F319" s="1" t="s">
        <v>1362</v>
      </c>
      <c r="G319" s="1" t="s">
        <v>21</v>
      </c>
      <c r="I319" s="1">
        <f t="shared" si="3"/>
        <v>0</v>
      </c>
      <c r="J319" s="1">
        <f t="shared" si="4"/>
        <v>0</v>
      </c>
      <c r="K319" s="1">
        <f t="shared" si="5"/>
        <v>1</v>
      </c>
    </row>
    <row r="320" spans="1:11" ht="21" customHeight="1" x14ac:dyDescent="0.2">
      <c r="A320" s="1" t="s">
        <v>1178</v>
      </c>
      <c r="B320" s="1" t="s">
        <v>1363</v>
      </c>
      <c r="C320" s="1" t="s">
        <v>1364</v>
      </c>
      <c r="D320" s="1" t="s">
        <v>1365</v>
      </c>
      <c r="E320" s="1" t="s">
        <v>8</v>
      </c>
      <c r="F320" s="1" t="s">
        <v>1366</v>
      </c>
      <c r="G320" s="1" t="s">
        <v>564</v>
      </c>
      <c r="I320" s="1">
        <f t="shared" si="3"/>
        <v>1</v>
      </c>
      <c r="J320" s="1">
        <f t="shared" si="4"/>
        <v>0</v>
      </c>
      <c r="K320" s="1">
        <f t="shared" si="5"/>
        <v>0</v>
      </c>
    </row>
    <row r="321" spans="1:12" ht="21" customHeight="1" x14ac:dyDescent="0.2">
      <c r="A321" s="1" t="s">
        <v>1178</v>
      </c>
      <c r="B321" s="1" t="s">
        <v>1367</v>
      </c>
      <c r="C321" s="1" t="s">
        <v>1368</v>
      </c>
      <c r="D321" s="1" t="s">
        <v>1369</v>
      </c>
      <c r="E321" s="1" t="s">
        <v>10</v>
      </c>
      <c r="F321" s="1" t="s">
        <v>1370</v>
      </c>
      <c r="G321" s="1" t="s">
        <v>1371</v>
      </c>
      <c r="I321" s="1">
        <f t="shared" si="3"/>
        <v>0</v>
      </c>
      <c r="J321" s="1">
        <f t="shared" si="4"/>
        <v>0</v>
      </c>
      <c r="K321" s="1">
        <f t="shared" si="5"/>
        <v>1</v>
      </c>
    </row>
    <row r="322" spans="1:12" ht="21" customHeight="1" x14ac:dyDescent="0.2">
      <c r="A322" s="1" t="s">
        <v>1178</v>
      </c>
      <c r="B322" s="1" t="s">
        <v>1372</v>
      </c>
      <c r="C322" s="1" t="s">
        <v>1373</v>
      </c>
      <c r="D322" s="1" t="s">
        <v>1374</v>
      </c>
      <c r="E322" s="1" t="s">
        <v>8</v>
      </c>
      <c r="F322" s="1" t="s">
        <v>1375</v>
      </c>
      <c r="G322" s="1" t="s">
        <v>36</v>
      </c>
      <c r="I322" s="1">
        <f t="shared" si="3"/>
        <v>1</v>
      </c>
      <c r="J322" s="1">
        <f t="shared" si="4"/>
        <v>0</v>
      </c>
      <c r="K322" s="1">
        <f t="shared" si="5"/>
        <v>0</v>
      </c>
    </row>
    <row r="323" spans="1:12" ht="21" customHeight="1" x14ac:dyDescent="0.2">
      <c r="A323" s="1" t="s">
        <v>1178</v>
      </c>
      <c r="B323" s="1" t="s">
        <v>1376</v>
      </c>
      <c r="C323" s="1" t="s">
        <v>1377</v>
      </c>
      <c r="D323" s="1" t="s">
        <v>1378</v>
      </c>
      <c r="E323" s="1" t="s">
        <v>8</v>
      </c>
      <c r="F323" s="1" t="s">
        <v>1379</v>
      </c>
      <c r="G323" s="1" t="s">
        <v>26</v>
      </c>
      <c r="I323" s="1">
        <f t="shared" si="3"/>
        <v>1</v>
      </c>
      <c r="J323" s="1">
        <f t="shared" si="4"/>
        <v>0</v>
      </c>
      <c r="K323" s="1">
        <f t="shared" si="5"/>
        <v>0</v>
      </c>
    </row>
    <row r="324" spans="1:12" ht="21" customHeight="1" x14ac:dyDescent="0.2">
      <c r="A324" s="1" t="s">
        <v>1178</v>
      </c>
      <c r="B324" s="1" t="s">
        <v>1380</v>
      </c>
      <c r="C324" s="1" t="s">
        <v>1381</v>
      </c>
      <c r="D324" s="1" t="s">
        <v>1382</v>
      </c>
      <c r="E324" s="1" t="s">
        <v>9</v>
      </c>
      <c r="F324" s="1" t="s">
        <v>1383</v>
      </c>
      <c r="G324" s="1" t="s">
        <v>126</v>
      </c>
      <c r="I324" s="1">
        <f t="shared" si="3"/>
        <v>0</v>
      </c>
      <c r="J324" s="1">
        <f t="shared" si="4"/>
        <v>1</v>
      </c>
      <c r="K324" s="1">
        <f t="shared" si="5"/>
        <v>0</v>
      </c>
    </row>
    <row r="325" spans="1:12" ht="21" customHeight="1" x14ac:dyDescent="0.2">
      <c r="A325" s="1" t="s">
        <v>1178</v>
      </c>
      <c r="B325" s="1" t="s">
        <v>1384</v>
      </c>
      <c r="C325" s="1" t="s">
        <v>1385</v>
      </c>
      <c r="D325" s="1" t="s">
        <v>1386</v>
      </c>
      <c r="E325" s="1" t="s">
        <v>8</v>
      </c>
      <c r="F325" s="1" t="s">
        <v>1387</v>
      </c>
      <c r="G325" s="1" t="s">
        <v>26</v>
      </c>
      <c r="I325" s="1">
        <f t="shared" si="3"/>
        <v>1</v>
      </c>
      <c r="J325" s="1">
        <f t="shared" si="4"/>
        <v>0</v>
      </c>
      <c r="K325" s="1">
        <f t="shared" si="5"/>
        <v>0</v>
      </c>
    </row>
    <row r="326" spans="1:12" ht="21" customHeight="1" x14ac:dyDescent="0.2">
      <c r="A326" s="1" t="s">
        <v>1178</v>
      </c>
      <c r="B326" s="1" t="s">
        <v>1388</v>
      </c>
      <c r="C326" s="1" t="s">
        <v>1389</v>
      </c>
      <c r="D326" s="1" t="s">
        <v>1390</v>
      </c>
      <c r="E326" s="1" t="s">
        <v>8</v>
      </c>
      <c r="F326" s="1" t="s">
        <v>1391</v>
      </c>
      <c r="G326" s="1" t="s">
        <v>36</v>
      </c>
      <c r="I326" s="1">
        <f t="shared" si="3"/>
        <v>1</v>
      </c>
      <c r="J326" s="1">
        <f t="shared" si="4"/>
        <v>0</v>
      </c>
      <c r="K326" s="1">
        <f t="shared" si="5"/>
        <v>0</v>
      </c>
    </row>
    <row r="327" spans="1:12" ht="21" customHeight="1" x14ac:dyDescent="0.2">
      <c r="A327" s="1" t="s">
        <v>1178</v>
      </c>
      <c r="B327" s="1" t="s">
        <v>1392</v>
      </c>
      <c r="C327" s="1" t="s">
        <v>1393</v>
      </c>
      <c r="D327" s="1" t="s">
        <v>1394</v>
      </c>
      <c r="E327" s="1" t="s">
        <v>10</v>
      </c>
      <c r="F327" s="1" t="s">
        <v>1395</v>
      </c>
      <c r="G327" s="1" t="s">
        <v>597</v>
      </c>
      <c r="I327" s="1">
        <f t="shared" si="3"/>
        <v>0</v>
      </c>
      <c r="J327" s="1">
        <f t="shared" si="4"/>
        <v>0</v>
      </c>
      <c r="K327" s="1">
        <f t="shared" si="5"/>
        <v>1</v>
      </c>
    </row>
    <row r="328" spans="1:12" ht="21" customHeight="1" x14ac:dyDescent="0.2">
      <c r="A328" s="1" t="s">
        <v>1178</v>
      </c>
      <c r="B328" s="1" t="s">
        <v>1396</v>
      </c>
      <c r="C328" s="1" t="s">
        <v>1397</v>
      </c>
      <c r="D328" s="1" t="s">
        <v>1398</v>
      </c>
      <c r="E328" s="1" t="s">
        <v>8</v>
      </c>
      <c r="F328" s="1" t="s">
        <v>1399</v>
      </c>
      <c r="G328" s="1" t="s">
        <v>26</v>
      </c>
      <c r="I328" s="1">
        <f t="shared" si="3"/>
        <v>1</v>
      </c>
      <c r="J328" s="1">
        <f t="shared" si="4"/>
        <v>0</v>
      </c>
      <c r="K328" s="1">
        <f t="shared" si="5"/>
        <v>0</v>
      </c>
    </row>
    <row r="329" spans="1:12" ht="21" customHeight="1" x14ac:dyDescent="0.2">
      <c r="A329" s="1" t="s">
        <v>1178</v>
      </c>
      <c r="B329" s="1" t="s">
        <v>1400</v>
      </c>
      <c r="C329" s="1" t="s">
        <v>1401</v>
      </c>
      <c r="D329" s="1" t="s">
        <v>1402</v>
      </c>
      <c r="E329" s="1" t="s">
        <v>8</v>
      </c>
      <c r="F329" s="1" t="s">
        <v>1403</v>
      </c>
      <c r="G329" s="1" t="s">
        <v>75</v>
      </c>
      <c r="I329" s="1">
        <f t="shared" si="3"/>
        <v>1</v>
      </c>
      <c r="J329" s="1">
        <f t="shared" si="4"/>
        <v>0</v>
      </c>
      <c r="K329" s="1">
        <f t="shared" si="5"/>
        <v>0</v>
      </c>
    </row>
    <row r="330" spans="1:12" ht="21" customHeight="1" x14ac:dyDescent="0.2">
      <c r="A330" s="1" t="s">
        <v>1178</v>
      </c>
      <c r="B330" s="1" t="s">
        <v>1404</v>
      </c>
      <c r="C330" s="1" t="s">
        <v>1405</v>
      </c>
      <c r="D330" s="1" t="s">
        <v>1406</v>
      </c>
      <c r="E330" s="1" t="s">
        <v>8</v>
      </c>
      <c r="F330" s="1" t="s">
        <v>1407</v>
      </c>
      <c r="G330" s="1" t="s">
        <v>26</v>
      </c>
      <c r="I330" s="1">
        <f t="shared" si="3"/>
        <v>1</v>
      </c>
      <c r="J330" s="1">
        <f t="shared" si="4"/>
        <v>0</v>
      </c>
      <c r="K330" s="1">
        <f t="shared" si="5"/>
        <v>0</v>
      </c>
    </row>
    <row r="331" spans="1:12" ht="21" customHeight="1" x14ac:dyDescent="0.2">
      <c r="A331" s="1" t="s">
        <v>1178</v>
      </c>
      <c r="B331" s="1" t="s">
        <v>1408</v>
      </c>
      <c r="C331" s="1" t="s">
        <v>1409</v>
      </c>
      <c r="D331" s="1" t="s">
        <v>1410</v>
      </c>
      <c r="E331" s="1" t="s">
        <v>10</v>
      </c>
      <c r="F331" s="1" t="s">
        <v>1411</v>
      </c>
      <c r="G331" s="1" t="s">
        <v>245</v>
      </c>
      <c r="I331" s="1">
        <f t="shared" si="3"/>
        <v>0</v>
      </c>
      <c r="J331" s="1">
        <f t="shared" si="4"/>
        <v>0</v>
      </c>
      <c r="K331" s="1">
        <f t="shared" si="5"/>
        <v>1</v>
      </c>
    </row>
    <row r="332" spans="1:12" ht="21" customHeight="1" x14ac:dyDescent="0.2">
      <c r="A332" s="1" t="s">
        <v>1178</v>
      </c>
      <c r="B332" s="1" t="s">
        <v>1412</v>
      </c>
      <c r="C332" s="1" t="s">
        <v>1413</v>
      </c>
      <c r="D332" s="1" t="s">
        <v>1414</v>
      </c>
      <c r="E332" s="1" t="s">
        <v>9</v>
      </c>
      <c r="F332" s="1" t="s">
        <v>1415</v>
      </c>
      <c r="G332" s="1" t="s">
        <v>126</v>
      </c>
      <c r="I332" s="1">
        <f t="shared" si="3"/>
        <v>0</v>
      </c>
      <c r="J332" s="1">
        <f t="shared" si="4"/>
        <v>1</v>
      </c>
      <c r="K332" s="1">
        <f t="shared" si="5"/>
        <v>0</v>
      </c>
    </row>
    <row r="333" spans="1:12" ht="21" customHeight="1" x14ac:dyDescent="0.2">
      <c r="A333" s="1" t="s">
        <v>1178</v>
      </c>
      <c r="B333" s="1" t="s">
        <v>1416</v>
      </c>
      <c r="C333" s="1" t="s">
        <v>1417</v>
      </c>
      <c r="D333" s="1" t="s">
        <v>1418</v>
      </c>
      <c r="E333" s="1" t="s">
        <v>10</v>
      </c>
      <c r="F333" s="1" t="s">
        <v>1419</v>
      </c>
      <c r="G333" s="1" t="s">
        <v>31</v>
      </c>
      <c r="I333" s="1">
        <f t="shared" si="3"/>
        <v>0</v>
      </c>
      <c r="J333" s="1">
        <f t="shared" si="4"/>
        <v>0</v>
      </c>
      <c r="K333" s="1">
        <f t="shared" si="5"/>
        <v>1</v>
      </c>
    </row>
    <row r="334" spans="1:12" ht="21" customHeight="1" x14ac:dyDescent="0.2">
      <c r="I334" s="1">
        <f t="shared" ref="I334:K334" si="6">SUM(I2:I333)</f>
        <v>187</v>
      </c>
      <c r="J334" s="1">
        <f t="shared" si="6"/>
        <v>41</v>
      </c>
      <c r="K334" s="1">
        <f t="shared" si="6"/>
        <v>104</v>
      </c>
      <c r="L334" s="1">
        <f>SUM(I334:K334)</f>
        <v>332</v>
      </c>
    </row>
    <row r="335" spans="1:12" ht="21" customHeight="1" x14ac:dyDescent="0.2"/>
    <row r="336" spans="1:12" ht="21" customHeight="1" x14ac:dyDescent="0.2"/>
    <row r="337" ht="21" customHeight="1" x14ac:dyDescent="0.2"/>
    <row r="338" ht="21" customHeight="1" x14ac:dyDescent="0.2"/>
    <row r="339" ht="21" customHeight="1" x14ac:dyDescent="0.2"/>
    <row r="340" ht="21" customHeight="1" x14ac:dyDescent="0.2"/>
    <row r="341" ht="21" customHeight="1" x14ac:dyDescent="0.2"/>
    <row r="342" ht="21" customHeight="1" x14ac:dyDescent="0.2"/>
    <row r="343" ht="21" customHeight="1" x14ac:dyDescent="0.2"/>
    <row r="344" ht="21" customHeight="1" x14ac:dyDescent="0.2"/>
    <row r="345" ht="21" customHeight="1" x14ac:dyDescent="0.2"/>
    <row r="346" ht="21" customHeight="1" x14ac:dyDescent="0.2"/>
    <row r="347" ht="21" customHeight="1" x14ac:dyDescent="0.2"/>
    <row r="348" ht="21" customHeight="1" x14ac:dyDescent="0.2"/>
    <row r="349" ht="21" customHeight="1" x14ac:dyDescent="0.2"/>
    <row r="350" ht="21" customHeight="1" x14ac:dyDescent="0.2"/>
    <row r="351" ht="21" customHeight="1" x14ac:dyDescent="0.2"/>
    <row r="352" ht="21" customHeight="1" x14ac:dyDescent="0.2"/>
    <row r="353" ht="21" customHeight="1" x14ac:dyDescent="0.2"/>
    <row r="354" ht="21" customHeight="1" x14ac:dyDescent="0.2"/>
    <row r="355" ht="21" customHeight="1" x14ac:dyDescent="0.2"/>
    <row r="356" ht="21" customHeight="1" x14ac:dyDescent="0.2"/>
    <row r="357" ht="21" customHeight="1" x14ac:dyDescent="0.2"/>
    <row r="358" ht="21" customHeight="1" x14ac:dyDescent="0.2"/>
    <row r="359" ht="21" customHeight="1" x14ac:dyDescent="0.2"/>
    <row r="360" ht="21" customHeight="1" x14ac:dyDescent="0.2"/>
    <row r="361" ht="21" customHeight="1" x14ac:dyDescent="0.2"/>
    <row r="362" ht="21" customHeight="1" x14ac:dyDescent="0.2"/>
    <row r="363" ht="21" customHeight="1" x14ac:dyDescent="0.2"/>
    <row r="364" ht="21" customHeight="1" x14ac:dyDescent="0.2"/>
    <row r="365" ht="21" customHeight="1" x14ac:dyDescent="0.2"/>
    <row r="366" ht="21" customHeight="1" x14ac:dyDescent="0.2"/>
    <row r="367" ht="21" customHeight="1" x14ac:dyDescent="0.2"/>
    <row r="368" ht="21" customHeight="1" x14ac:dyDescent="0.2"/>
    <row r="369" ht="21" customHeight="1" x14ac:dyDescent="0.2"/>
    <row r="370" ht="21" customHeight="1" x14ac:dyDescent="0.2"/>
    <row r="371" ht="21" customHeight="1" x14ac:dyDescent="0.2"/>
    <row r="372" ht="21" customHeight="1" x14ac:dyDescent="0.2"/>
    <row r="373" ht="21" customHeight="1" x14ac:dyDescent="0.2"/>
    <row r="374" ht="21" customHeight="1" x14ac:dyDescent="0.2"/>
    <row r="375" ht="21" customHeight="1" x14ac:dyDescent="0.2"/>
    <row r="376" ht="21" customHeight="1" x14ac:dyDescent="0.2"/>
    <row r="377" ht="21" customHeight="1" x14ac:dyDescent="0.2"/>
    <row r="378" ht="21" customHeight="1" x14ac:dyDescent="0.2"/>
    <row r="379" ht="21" customHeight="1" x14ac:dyDescent="0.2"/>
    <row r="380" ht="21" customHeight="1" x14ac:dyDescent="0.2"/>
    <row r="381" ht="21" customHeight="1" x14ac:dyDescent="0.2"/>
    <row r="382" ht="21" customHeight="1" x14ac:dyDescent="0.2"/>
    <row r="383" ht="21" customHeight="1" x14ac:dyDescent="0.2"/>
    <row r="384" ht="21" customHeight="1" x14ac:dyDescent="0.2"/>
    <row r="385" ht="21" customHeight="1" x14ac:dyDescent="0.2"/>
    <row r="386" ht="21" customHeight="1" x14ac:dyDescent="0.2"/>
    <row r="387" ht="21" customHeight="1" x14ac:dyDescent="0.2"/>
    <row r="388" ht="21" customHeight="1" x14ac:dyDescent="0.2"/>
    <row r="389" ht="21" customHeight="1" x14ac:dyDescent="0.2"/>
    <row r="390" ht="21" customHeight="1" x14ac:dyDescent="0.2"/>
    <row r="391" ht="21" customHeight="1" x14ac:dyDescent="0.2"/>
    <row r="392" ht="21" customHeight="1" x14ac:dyDescent="0.2"/>
    <row r="393" ht="21" customHeight="1" x14ac:dyDescent="0.2"/>
    <row r="394" ht="21" customHeight="1" x14ac:dyDescent="0.2"/>
    <row r="395" ht="21" customHeight="1" x14ac:dyDescent="0.2"/>
    <row r="396" ht="21" customHeight="1" x14ac:dyDescent="0.2"/>
    <row r="397" ht="21" customHeight="1" x14ac:dyDescent="0.2"/>
    <row r="398" ht="21" customHeight="1" x14ac:dyDescent="0.2"/>
    <row r="399" ht="21" customHeight="1" x14ac:dyDescent="0.2"/>
    <row r="400" ht="21" customHeight="1" x14ac:dyDescent="0.2"/>
    <row r="401" ht="21" customHeight="1" x14ac:dyDescent="0.2"/>
    <row r="402" ht="21" customHeight="1" x14ac:dyDescent="0.2"/>
    <row r="403" ht="21" customHeight="1" x14ac:dyDescent="0.2"/>
    <row r="404" ht="21" customHeight="1" x14ac:dyDescent="0.2"/>
    <row r="405" ht="21" customHeight="1" x14ac:dyDescent="0.2"/>
    <row r="406" ht="21" customHeight="1" x14ac:dyDescent="0.2"/>
    <row r="407" ht="21" customHeight="1" x14ac:dyDescent="0.2"/>
    <row r="408" ht="21" customHeight="1" x14ac:dyDescent="0.2"/>
    <row r="409" ht="21" customHeight="1" x14ac:dyDescent="0.2"/>
    <row r="410" ht="21" customHeight="1" x14ac:dyDescent="0.2"/>
    <row r="411" ht="21" customHeight="1" x14ac:dyDescent="0.2"/>
    <row r="412" ht="21" customHeight="1" x14ac:dyDescent="0.2"/>
    <row r="413" ht="21" customHeight="1" x14ac:dyDescent="0.2"/>
    <row r="414" ht="21" customHeight="1" x14ac:dyDescent="0.2"/>
    <row r="415" ht="21" customHeight="1" x14ac:dyDescent="0.2"/>
    <row r="416" ht="21" customHeight="1" x14ac:dyDescent="0.2"/>
    <row r="417" ht="21" customHeight="1" x14ac:dyDescent="0.2"/>
    <row r="418" ht="21" customHeight="1" x14ac:dyDescent="0.2"/>
    <row r="419" ht="21" customHeight="1" x14ac:dyDescent="0.2"/>
    <row r="420" ht="21" customHeight="1" x14ac:dyDescent="0.2"/>
    <row r="421" ht="21" customHeight="1" x14ac:dyDescent="0.2"/>
    <row r="422" ht="21" customHeight="1" x14ac:dyDescent="0.2"/>
    <row r="423" ht="21" customHeight="1" x14ac:dyDescent="0.2"/>
    <row r="424" ht="21" customHeight="1" x14ac:dyDescent="0.2"/>
    <row r="425" ht="21" customHeight="1" x14ac:dyDescent="0.2"/>
    <row r="426" ht="21" customHeight="1" x14ac:dyDescent="0.2"/>
    <row r="427" ht="21" customHeight="1" x14ac:dyDescent="0.2"/>
    <row r="428" ht="21" customHeight="1" x14ac:dyDescent="0.2"/>
    <row r="429" ht="21" customHeight="1" x14ac:dyDescent="0.2"/>
    <row r="430" ht="21" customHeight="1" x14ac:dyDescent="0.2"/>
    <row r="431" ht="21" customHeight="1" x14ac:dyDescent="0.2"/>
    <row r="432" ht="21" customHeight="1" x14ac:dyDescent="0.2"/>
    <row r="433" ht="21" customHeight="1" x14ac:dyDescent="0.2"/>
    <row r="434" ht="21" customHeight="1" x14ac:dyDescent="0.2"/>
    <row r="435" ht="21" customHeight="1" x14ac:dyDescent="0.2"/>
    <row r="436" ht="21" customHeight="1" x14ac:dyDescent="0.2"/>
    <row r="437" ht="21" customHeight="1" x14ac:dyDescent="0.2"/>
    <row r="438" ht="21" customHeight="1" x14ac:dyDescent="0.2"/>
    <row r="439" ht="21" customHeight="1" x14ac:dyDescent="0.2"/>
    <row r="440" ht="21" customHeight="1" x14ac:dyDescent="0.2"/>
    <row r="441" ht="21" customHeight="1" x14ac:dyDescent="0.2"/>
    <row r="442" ht="21" customHeight="1" x14ac:dyDescent="0.2"/>
    <row r="443" ht="21" customHeight="1" x14ac:dyDescent="0.2"/>
    <row r="444" ht="21" customHeight="1" x14ac:dyDescent="0.2"/>
    <row r="445" ht="21" customHeight="1" x14ac:dyDescent="0.2"/>
    <row r="446" ht="21" customHeight="1" x14ac:dyDescent="0.2"/>
    <row r="447" ht="21" customHeight="1" x14ac:dyDescent="0.2"/>
    <row r="448" ht="21" customHeight="1" x14ac:dyDescent="0.2"/>
    <row r="449" ht="21" customHeight="1" x14ac:dyDescent="0.2"/>
    <row r="450" ht="21" customHeight="1" x14ac:dyDescent="0.2"/>
    <row r="451" ht="21" customHeight="1" x14ac:dyDescent="0.2"/>
    <row r="452" ht="21" customHeight="1" x14ac:dyDescent="0.2"/>
    <row r="453" ht="21" customHeight="1" x14ac:dyDescent="0.2"/>
    <row r="454" ht="21" customHeight="1" x14ac:dyDescent="0.2"/>
    <row r="455" ht="21" customHeight="1" x14ac:dyDescent="0.2"/>
    <row r="456" ht="21" customHeight="1" x14ac:dyDescent="0.2"/>
    <row r="457" ht="21" customHeight="1" x14ac:dyDescent="0.2"/>
    <row r="458" ht="21" customHeight="1" x14ac:dyDescent="0.2"/>
    <row r="459" ht="21" customHeight="1" x14ac:dyDescent="0.2"/>
    <row r="460" ht="21" customHeight="1" x14ac:dyDescent="0.2"/>
    <row r="461" ht="21" customHeight="1" x14ac:dyDescent="0.2"/>
    <row r="462" ht="21" customHeight="1" x14ac:dyDescent="0.2"/>
    <row r="463" ht="21" customHeight="1" x14ac:dyDescent="0.2"/>
    <row r="464" ht="21" customHeight="1" x14ac:dyDescent="0.2"/>
    <row r="465" ht="21" customHeight="1" x14ac:dyDescent="0.2"/>
    <row r="466" ht="21" customHeight="1" x14ac:dyDescent="0.2"/>
    <row r="467" ht="21" customHeight="1" x14ac:dyDescent="0.2"/>
    <row r="468" ht="21" customHeight="1" x14ac:dyDescent="0.2"/>
    <row r="469" ht="21" customHeight="1" x14ac:dyDescent="0.2"/>
    <row r="470" ht="21" customHeight="1" x14ac:dyDescent="0.2"/>
    <row r="471" ht="21" customHeight="1" x14ac:dyDescent="0.2"/>
    <row r="472" ht="21" customHeight="1" x14ac:dyDescent="0.2"/>
    <row r="473" ht="21" customHeight="1" x14ac:dyDescent="0.2"/>
    <row r="474" ht="21" customHeight="1" x14ac:dyDescent="0.2"/>
    <row r="475" ht="21" customHeight="1" x14ac:dyDescent="0.2"/>
    <row r="476" ht="21" customHeight="1" x14ac:dyDescent="0.2"/>
    <row r="477" ht="21" customHeight="1" x14ac:dyDescent="0.2"/>
    <row r="478" ht="21" customHeight="1" x14ac:dyDescent="0.2"/>
    <row r="479" ht="21" customHeight="1" x14ac:dyDescent="0.2"/>
    <row r="480" ht="21" customHeight="1" x14ac:dyDescent="0.2"/>
    <row r="481" ht="21" customHeight="1" x14ac:dyDescent="0.2"/>
    <row r="482" ht="21" customHeight="1" x14ac:dyDescent="0.2"/>
    <row r="483" ht="21" customHeight="1" x14ac:dyDescent="0.2"/>
    <row r="484" ht="21" customHeight="1" x14ac:dyDescent="0.2"/>
    <row r="485" ht="21" customHeight="1" x14ac:dyDescent="0.2"/>
    <row r="486" ht="21" customHeight="1" x14ac:dyDescent="0.2"/>
    <row r="487" ht="21" customHeight="1" x14ac:dyDescent="0.2"/>
    <row r="488" ht="21" customHeight="1" x14ac:dyDescent="0.2"/>
    <row r="489" ht="21" customHeight="1" x14ac:dyDescent="0.2"/>
    <row r="490" ht="21" customHeight="1" x14ac:dyDescent="0.2"/>
    <row r="491" ht="21" customHeight="1" x14ac:dyDescent="0.2"/>
    <row r="492" ht="21" customHeight="1" x14ac:dyDescent="0.2"/>
    <row r="493" ht="21" customHeight="1" x14ac:dyDescent="0.2"/>
    <row r="494" ht="21" customHeight="1" x14ac:dyDescent="0.2"/>
    <row r="495" ht="21" customHeight="1" x14ac:dyDescent="0.2"/>
    <row r="496" ht="21" customHeight="1" x14ac:dyDescent="0.2"/>
    <row r="497" ht="21" customHeight="1" x14ac:dyDescent="0.2"/>
    <row r="498" ht="21" customHeight="1" x14ac:dyDescent="0.2"/>
    <row r="499" ht="21" customHeight="1" x14ac:dyDescent="0.2"/>
    <row r="500" ht="21" customHeight="1" x14ac:dyDescent="0.2"/>
    <row r="501" ht="21" customHeight="1" x14ac:dyDescent="0.2"/>
    <row r="502" ht="21" customHeight="1" x14ac:dyDescent="0.2"/>
    <row r="503" ht="21" customHeight="1" x14ac:dyDescent="0.2"/>
    <row r="504" ht="21" customHeight="1" x14ac:dyDescent="0.2"/>
    <row r="505" ht="21" customHeight="1" x14ac:dyDescent="0.2"/>
    <row r="506" ht="21" customHeight="1" x14ac:dyDescent="0.2"/>
    <row r="507" ht="21" customHeight="1" x14ac:dyDescent="0.2"/>
    <row r="508" ht="21" customHeight="1" x14ac:dyDescent="0.2"/>
    <row r="509" ht="21" customHeight="1" x14ac:dyDescent="0.2"/>
    <row r="510" ht="21" customHeight="1" x14ac:dyDescent="0.2"/>
    <row r="511" ht="21" customHeight="1" x14ac:dyDescent="0.2"/>
    <row r="512" ht="21" customHeight="1" x14ac:dyDescent="0.2"/>
    <row r="513" ht="21" customHeight="1" x14ac:dyDescent="0.2"/>
    <row r="514" ht="21" customHeight="1" x14ac:dyDescent="0.2"/>
    <row r="515" ht="21" customHeight="1" x14ac:dyDescent="0.2"/>
    <row r="516" ht="21" customHeight="1" x14ac:dyDescent="0.2"/>
    <row r="517" ht="21" customHeight="1" x14ac:dyDescent="0.2"/>
    <row r="518" ht="21" customHeight="1" x14ac:dyDescent="0.2"/>
    <row r="519" ht="21" customHeight="1" x14ac:dyDescent="0.2"/>
    <row r="520" ht="21" customHeight="1" x14ac:dyDescent="0.2"/>
    <row r="521" ht="21" customHeight="1" x14ac:dyDescent="0.2"/>
    <row r="522" ht="21" customHeight="1" x14ac:dyDescent="0.2"/>
    <row r="523" ht="21" customHeight="1" x14ac:dyDescent="0.2"/>
    <row r="524" ht="21" customHeight="1" x14ac:dyDescent="0.2"/>
    <row r="525" ht="21" customHeight="1" x14ac:dyDescent="0.2"/>
    <row r="526" ht="21" customHeight="1" x14ac:dyDescent="0.2"/>
    <row r="527" ht="21" customHeight="1" x14ac:dyDescent="0.2"/>
    <row r="528" ht="21" customHeight="1" x14ac:dyDescent="0.2"/>
    <row r="529" ht="21" customHeight="1" x14ac:dyDescent="0.2"/>
    <row r="530" ht="21" customHeight="1" x14ac:dyDescent="0.2"/>
    <row r="531" ht="21" customHeight="1" x14ac:dyDescent="0.2"/>
    <row r="532" ht="21" customHeight="1" x14ac:dyDescent="0.2"/>
    <row r="533" ht="21" customHeight="1" x14ac:dyDescent="0.2"/>
    <row r="534" ht="21" customHeight="1" x14ac:dyDescent="0.2"/>
    <row r="535" ht="21" customHeight="1" x14ac:dyDescent="0.2"/>
    <row r="536" ht="21" customHeight="1" x14ac:dyDescent="0.2"/>
    <row r="537" ht="21" customHeight="1" x14ac:dyDescent="0.2"/>
    <row r="538" ht="21" customHeight="1" x14ac:dyDescent="0.2"/>
    <row r="539" ht="21" customHeight="1" x14ac:dyDescent="0.2"/>
    <row r="540" ht="21" customHeight="1" x14ac:dyDescent="0.2"/>
    <row r="541" ht="21" customHeight="1" x14ac:dyDescent="0.2"/>
    <row r="542" ht="21" customHeight="1" x14ac:dyDescent="0.2"/>
    <row r="543" ht="21" customHeight="1" x14ac:dyDescent="0.2"/>
    <row r="544" ht="21" customHeight="1" x14ac:dyDescent="0.2"/>
    <row r="545" ht="21" customHeight="1" x14ac:dyDescent="0.2"/>
    <row r="546" ht="21" customHeight="1" x14ac:dyDescent="0.2"/>
    <row r="547" ht="21" customHeight="1" x14ac:dyDescent="0.2"/>
    <row r="548" ht="21" customHeight="1" x14ac:dyDescent="0.2"/>
    <row r="549" ht="21" customHeight="1" x14ac:dyDescent="0.2"/>
    <row r="550" ht="21" customHeight="1" x14ac:dyDescent="0.2"/>
    <row r="551" ht="21" customHeight="1" x14ac:dyDescent="0.2"/>
    <row r="552" ht="21" customHeight="1" x14ac:dyDescent="0.2"/>
    <row r="553" ht="21" customHeight="1" x14ac:dyDescent="0.2"/>
    <row r="554" ht="21" customHeight="1" x14ac:dyDescent="0.2"/>
    <row r="555" ht="21" customHeight="1" x14ac:dyDescent="0.2"/>
    <row r="556" ht="21" customHeight="1" x14ac:dyDescent="0.2"/>
    <row r="557" ht="21" customHeight="1" x14ac:dyDescent="0.2"/>
    <row r="558" ht="21" customHeight="1" x14ac:dyDescent="0.2"/>
    <row r="559" ht="21" customHeight="1" x14ac:dyDescent="0.2"/>
    <row r="560" ht="21" customHeight="1" x14ac:dyDescent="0.2"/>
    <row r="561" ht="21" customHeight="1" x14ac:dyDescent="0.2"/>
    <row r="562" ht="21" customHeight="1" x14ac:dyDescent="0.2"/>
    <row r="563" ht="21" customHeight="1" x14ac:dyDescent="0.2"/>
    <row r="564" ht="21" customHeight="1" x14ac:dyDescent="0.2"/>
    <row r="565" ht="21" customHeight="1" x14ac:dyDescent="0.2"/>
    <row r="566" ht="21" customHeight="1" x14ac:dyDescent="0.2"/>
    <row r="567" ht="21" customHeight="1" x14ac:dyDescent="0.2"/>
    <row r="568" ht="21" customHeight="1" x14ac:dyDescent="0.2"/>
    <row r="569" ht="21" customHeight="1" x14ac:dyDescent="0.2"/>
    <row r="570" ht="21" customHeight="1" x14ac:dyDescent="0.2"/>
    <row r="571" ht="21" customHeight="1" x14ac:dyDescent="0.2"/>
    <row r="572" ht="21" customHeight="1" x14ac:dyDescent="0.2"/>
    <row r="573" ht="21" customHeight="1" x14ac:dyDescent="0.2"/>
    <row r="574" ht="21" customHeight="1" x14ac:dyDescent="0.2"/>
    <row r="575" ht="21" customHeight="1" x14ac:dyDescent="0.2"/>
    <row r="576" ht="21" customHeight="1" x14ac:dyDescent="0.2"/>
    <row r="577" ht="21" customHeight="1" x14ac:dyDescent="0.2"/>
    <row r="578" ht="21" customHeight="1" x14ac:dyDescent="0.2"/>
    <row r="579" ht="21" customHeight="1" x14ac:dyDescent="0.2"/>
    <row r="580" ht="21" customHeight="1" x14ac:dyDescent="0.2"/>
    <row r="581" ht="21" customHeight="1" x14ac:dyDescent="0.2"/>
    <row r="582" ht="21" customHeight="1" x14ac:dyDescent="0.2"/>
    <row r="583" ht="21" customHeight="1" x14ac:dyDescent="0.2"/>
    <row r="584" ht="21" customHeight="1" x14ac:dyDescent="0.2"/>
    <row r="585" ht="21" customHeight="1" x14ac:dyDescent="0.2"/>
    <row r="586" ht="21" customHeight="1" x14ac:dyDescent="0.2"/>
    <row r="587" ht="21" customHeight="1" x14ac:dyDescent="0.2"/>
    <row r="588" ht="21" customHeight="1" x14ac:dyDescent="0.2"/>
    <row r="589" ht="21" customHeight="1" x14ac:dyDescent="0.2"/>
    <row r="590" ht="21" customHeight="1" x14ac:dyDescent="0.2"/>
    <row r="591" ht="21" customHeight="1" x14ac:dyDescent="0.2"/>
    <row r="592" ht="21" customHeight="1" x14ac:dyDescent="0.2"/>
    <row r="593" ht="21" customHeight="1" x14ac:dyDescent="0.2"/>
    <row r="594" ht="21" customHeight="1" x14ac:dyDescent="0.2"/>
    <row r="595" ht="21" customHeight="1" x14ac:dyDescent="0.2"/>
    <row r="596" ht="21" customHeight="1" x14ac:dyDescent="0.2"/>
    <row r="597" ht="21" customHeight="1" x14ac:dyDescent="0.2"/>
    <row r="598" ht="21" customHeight="1" x14ac:dyDescent="0.2"/>
    <row r="599" ht="21" customHeight="1" x14ac:dyDescent="0.2"/>
    <row r="600" ht="21" customHeight="1" x14ac:dyDescent="0.2"/>
    <row r="601" ht="21" customHeight="1" x14ac:dyDescent="0.2"/>
    <row r="602" ht="21" customHeight="1" x14ac:dyDescent="0.2"/>
    <row r="603" ht="21" customHeight="1" x14ac:dyDescent="0.2"/>
    <row r="604" ht="21" customHeight="1" x14ac:dyDescent="0.2"/>
    <row r="605" ht="21" customHeight="1" x14ac:dyDescent="0.2"/>
    <row r="606" ht="21" customHeight="1" x14ac:dyDescent="0.2"/>
    <row r="607" ht="21" customHeight="1" x14ac:dyDescent="0.2"/>
    <row r="608" ht="21" customHeight="1" x14ac:dyDescent="0.2"/>
    <row r="609" ht="21" customHeight="1" x14ac:dyDescent="0.2"/>
    <row r="610" ht="21" customHeight="1" x14ac:dyDescent="0.2"/>
    <row r="611" ht="21" customHeight="1" x14ac:dyDescent="0.2"/>
    <row r="612" ht="21" customHeight="1" x14ac:dyDescent="0.2"/>
    <row r="613" ht="21" customHeight="1" x14ac:dyDescent="0.2"/>
    <row r="614" ht="21" customHeight="1" x14ac:dyDescent="0.2"/>
    <row r="615" ht="21" customHeight="1" x14ac:dyDescent="0.2"/>
    <row r="616" ht="21" customHeight="1" x14ac:dyDescent="0.2"/>
    <row r="617" ht="21" customHeight="1" x14ac:dyDescent="0.2"/>
    <row r="618" ht="21" customHeight="1" x14ac:dyDescent="0.2"/>
    <row r="619" ht="21" customHeight="1" x14ac:dyDescent="0.2"/>
    <row r="620" ht="21" customHeight="1" x14ac:dyDescent="0.2"/>
    <row r="621" ht="21" customHeight="1" x14ac:dyDescent="0.2"/>
    <row r="622" ht="21" customHeight="1" x14ac:dyDescent="0.2"/>
    <row r="623" ht="21" customHeight="1" x14ac:dyDescent="0.2"/>
    <row r="624" ht="21" customHeight="1" x14ac:dyDescent="0.2"/>
    <row r="625" ht="21" customHeight="1" x14ac:dyDescent="0.2"/>
    <row r="626" ht="21" customHeight="1" x14ac:dyDescent="0.2"/>
    <row r="627" ht="21" customHeight="1" x14ac:dyDescent="0.2"/>
    <row r="628" ht="21" customHeight="1" x14ac:dyDescent="0.2"/>
    <row r="629" ht="21" customHeight="1" x14ac:dyDescent="0.2"/>
    <row r="630" ht="21" customHeight="1" x14ac:dyDescent="0.2"/>
    <row r="631" ht="21" customHeight="1" x14ac:dyDescent="0.2"/>
    <row r="632" ht="21" customHeight="1" x14ac:dyDescent="0.2"/>
    <row r="633" ht="21" customHeight="1" x14ac:dyDescent="0.2"/>
    <row r="634" ht="21" customHeight="1" x14ac:dyDescent="0.2"/>
    <row r="635" ht="21" customHeight="1" x14ac:dyDescent="0.2"/>
    <row r="636" ht="21" customHeight="1" x14ac:dyDescent="0.2"/>
    <row r="637" ht="21" customHeight="1" x14ac:dyDescent="0.2"/>
    <row r="638" ht="21" customHeight="1" x14ac:dyDescent="0.2"/>
    <row r="639" ht="21" customHeight="1" x14ac:dyDescent="0.2"/>
    <row r="640" ht="21" customHeight="1" x14ac:dyDescent="0.2"/>
    <row r="641" ht="21" customHeight="1" x14ac:dyDescent="0.2"/>
    <row r="642" ht="21" customHeight="1" x14ac:dyDescent="0.2"/>
    <row r="643" ht="21" customHeight="1" x14ac:dyDescent="0.2"/>
    <row r="644" ht="21" customHeight="1" x14ac:dyDescent="0.2"/>
    <row r="645" ht="21" customHeight="1" x14ac:dyDescent="0.2"/>
    <row r="646" ht="21" customHeight="1" x14ac:dyDescent="0.2"/>
    <row r="647" ht="21" customHeight="1" x14ac:dyDescent="0.2"/>
    <row r="648" ht="21" customHeight="1" x14ac:dyDescent="0.2"/>
    <row r="649" ht="21" customHeight="1" x14ac:dyDescent="0.2"/>
    <row r="650" ht="21" customHeight="1" x14ac:dyDescent="0.2"/>
    <row r="651" ht="21" customHeight="1" x14ac:dyDescent="0.2"/>
    <row r="652" ht="21" customHeight="1" x14ac:dyDescent="0.2"/>
    <row r="653" ht="21" customHeight="1" x14ac:dyDescent="0.2"/>
    <row r="654" ht="21" customHeight="1" x14ac:dyDescent="0.2"/>
    <row r="655" ht="21" customHeight="1" x14ac:dyDescent="0.2"/>
    <row r="656" ht="21" customHeight="1" x14ac:dyDescent="0.2"/>
    <row r="657" ht="21" customHeight="1" x14ac:dyDescent="0.2"/>
    <row r="658" ht="21" customHeight="1" x14ac:dyDescent="0.2"/>
    <row r="659" ht="21" customHeight="1" x14ac:dyDescent="0.2"/>
    <row r="660" ht="21" customHeight="1" x14ac:dyDescent="0.2"/>
    <row r="661" ht="21" customHeight="1" x14ac:dyDescent="0.2"/>
    <row r="662" ht="21" customHeight="1" x14ac:dyDescent="0.2"/>
    <row r="663" ht="21" customHeight="1" x14ac:dyDescent="0.2"/>
    <row r="664" ht="21" customHeight="1" x14ac:dyDescent="0.2"/>
    <row r="665" ht="21" customHeight="1" x14ac:dyDescent="0.2"/>
    <row r="666" ht="21" customHeight="1" x14ac:dyDescent="0.2"/>
    <row r="667" ht="21" customHeight="1" x14ac:dyDescent="0.2"/>
    <row r="668" ht="21" customHeight="1" x14ac:dyDescent="0.2"/>
    <row r="669" ht="21" customHeight="1" x14ac:dyDescent="0.2"/>
    <row r="670" ht="21" customHeight="1" x14ac:dyDescent="0.2"/>
    <row r="671" ht="21" customHeight="1" x14ac:dyDescent="0.2"/>
    <row r="672" ht="21" customHeight="1" x14ac:dyDescent="0.2"/>
    <row r="673" ht="21" customHeight="1" x14ac:dyDescent="0.2"/>
    <row r="674" ht="21" customHeight="1" x14ac:dyDescent="0.2"/>
    <row r="675" ht="21" customHeight="1" x14ac:dyDescent="0.2"/>
    <row r="676" ht="21" customHeight="1" x14ac:dyDescent="0.2"/>
    <row r="677" ht="21" customHeight="1" x14ac:dyDescent="0.2"/>
    <row r="678" ht="21" customHeight="1" x14ac:dyDescent="0.2"/>
    <row r="679" ht="21" customHeight="1" x14ac:dyDescent="0.2"/>
    <row r="680" ht="21" customHeight="1" x14ac:dyDescent="0.2"/>
    <row r="681" ht="21" customHeight="1" x14ac:dyDescent="0.2"/>
    <row r="682" ht="21" customHeight="1" x14ac:dyDescent="0.2"/>
    <row r="683" ht="21" customHeight="1" x14ac:dyDescent="0.2"/>
    <row r="684" ht="21" customHeight="1" x14ac:dyDescent="0.2"/>
    <row r="685" ht="21" customHeight="1" x14ac:dyDescent="0.2"/>
    <row r="686" ht="21" customHeight="1" x14ac:dyDescent="0.2"/>
    <row r="687" ht="21" customHeight="1" x14ac:dyDescent="0.2"/>
    <row r="688" ht="21" customHeight="1" x14ac:dyDescent="0.2"/>
    <row r="689" ht="21" customHeight="1" x14ac:dyDescent="0.2"/>
    <row r="690" ht="21" customHeight="1" x14ac:dyDescent="0.2"/>
    <row r="691" ht="21" customHeight="1" x14ac:dyDescent="0.2"/>
    <row r="692" ht="21" customHeight="1" x14ac:dyDescent="0.2"/>
    <row r="693" ht="21" customHeight="1" x14ac:dyDescent="0.2"/>
    <row r="694" ht="21" customHeight="1" x14ac:dyDescent="0.2"/>
    <row r="695" ht="21" customHeight="1" x14ac:dyDescent="0.2"/>
    <row r="696" ht="21" customHeight="1" x14ac:dyDescent="0.2"/>
    <row r="697" ht="21" customHeight="1" x14ac:dyDescent="0.2"/>
    <row r="698" ht="21" customHeight="1" x14ac:dyDescent="0.2"/>
    <row r="699" ht="21" customHeight="1" x14ac:dyDescent="0.2"/>
    <row r="700" ht="21" customHeight="1" x14ac:dyDescent="0.2"/>
    <row r="701" ht="21" customHeight="1" x14ac:dyDescent="0.2"/>
    <row r="702" ht="21" customHeight="1" x14ac:dyDescent="0.2"/>
    <row r="703" ht="21" customHeight="1" x14ac:dyDescent="0.2"/>
    <row r="704" ht="21" customHeight="1" x14ac:dyDescent="0.2"/>
    <row r="705" ht="21" customHeight="1" x14ac:dyDescent="0.2"/>
    <row r="706" ht="21" customHeight="1" x14ac:dyDescent="0.2"/>
    <row r="707" ht="21" customHeight="1" x14ac:dyDescent="0.2"/>
    <row r="708" ht="21" customHeight="1" x14ac:dyDescent="0.2"/>
    <row r="709" ht="21" customHeight="1" x14ac:dyDescent="0.2"/>
    <row r="710" ht="21" customHeight="1" x14ac:dyDescent="0.2"/>
    <row r="711" ht="21" customHeight="1" x14ac:dyDescent="0.2"/>
    <row r="712" ht="21" customHeight="1" x14ac:dyDescent="0.2"/>
    <row r="713" ht="21" customHeight="1" x14ac:dyDescent="0.2"/>
    <row r="714" ht="21" customHeight="1" x14ac:dyDescent="0.2"/>
    <row r="715" ht="21" customHeight="1" x14ac:dyDescent="0.2"/>
    <row r="716" ht="21" customHeight="1" x14ac:dyDescent="0.2"/>
    <row r="717" ht="21" customHeight="1" x14ac:dyDescent="0.2"/>
    <row r="718" ht="21" customHeight="1" x14ac:dyDescent="0.2"/>
    <row r="719" ht="21" customHeight="1" x14ac:dyDescent="0.2"/>
    <row r="720" ht="21" customHeight="1" x14ac:dyDescent="0.2"/>
    <row r="721" ht="21" customHeight="1" x14ac:dyDescent="0.2"/>
    <row r="722" ht="21" customHeight="1" x14ac:dyDescent="0.2"/>
    <row r="723" ht="21" customHeight="1" x14ac:dyDescent="0.2"/>
    <row r="724" ht="21" customHeight="1" x14ac:dyDescent="0.2"/>
    <row r="725" ht="21" customHeight="1" x14ac:dyDescent="0.2"/>
    <row r="726" ht="21" customHeight="1" x14ac:dyDescent="0.2"/>
    <row r="727" ht="21" customHeight="1" x14ac:dyDescent="0.2"/>
    <row r="728" ht="21" customHeight="1" x14ac:dyDescent="0.2"/>
    <row r="729" ht="21" customHeight="1" x14ac:dyDescent="0.2"/>
    <row r="730" ht="21" customHeight="1" x14ac:dyDescent="0.2"/>
    <row r="731" ht="21" customHeight="1" x14ac:dyDescent="0.2"/>
    <row r="732" ht="21" customHeight="1" x14ac:dyDescent="0.2"/>
    <row r="733" ht="21" customHeight="1" x14ac:dyDescent="0.2"/>
    <row r="734" ht="21" customHeight="1" x14ac:dyDescent="0.2"/>
    <row r="735" ht="21" customHeight="1" x14ac:dyDescent="0.2"/>
    <row r="736" ht="21" customHeight="1" x14ac:dyDescent="0.2"/>
    <row r="737" ht="21" customHeight="1" x14ac:dyDescent="0.2"/>
    <row r="738" ht="21" customHeight="1" x14ac:dyDescent="0.2"/>
    <row r="739" ht="21" customHeight="1" x14ac:dyDescent="0.2"/>
    <row r="740" ht="21" customHeight="1" x14ac:dyDescent="0.2"/>
    <row r="741" ht="21" customHeight="1" x14ac:dyDescent="0.2"/>
    <row r="742" ht="21" customHeight="1" x14ac:dyDescent="0.2"/>
    <row r="743" ht="21" customHeight="1" x14ac:dyDescent="0.2"/>
    <row r="744" ht="21" customHeight="1" x14ac:dyDescent="0.2"/>
    <row r="745" ht="21" customHeight="1" x14ac:dyDescent="0.2"/>
    <row r="746" ht="21" customHeight="1" x14ac:dyDescent="0.2"/>
    <row r="747" ht="21" customHeight="1" x14ac:dyDescent="0.2"/>
    <row r="748" ht="21" customHeight="1" x14ac:dyDescent="0.2"/>
    <row r="749" ht="21" customHeight="1" x14ac:dyDescent="0.2"/>
    <row r="750" ht="21" customHeight="1" x14ac:dyDescent="0.2"/>
    <row r="751" ht="21" customHeight="1" x14ac:dyDescent="0.2"/>
    <row r="752" ht="21" customHeight="1" x14ac:dyDescent="0.2"/>
    <row r="753" ht="21" customHeight="1" x14ac:dyDescent="0.2"/>
    <row r="754" ht="21" customHeight="1" x14ac:dyDescent="0.2"/>
    <row r="755" ht="21" customHeight="1" x14ac:dyDescent="0.2"/>
    <row r="756" ht="21" customHeight="1" x14ac:dyDescent="0.2"/>
    <row r="757" ht="21" customHeight="1" x14ac:dyDescent="0.2"/>
    <row r="758" ht="21" customHeight="1" x14ac:dyDescent="0.2"/>
    <row r="759" ht="21" customHeight="1" x14ac:dyDescent="0.2"/>
    <row r="760" ht="21" customHeight="1" x14ac:dyDescent="0.2"/>
    <row r="761" ht="21" customHeight="1" x14ac:dyDescent="0.2"/>
    <row r="762" ht="21" customHeight="1" x14ac:dyDescent="0.2"/>
    <row r="763" ht="21" customHeight="1" x14ac:dyDescent="0.2"/>
    <row r="764" ht="21" customHeight="1" x14ac:dyDescent="0.2"/>
    <row r="765" ht="21" customHeight="1" x14ac:dyDescent="0.2"/>
    <row r="766" ht="21" customHeight="1" x14ac:dyDescent="0.2"/>
    <row r="767" ht="21" customHeight="1" x14ac:dyDescent="0.2"/>
    <row r="768" ht="21" customHeight="1" x14ac:dyDescent="0.2"/>
    <row r="769" ht="21" customHeight="1" x14ac:dyDescent="0.2"/>
    <row r="770" ht="21" customHeight="1" x14ac:dyDescent="0.2"/>
    <row r="771" ht="21" customHeight="1" x14ac:dyDescent="0.2"/>
    <row r="772" ht="21" customHeight="1" x14ac:dyDescent="0.2"/>
    <row r="773" ht="21" customHeight="1" x14ac:dyDescent="0.2"/>
    <row r="774" ht="21" customHeight="1" x14ac:dyDescent="0.2"/>
    <row r="775" ht="21" customHeight="1" x14ac:dyDescent="0.2"/>
    <row r="776" ht="21" customHeight="1" x14ac:dyDescent="0.2"/>
    <row r="777" ht="21" customHeight="1" x14ac:dyDescent="0.2"/>
    <row r="778" ht="21" customHeight="1" x14ac:dyDescent="0.2"/>
    <row r="779" ht="21" customHeight="1" x14ac:dyDescent="0.2"/>
    <row r="780" ht="21" customHeight="1" x14ac:dyDescent="0.2"/>
    <row r="781" ht="21" customHeight="1" x14ac:dyDescent="0.2"/>
    <row r="782" ht="21" customHeight="1" x14ac:dyDescent="0.2"/>
    <row r="783" ht="21" customHeight="1" x14ac:dyDescent="0.2"/>
    <row r="784" ht="21" customHeight="1" x14ac:dyDescent="0.2"/>
    <row r="785" ht="21" customHeight="1" x14ac:dyDescent="0.2"/>
    <row r="786" ht="21" customHeight="1" x14ac:dyDescent="0.2"/>
    <row r="787" ht="21" customHeight="1" x14ac:dyDescent="0.2"/>
    <row r="788" ht="21" customHeight="1" x14ac:dyDescent="0.2"/>
    <row r="789" ht="21" customHeight="1" x14ac:dyDescent="0.2"/>
    <row r="790" ht="21" customHeight="1" x14ac:dyDescent="0.2"/>
    <row r="791" ht="21" customHeight="1" x14ac:dyDescent="0.2"/>
    <row r="792" ht="21" customHeight="1" x14ac:dyDescent="0.2"/>
    <row r="793" ht="21" customHeight="1" x14ac:dyDescent="0.2"/>
    <row r="794" ht="21" customHeight="1" x14ac:dyDescent="0.2"/>
    <row r="795" ht="21" customHeight="1" x14ac:dyDescent="0.2"/>
    <row r="796" ht="21" customHeight="1" x14ac:dyDescent="0.2"/>
    <row r="797" ht="21" customHeight="1" x14ac:dyDescent="0.2"/>
    <row r="798" ht="21" customHeight="1" x14ac:dyDescent="0.2"/>
    <row r="799" ht="21" customHeight="1" x14ac:dyDescent="0.2"/>
    <row r="800" ht="21" customHeight="1" x14ac:dyDescent="0.2"/>
    <row r="801" ht="21" customHeight="1" x14ac:dyDescent="0.2"/>
    <row r="802" ht="21" customHeight="1" x14ac:dyDescent="0.2"/>
    <row r="803" ht="21" customHeight="1" x14ac:dyDescent="0.2"/>
    <row r="804" ht="21" customHeight="1" x14ac:dyDescent="0.2"/>
    <row r="805" ht="21" customHeight="1" x14ac:dyDescent="0.2"/>
    <row r="806" ht="21" customHeight="1" x14ac:dyDescent="0.2"/>
    <row r="807" ht="21" customHeight="1" x14ac:dyDescent="0.2"/>
    <row r="808" ht="21" customHeight="1" x14ac:dyDescent="0.2"/>
    <row r="809" ht="21" customHeight="1" x14ac:dyDescent="0.2"/>
    <row r="810" ht="21" customHeight="1" x14ac:dyDescent="0.2"/>
    <row r="811" ht="21" customHeight="1" x14ac:dyDescent="0.2"/>
    <row r="812" ht="21" customHeight="1" x14ac:dyDescent="0.2"/>
    <row r="813" ht="21" customHeight="1" x14ac:dyDescent="0.2"/>
    <row r="814" ht="21" customHeight="1" x14ac:dyDescent="0.2"/>
    <row r="815" ht="21" customHeight="1" x14ac:dyDescent="0.2"/>
    <row r="816" ht="21" customHeight="1" x14ac:dyDescent="0.2"/>
    <row r="817" ht="21" customHeight="1" x14ac:dyDescent="0.2"/>
    <row r="818" ht="21" customHeight="1" x14ac:dyDescent="0.2"/>
    <row r="819" ht="21" customHeight="1" x14ac:dyDescent="0.2"/>
    <row r="820" ht="21" customHeight="1" x14ac:dyDescent="0.2"/>
    <row r="821" ht="21" customHeight="1" x14ac:dyDescent="0.2"/>
    <row r="822" ht="21" customHeight="1" x14ac:dyDescent="0.2"/>
    <row r="823" ht="21" customHeight="1" x14ac:dyDescent="0.2"/>
    <row r="824" ht="21" customHeight="1" x14ac:dyDescent="0.2"/>
    <row r="825" ht="21" customHeight="1" x14ac:dyDescent="0.2"/>
    <row r="826" ht="21" customHeight="1" x14ac:dyDescent="0.2"/>
    <row r="827" ht="21" customHeight="1" x14ac:dyDescent="0.2"/>
    <row r="828" ht="21" customHeight="1" x14ac:dyDescent="0.2"/>
    <row r="829" ht="21" customHeight="1" x14ac:dyDescent="0.2"/>
    <row r="830" ht="21" customHeight="1" x14ac:dyDescent="0.2"/>
    <row r="831" ht="21" customHeight="1" x14ac:dyDescent="0.2"/>
    <row r="832" ht="21" customHeight="1" x14ac:dyDescent="0.2"/>
    <row r="833" ht="21" customHeight="1" x14ac:dyDescent="0.2"/>
    <row r="834" ht="21" customHeight="1" x14ac:dyDescent="0.2"/>
    <row r="835" ht="21" customHeight="1" x14ac:dyDescent="0.2"/>
    <row r="836" ht="21" customHeight="1" x14ac:dyDescent="0.2"/>
    <row r="837" ht="21" customHeight="1" x14ac:dyDescent="0.2"/>
    <row r="838" ht="21" customHeight="1" x14ac:dyDescent="0.2"/>
    <row r="839" ht="21" customHeight="1" x14ac:dyDescent="0.2"/>
    <row r="840" ht="21" customHeight="1" x14ac:dyDescent="0.2"/>
    <row r="841" ht="21" customHeight="1" x14ac:dyDescent="0.2"/>
    <row r="842" ht="21" customHeight="1" x14ac:dyDescent="0.2"/>
    <row r="843" ht="21" customHeight="1" x14ac:dyDescent="0.2"/>
    <row r="844" ht="21" customHeight="1" x14ac:dyDescent="0.2"/>
    <row r="845" ht="21" customHeight="1" x14ac:dyDescent="0.2"/>
    <row r="846" ht="21" customHeight="1" x14ac:dyDescent="0.2"/>
    <row r="847" ht="21" customHeight="1" x14ac:dyDescent="0.2"/>
    <row r="848" ht="21" customHeight="1" x14ac:dyDescent="0.2"/>
    <row r="849" ht="21" customHeight="1" x14ac:dyDescent="0.2"/>
    <row r="850" ht="21" customHeight="1" x14ac:dyDescent="0.2"/>
    <row r="851" ht="21" customHeight="1" x14ac:dyDescent="0.2"/>
    <row r="852" ht="21" customHeight="1" x14ac:dyDescent="0.2"/>
    <row r="853" ht="21" customHeight="1" x14ac:dyDescent="0.2"/>
    <row r="854" ht="21" customHeight="1" x14ac:dyDescent="0.2"/>
    <row r="855" ht="21" customHeight="1" x14ac:dyDescent="0.2"/>
    <row r="856" ht="21" customHeight="1" x14ac:dyDescent="0.2"/>
    <row r="857" ht="21" customHeight="1" x14ac:dyDescent="0.2"/>
    <row r="858" ht="21" customHeight="1" x14ac:dyDescent="0.2"/>
    <row r="859" ht="21" customHeight="1" x14ac:dyDescent="0.2"/>
    <row r="860" ht="21" customHeight="1" x14ac:dyDescent="0.2"/>
    <row r="861" ht="21" customHeight="1" x14ac:dyDescent="0.2"/>
    <row r="862" ht="21" customHeight="1" x14ac:dyDescent="0.2"/>
    <row r="863" ht="21" customHeight="1" x14ac:dyDescent="0.2"/>
    <row r="864" ht="21" customHeight="1" x14ac:dyDescent="0.2"/>
    <row r="865" ht="21" customHeight="1" x14ac:dyDescent="0.2"/>
    <row r="866" ht="21" customHeight="1" x14ac:dyDescent="0.2"/>
    <row r="867" ht="21" customHeight="1" x14ac:dyDescent="0.2"/>
    <row r="868" ht="21" customHeight="1" x14ac:dyDescent="0.2"/>
    <row r="869" ht="21" customHeight="1" x14ac:dyDescent="0.2"/>
    <row r="870" ht="21" customHeight="1" x14ac:dyDescent="0.2"/>
    <row r="871" ht="21" customHeight="1" x14ac:dyDescent="0.2"/>
    <row r="872" ht="21" customHeight="1" x14ac:dyDescent="0.2"/>
    <row r="873" ht="21" customHeight="1" x14ac:dyDescent="0.2"/>
    <row r="874" ht="21" customHeight="1" x14ac:dyDescent="0.2"/>
    <row r="875" ht="21" customHeight="1" x14ac:dyDescent="0.2"/>
    <row r="876" ht="21" customHeight="1" x14ac:dyDescent="0.2"/>
    <row r="877" ht="21" customHeight="1" x14ac:dyDescent="0.2"/>
    <row r="878" ht="21" customHeight="1" x14ac:dyDescent="0.2"/>
    <row r="879" ht="21" customHeight="1" x14ac:dyDescent="0.2"/>
    <row r="880" ht="21" customHeight="1" x14ac:dyDescent="0.2"/>
    <row r="881" ht="21" customHeight="1" x14ac:dyDescent="0.2"/>
    <row r="882" ht="21" customHeight="1" x14ac:dyDescent="0.2"/>
    <row r="883" ht="21" customHeight="1" x14ac:dyDescent="0.2"/>
    <row r="884" ht="21" customHeight="1" x14ac:dyDescent="0.2"/>
    <row r="885" ht="21" customHeight="1" x14ac:dyDescent="0.2"/>
    <row r="886" ht="21" customHeight="1" x14ac:dyDescent="0.2"/>
    <row r="887" ht="21" customHeight="1" x14ac:dyDescent="0.2"/>
    <row r="888" ht="21" customHeight="1" x14ac:dyDescent="0.2"/>
    <row r="889" ht="21" customHeight="1" x14ac:dyDescent="0.2"/>
    <row r="890" ht="21" customHeight="1" x14ac:dyDescent="0.2"/>
    <row r="891" ht="21" customHeight="1" x14ac:dyDescent="0.2"/>
    <row r="892" ht="21" customHeight="1" x14ac:dyDescent="0.2"/>
    <row r="893" ht="21" customHeight="1" x14ac:dyDescent="0.2"/>
    <row r="894" ht="21" customHeight="1" x14ac:dyDescent="0.2"/>
    <row r="895" ht="21" customHeight="1" x14ac:dyDescent="0.2"/>
    <row r="896" ht="21" customHeight="1" x14ac:dyDescent="0.2"/>
    <row r="897" ht="21" customHeight="1" x14ac:dyDescent="0.2"/>
    <row r="898" ht="21" customHeight="1" x14ac:dyDescent="0.2"/>
    <row r="899" ht="21" customHeight="1" x14ac:dyDescent="0.2"/>
    <row r="900" ht="21" customHeight="1" x14ac:dyDescent="0.2"/>
    <row r="901" ht="21" customHeight="1" x14ac:dyDescent="0.2"/>
    <row r="902" ht="21" customHeight="1" x14ac:dyDescent="0.2"/>
    <row r="903" ht="21" customHeight="1" x14ac:dyDescent="0.2"/>
    <row r="904" ht="21" customHeight="1" x14ac:dyDescent="0.2"/>
    <row r="905" ht="21" customHeight="1" x14ac:dyDescent="0.2"/>
    <row r="906" ht="21" customHeight="1" x14ac:dyDescent="0.2"/>
    <row r="907" ht="21" customHeight="1" x14ac:dyDescent="0.2"/>
    <row r="908" ht="21" customHeight="1" x14ac:dyDescent="0.2"/>
    <row r="909" ht="21" customHeight="1" x14ac:dyDescent="0.2"/>
    <row r="910" ht="21" customHeight="1" x14ac:dyDescent="0.2"/>
    <row r="911" ht="21" customHeight="1" x14ac:dyDescent="0.2"/>
    <row r="912" ht="21" customHeight="1" x14ac:dyDescent="0.2"/>
    <row r="913" ht="21" customHeight="1" x14ac:dyDescent="0.2"/>
    <row r="914" ht="21" customHeight="1" x14ac:dyDescent="0.2"/>
    <row r="915" ht="21" customHeight="1" x14ac:dyDescent="0.2"/>
    <row r="916" ht="21" customHeight="1" x14ac:dyDescent="0.2"/>
    <row r="917" ht="21" customHeight="1" x14ac:dyDescent="0.2"/>
    <row r="918" ht="21" customHeight="1" x14ac:dyDescent="0.2"/>
    <row r="919" ht="21" customHeight="1" x14ac:dyDescent="0.2"/>
    <row r="920" ht="21" customHeight="1" x14ac:dyDescent="0.2"/>
    <row r="921" ht="21" customHeight="1" x14ac:dyDescent="0.2"/>
    <row r="922" ht="21" customHeight="1" x14ac:dyDescent="0.2"/>
    <row r="923" ht="21" customHeight="1" x14ac:dyDescent="0.2"/>
    <row r="924" ht="21" customHeight="1" x14ac:dyDescent="0.2"/>
    <row r="925" ht="21" customHeight="1" x14ac:dyDescent="0.2"/>
    <row r="926" ht="21" customHeight="1" x14ac:dyDescent="0.2"/>
    <row r="927" ht="21" customHeight="1" x14ac:dyDescent="0.2"/>
    <row r="928" ht="21" customHeight="1" x14ac:dyDescent="0.2"/>
    <row r="929" ht="21" customHeight="1" x14ac:dyDescent="0.2"/>
    <row r="930" ht="21" customHeight="1" x14ac:dyDescent="0.2"/>
    <row r="931" ht="21" customHeight="1" x14ac:dyDescent="0.2"/>
    <row r="932" ht="21" customHeight="1" x14ac:dyDescent="0.2"/>
    <row r="933" ht="21" customHeight="1" x14ac:dyDescent="0.2"/>
    <row r="934" ht="21" customHeight="1" x14ac:dyDescent="0.2"/>
    <row r="935" ht="21" customHeight="1" x14ac:dyDescent="0.2"/>
    <row r="936" ht="21" customHeight="1" x14ac:dyDescent="0.2"/>
    <row r="937" ht="21" customHeight="1" x14ac:dyDescent="0.2"/>
    <row r="938" ht="21" customHeight="1" x14ac:dyDescent="0.2"/>
    <row r="939" ht="21" customHeight="1" x14ac:dyDescent="0.2"/>
    <row r="940" ht="21" customHeight="1" x14ac:dyDescent="0.2"/>
    <row r="941" ht="21" customHeight="1" x14ac:dyDescent="0.2"/>
    <row r="942" ht="21" customHeight="1" x14ac:dyDescent="0.2"/>
    <row r="943" ht="21" customHeight="1" x14ac:dyDescent="0.2"/>
    <row r="944" ht="21" customHeight="1" x14ac:dyDescent="0.2"/>
    <row r="945" ht="21" customHeight="1" x14ac:dyDescent="0.2"/>
    <row r="946" ht="21" customHeight="1" x14ac:dyDescent="0.2"/>
    <row r="947" ht="21" customHeight="1" x14ac:dyDescent="0.2"/>
    <row r="948" ht="21" customHeight="1" x14ac:dyDescent="0.2"/>
    <row r="949" ht="21" customHeight="1" x14ac:dyDescent="0.2"/>
    <row r="950" ht="21" customHeight="1" x14ac:dyDescent="0.2"/>
    <row r="951" ht="21" customHeight="1" x14ac:dyDescent="0.2"/>
    <row r="952" ht="21" customHeight="1" x14ac:dyDescent="0.2"/>
    <row r="953" ht="21" customHeight="1" x14ac:dyDescent="0.2"/>
    <row r="954" ht="21" customHeight="1" x14ac:dyDescent="0.2"/>
    <row r="955" ht="21" customHeight="1" x14ac:dyDescent="0.2"/>
    <row r="956" ht="21" customHeight="1" x14ac:dyDescent="0.2"/>
    <row r="957" ht="21" customHeight="1" x14ac:dyDescent="0.2"/>
    <row r="958" ht="21" customHeight="1" x14ac:dyDescent="0.2"/>
    <row r="959" ht="21" customHeight="1" x14ac:dyDescent="0.2"/>
    <row r="960" ht="21" customHeight="1" x14ac:dyDescent="0.2"/>
    <row r="961" ht="21" customHeight="1" x14ac:dyDescent="0.2"/>
    <row r="962" ht="21" customHeight="1" x14ac:dyDescent="0.2"/>
    <row r="963" ht="21" customHeight="1" x14ac:dyDescent="0.2"/>
    <row r="964" ht="21" customHeight="1" x14ac:dyDescent="0.2"/>
    <row r="965" ht="21" customHeight="1" x14ac:dyDescent="0.2"/>
    <row r="966" ht="21" customHeight="1" x14ac:dyDescent="0.2"/>
    <row r="967" ht="21" customHeight="1" x14ac:dyDescent="0.2"/>
    <row r="968" ht="21" customHeight="1" x14ac:dyDescent="0.2"/>
    <row r="969" ht="21" customHeight="1" x14ac:dyDescent="0.2"/>
    <row r="970" ht="21" customHeight="1" x14ac:dyDescent="0.2"/>
    <row r="971" ht="21" customHeight="1" x14ac:dyDescent="0.2"/>
    <row r="972" ht="21" customHeight="1" x14ac:dyDescent="0.2"/>
    <row r="973" ht="21" customHeight="1" x14ac:dyDescent="0.2"/>
    <row r="974" ht="21" customHeight="1" x14ac:dyDescent="0.2"/>
    <row r="975" ht="21" customHeight="1" x14ac:dyDescent="0.2"/>
    <row r="976" ht="21" customHeight="1" x14ac:dyDescent="0.2"/>
    <row r="977" ht="21" customHeight="1" x14ac:dyDescent="0.2"/>
    <row r="978" ht="21" customHeight="1" x14ac:dyDescent="0.2"/>
    <row r="979" ht="21" customHeight="1" x14ac:dyDescent="0.2"/>
    <row r="980" ht="21" customHeight="1" x14ac:dyDescent="0.2"/>
    <row r="981" ht="21" customHeight="1" x14ac:dyDescent="0.2"/>
    <row r="982" ht="21" customHeight="1" x14ac:dyDescent="0.2"/>
    <row r="983" ht="21" customHeight="1" x14ac:dyDescent="0.2"/>
    <row r="984" ht="21" customHeight="1" x14ac:dyDescent="0.2"/>
    <row r="985" ht="21" customHeight="1" x14ac:dyDescent="0.2"/>
    <row r="986" ht="21" customHeight="1" x14ac:dyDescent="0.2"/>
    <row r="987" ht="21" customHeight="1" x14ac:dyDescent="0.2"/>
    <row r="988" ht="21" customHeight="1" x14ac:dyDescent="0.2"/>
    <row r="989" ht="21" customHeight="1" x14ac:dyDescent="0.2"/>
    <row r="990" ht="21" customHeight="1" x14ac:dyDescent="0.2"/>
    <row r="991" ht="21" customHeight="1" x14ac:dyDescent="0.2"/>
    <row r="992" ht="21" customHeight="1" x14ac:dyDescent="0.2"/>
    <row r="993" ht="21" customHeight="1" x14ac:dyDescent="0.2"/>
    <row r="994" ht="21" customHeight="1" x14ac:dyDescent="0.2"/>
    <row r="995" ht="21" customHeight="1" x14ac:dyDescent="0.2"/>
    <row r="996" ht="21" customHeight="1" x14ac:dyDescent="0.2"/>
    <row r="997" ht="21" customHeight="1" x14ac:dyDescent="0.2"/>
    <row r="998" ht="21" customHeight="1" x14ac:dyDescent="0.2"/>
    <row r="999" ht="21" customHeight="1" x14ac:dyDescent="0.2"/>
    <row r="1000" ht="21" customHeight="1"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4.5" defaultRowHeight="15" x14ac:dyDescent="0.2"/>
  <cols>
    <col min="1" max="26" width="10.6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1420</v>
      </c>
    </row>
    <row r="2" spans="1:12" hidden="1" x14ac:dyDescent="0.2">
      <c r="A2" s="1" t="s">
        <v>1178</v>
      </c>
      <c r="B2" s="1" t="s">
        <v>1332</v>
      </c>
      <c r="C2" s="1" t="s">
        <v>1333</v>
      </c>
      <c r="D2" s="1" t="s">
        <v>1334</v>
      </c>
      <c r="E2" s="1" t="s">
        <v>10</v>
      </c>
      <c r="F2" s="1" t="s">
        <v>1335</v>
      </c>
      <c r="G2" s="1" t="s">
        <v>597</v>
      </c>
      <c r="I2" s="1">
        <f t="shared" ref="I2:I256" si="0">IF(E2="include",1,0)</f>
        <v>0</v>
      </c>
      <c r="J2" s="1">
        <f t="shared" ref="J2:J256" si="1">IF(E2="exclude",1,0)</f>
        <v>0</v>
      </c>
      <c r="K2" s="1">
        <f t="shared" ref="K2:K256" si="2">IF(E2="uncertain",1,0)</f>
        <v>1</v>
      </c>
      <c r="L2" s="1">
        <v>1596</v>
      </c>
    </row>
    <row r="3" spans="1:12" x14ac:dyDescent="0.2">
      <c r="A3" s="1" t="s">
        <v>11</v>
      </c>
      <c r="B3" s="1" t="s">
        <v>118</v>
      </c>
      <c r="C3" s="1" t="s">
        <v>119</v>
      </c>
      <c r="D3" s="1" t="s">
        <v>120</v>
      </c>
      <c r="E3" s="1" t="s">
        <v>8</v>
      </c>
      <c r="F3" s="1" t="s">
        <v>121</v>
      </c>
      <c r="G3" s="1" t="s">
        <v>26</v>
      </c>
      <c r="I3" s="1">
        <f t="shared" si="0"/>
        <v>1</v>
      </c>
      <c r="J3" s="1">
        <f t="shared" si="1"/>
        <v>0</v>
      </c>
      <c r="K3" s="1">
        <f t="shared" si="2"/>
        <v>0</v>
      </c>
      <c r="L3" s="1">
        <v>1948</v>
      </c>
    </row>
    <row r="4" spans="1:12" hidden="1" x14ac:dyDescent="0.2">
      <c r="A4" s="1" t="s">
        <v>666</v>
      </c>
      <c r="B4" s="1" t="s">
        <v>867</v>
      </c>
      <c r="C4" s="1" t="s">
        <v>868</v>
      </c>
      <c r="D4" s="1" t="s">
        <v>869</v>
      </c>
      <c r="E4" s="1" t="s">
        <v>9</v>
      </c>
      <c r="F4" s="1" t="s">
        <v>870</v>
      </c>
      <c r="G4" s="1" t="s">
        <v>21</v>
      </c>
      <c r="I4" s="1">
        <f t="shared" si="0"/>
        <v>0</v>
      </c>
      <c r="J4" s="1">
        <f t="shared" si="1"/>
        <v>1</v>
      </c>
      <c r="K4" s="1">
        <f t="shared" si="2"/>
        <v>0</v>
      </c>
      <c r="L4" s="1">
        <v>5942</v>
      </c>
    </row>
    <row r="5" spans="1:12" x14ac:dyDescent="0.2">
      <c r="A5" s="1" t="s">
        <v>415</v>
      </c>
      <c r="B5" s="1" t="s">
        <v>539</v>
      </c>
      <c r="C5" s="1" t="s">
        <v>540</v>
      </c>
      <c r="D5" s="1" t="s">
        <v>541</v>
      </c>
      <c r="E5" s="1" t="s">
        <v>8</v>
      </c>
      <c r="F5" s="1" t="s">
        <v>542</v>
      </c>
      <c r="G5" s="1" t="s">
        <v>543</v>
      </c>
      <c r="I5" s="1">
        <f t="shared" si="0"/>
        <v>1</v>
      </c>
      <c r="J5" s="1">
        <f t="shared" si="1"/>
        <v>0</v>
      </c>
      <c r="K5" s="1">
        <f t="shared" si="2"/>
        <v>0</v>
      </c>
      <c r="L5" s="1">
        <v>7100</v>
      </c>
    </row>
    <row r="6" spans="1:12" hidden="1" x14ac:dyDescent="0.2">
      <c r="A6" s="1" t="s">
        <v>666</v>
      </c>
      <c r="B6" s="1" t="s">
        <v>1012</v>
      </c>
      <c r="C6" s="1" t="s">
        <v>1013</v>
      </c>
      <c r="D6" s="1" t="s">
        <v>1014</v>
      </c>
      <c r="E6" s="1" t="s">
        <v>9</v>
      </c>
      <c r="F6" s="1" t="s">
        <v>1015</v>
      </c>
      <c r="G6" s="1" t="s">
        <v>126</v>
      </c>
      <c r="I6" s="1">
        <f t="shared" si="0"/>
        <v>0</v>
      </c>
      <c r="J6" s="1">
        <f t="shared" si="1"/>
        <v>1</v>
      </c>
      <c r="K6" s="1">
        <f t="shared" si="2"/>
        <v>0</v>
      </c>
      <c r="L6" s="1">
        <v>11003</v>
      </c>
    </row>
    <row r="7" spans="1:12" hidden="1" x14ac:dyDescent="0.2">
      <c r="A7" s="1" t="s">
        <v>415</v>
      </c>
      <c r="B7" s="1" t="s">
        <v>483</v>
      </c>
      <c r="C7" s="1" t="s">
        <v>484</v>
      </c>
      <c r="D7" s="1" t="s">
        <v>485</v>
      </c>
      <c r="E7" s="1" t="s">
        <v>9</v>
      </c>
      <c r="F7" s="1" t="s">
        <v>486</v>
      </c>
      <c r="G7" s="1" t="s">
        <v>126</v>
      </c>
      <c r="I7" s="1">
        <f t="shared" si="0"/>
        <v>0</v>
      </c>
      <c r="J7" s="1">
        <f t="shared" si="1"/>
        <v>1</v>
      </c>
      <c r="K7" s="1">
        <f t="shared" si="2"/>
        <v>0</v>
      </c>
      <c r="L7" s="1">
        <v>14487</v>
      </c>
    </row>
    <row r="8" spans="1:12" x14ac:dyDescent="0.2">
      <c r="A8" s="1" t="s">
        <v>666</v>
      </c>
      <c r="B8" s="1" t="s">
        <v>1103</v>
      </c>
      <c r="C8" s="1" t="s">
        <v>1104</v>
      </c>
      <c r="D8" s="1" t="s">
        <v>1105</v>
      </c>
      <c r="E8" s="1" t="s">
        <v>8</v>
      </c>
      <c r="F8" s="1" t="s">
        <v>1106</v>
      </c>
      <c r="G8" s="1" t="s">
        <v>26</v>
      </c>
      <c r="I8" s="1">
        <f t="shared" si="0"/>
        <v>1</v>
      </c>
      <c r="J8" s="1">
        <f t="shared" si="1"/>
        <v>0</v>
      </c>
      <c r="K8" s="1">
        <f t="shared" si="2"/>
        <v>0</v>
      </c>
      <c r="L8" s="1">
        <v>15463</v>
      </c>
    </row>
    <row r="9" spans="1:12" hidden="1" x14ac:dyDescent="0.2">
      <c r="A9" s="1" t="s">
        <v>11</v>
      </c>
      <c r="B9" s="1" t="s">
        <v>27</v>
      </c>
      <c r="C9" s="1" t="s">
        <v>28</v>
      </c>
      <c r="D9" s="1" t="s">
        <v>29</v>
      </c>
      <c r="E9" s="1" t="s">
        <v>10</v>
      </c>
      <c r="F9" s="1" t="s">
        <v>30</v>
      </c>
      <c r="G9" s="1" t="s">
        <v>31</v>
      </c>
      <c r="I9" s="1">
        <f t="shared" si="0"/>
        <v>0</v>
      </c>
      <c r="J9" s="1">
        <f t="shared" si="1"/>
        <v>0</v>
      </c>
      <c r="K9" s="1">
        <f t="shared" si="2"/>
        <v>1</v>
      </c>
      <c r="L9" s="1">
        <v>25577</v>
      </c>
    </row>
    <row r="10" spans="1:12" hidden="1" x14ac:dyDescent="0.2">
      <c r="A10" s="1" t="s">
        <v>11</v>
      </c>
      <c r="B10" s="1" t="s">
        <v>169</v>
      </c>
      <c r="C10" s="1" t="s">
        <v>170</v>
      </c>
      <c r="D10" s="1" t="s">
        <v>171</v>
      </c>
      <c r="E10" s="1" t="s">
        <v>9</v>
      </c>
      <c r="F10" s="1" t="s">
        <v>172</v>
      </c>
      <c r="G10" s="1" t="s">
        <v>126</v>
      </c>
      <c r="I10" s="1">
        <f t="shared" si="0"/>
        <v>0</v>
      </c>
      <c r="J10" s="1">
        <f t="shared" si="1"/>
        <v>1</v>
      </c>
      <c r="K10" s="1">
        <f t="shared" si="2"/>
        <v>0</v>
      </c>
      <c r="L10" s="1">
        <v>28087</v>
      </c>
    </row>
    <row r="11" spans="1:12" x14ac:dyDescent="0.2">
      <c r="A11" s="1" t="s">
        <v>415</v>
      </c>
      <c r="B11" s="1" t="s">
        <v>522</v>
      </c>
      <c r="C11" s="1" t="s">
        <v>523</v>
      </c>
      <c r="D11" s="1" t="s">
        <v>524</v>
      </c>
      <c r="E11" s="1" t="s">
        <v>8</v>
      </c>
      <c r="F11" s="1" t="s">
        <v>525</v>
      </c>
      <c r="G11" s="1" t="s">
        <v>526</v>
      </c>
      <c r="I11" s="1">
        <f t="shared" si="0"/>
        <v>1</v>
      </c>
      <c r="J11" s="1">
        <f t="shared" si="1"/>
        <v>0</v>
      </c>
      <c r="K11" s="1">
        <f t="shared" si="2"/>
        <v>0</v>
      </c>
      <c r="L11" s="1">
        <v>33156</v>
      </c>
    </row>
    <row r="12" spans="1:12" x14ac:dyDescent="0.2">
      <c r="A12" s="1" t="s">
        <v>11</v>
      </c>
      <c r="B12" s="1" t="s">
        <v>109</v>
      </c>
      <c r="C12" s="1" t="s">
        <v>110</v>
      </c>
      <c r="D12" s="1" t="s">
        <v>111</v>
      </c>
      <c r="E12" s="1" t="s">
        <v>8</v>
      </c>
      <c r="F12" s="1" t="s">
        <v>112</v>
      </c>
      <c r="G12" s="1" t="s">
        <v>113</v>
      </c>
      <c r="I12" s="1">
        <f t="shared" si="0"/>
        <v>1</v>
      </c>
      <c r="J12" s="1">
        <f t="shared" si="1"/>
        <v>0</v>
      </c>
      <c r="K12" s="1">
        <f t="shared" si="2"/>
        <v>0</v>
      </c>
      <c r="L12" s="1">
        <v>35854</v>
      </c>
    </row>
    <row r="13" spans="1:12" x14ac:dyDescent="0.2">
      <c r="A13" s="1" t="s">
        <v>1178</v>
      </c>
      <c r="B13" s="1" t="s">
        <v>1233</v>
      </c>
      <c r="C13" s="1" t="s">
        <v>1234</v>
      </c>
      <c r="D13" s="1" t="s">
        <v>1235</v>
      </c>
      <c r="E13" s="1" t="s">
        <v>8</v>
      </c>
      <c r="F13" s="1" t="s">
        <v>1236</v>
      </c>
      <c r="G13" s="1" t="s">
        <v>26</v>
      </c>
      <c r="I13" s="1">
        <f t="shared" si="0"/>
        <v>1</v>
      </c>
      <c r="J13" s="1">
        <f t="shared" si="1"/>
        <v>0</v>
      </c>
      <c r="K13" s="1">
        <f t="shared" si="2"/>
        <v>0</v>
      </c>
      <c r="L13" s="1">
        <v>42299</v>
      </c>
    </row>
    <row r="14" spans="1:12" x14ac:dyDescent="0.2">
      <c r="A14" s="1" t="s">
        <v>415</v>
      </c>
      <c r="B14" s="1" t="s">
        <v>479</v>
      </c>
      <c r="C14" s="1" t="s">
        <v>480</v>
      </c>
      <c r="D14" s="1" t="s">
        <v>481</v>
      </c>
      <c r="E14" s="1" t="s">
        <v>8</v>
      </c>
      <c r="F14" s="1" t="s">
        <v>482</v>
      </c>
      <c r="G14" s="1" t="s">
        <v>75</v>
      </c>
      <c r="I14" s="1">
        <f t="shared" si="0"/>
        <v>1</v>
      </c>
      <c r="J14" s="1">
        <f t="shared" si="1"/>
        <v>0</v>
      </c>
      <c r="K14" s="1">
        <f t="shared" si="2"/>
        <v>0</v>
      </c>
      <c r="L14" s="1">
        <v>45535</v>
      </c>
    </row>
    <row r="15" spans="1:12" hidden="1" x14ac:dyDescent="0.2">
      <c r="A15" s="1" t="s">
        <v>415</v>
      </c>
      <c r="B15" s="1" t="s">
        <v>505</v>
      </c>
      <c r="C15" s="1" t="s">
        <v>506</v>
      </c>
      <c r="D15" s="1" t="s">
        <v>507</v>
      </c>
      <c r="E15" s="1" t="s">
        <v>10</v>
      </c>
      <c r="F15" s="1" t="s">
        <v>508</v>
      </c>
      <c r="G15" s="1" t="s">
        <v>31</v>
      </c>
      <c r="I15" s="1">
        <f t="shared" si="0"/>
        <v>0</v>
      </c>
      <c r="J15" s="1">
        <f t="shared" si="1"/>
        <v>0</v>
      </c>
      <c r="K15" s="1">
        <f t="shared" si="2"/>
        <v>1</v>
      </c>
      <c r="L15" s="1">
        <v>47620</v>
      </c>
    </row>
    <row r="16" spans="1:12" hidden="1" x14ac:dyDescent="0.2">
      <c r="A16" s="1" t="s">
        <v>666</v>
      </c>
      <c r="B16" s="1" t="s">
        <v>1137</v>
      </c>
      <c r="C16" s="1" t="s">
        <v>1138</v>
      </c>
      <c r="D16" s="1" t="s">
        <v>1139</v>
      </c>
      <c r="E16" s="1" t="s">
        <v>9</v>
      </c>
      <c r="F16" s="1" t="s">
        <v>1140</v>
      </c>
      <c r="G16" s="1" t="s">
        <v>126</v>
      </c>
      <c r="I16" s="1">
        <f t="shared" si="0"/>
        <v>0</v>
      </c>
      <c r="J16" s="1">
        <f t="shared" si="1"/>
        <v>1</v>
      </c>
      <c r="K16" s="1">
        <f t="shared" si="2"/>
        <v>0</v>
      </c>
      <c r="L16" s="1">
        <v>47879</v>
      </c>
    </row>
    <row r="17" spans="1:12" hidden="1" x14ac:dyDescent="0.2">
      <c r="A17" s="1" t="s">
        <v>666</v>
      </c>
      <c r="B17" s="1" t="s">
        <v>835</v>
      </c>
      <c r="C17" s="1" t="s">
        <v>836</v>
      </c>
      <c r="D17" s="1" t="s">
        <v>837</v>
      </c>
      <c r="E17" s="1" t="s">
        <v>10</v>
      </c>
      <c r="F17" s="1" t="s">
        <v>838</v>
      </c>
      <c r="G17" s="1" t="s">
        <v>145</v>
      </c>
      <c r="I17" s="1">
        <f t="shared" si="0"/>
        <v>0</v>
      </c>
      <c r="J17" s="1">
        <f t="shared" si="1"/>
        <v>0</v>
      </c>
      <c r="K17" s="1">
        <f t="shared" si="2"/>
        <v>1</v>
      </c>
      <c r="L17" s="1">
        <v>50841</v>
      </c>
    </row>
    <row r="18" spans="1:12" x14ac:dyDescent="0.2">
      <c r="A18" s="1" t="s">
        <v>666</v>
      </c>
      <c r="B18" s="1" t="s">
        <v>1078</v>
      </c>
      <c r="C18" s="1" t="s">
        <v>1079</v>
      </c>
      <c r="D18" s="1" t="s">
        <v>1080</v>
      </c>
      <c r="E18" s="1" t="s">
        <v>8</v>
      </c>
      <c r="F18" s="1" t="s">
        <v>1081</v>
      </c>
      <c r="G18" s="1" t="s">
        <v>26</v>
      </c>
      <c r="I18" s="1">
        <f t="shared" si="0"/>
        <v>1</v>
      </c>
      <c r="J18" s="1">
        <f t="shared" si="1"/>
        <v>0</v>
      </c>
      <c r="K18" s="1">
        <f t="shared" si="2"/>
        <v>0</v>
      </c>
      <c r="L18" s="1">
        <v>51109</v>
      </c>
    </row>
    <row r="19" spans="1:12" hidden="1" x14ac:dyDescent="0.2">
      <c r="A19" s="1" t="s">
        <v>415</v>
      </c>
      <c r="B19" s="1" t="s">
        <v>518</v>
      </c>
      <c r="C19" s="1" t="s">
        <v>519</v>
      </c>
      <c r="D19" s="1" t="s">
        <v>520</v>
      </c>
      <c r="E19" s="1" t="s">
        <v>10</v>
      </c>
      <c r="F19" s="1" t="s">
        <v>521</v>
      </c>
      <c r="G19" s="1" t="s">
        <v>31</v>
      </c>
      <c r="I19" s="1">
        <f t="shared" si="0"/>
        <v>0</v>
      </c>
      <c r="J19" s="1">
        <f t="shared" si="1"/>
        <v>0</v>
      </c>
      <c r="K19" s="1">
        <f t="shared" si="2"/>
        <v>1</v>
      </c>
      <c r="L19" s="1">
        <v>51481</v>
      </c>
    </row>
    <row r="20" spans="1:12" hidden="1" x14ac:dyDescent="0.2">
      <c r="A20" s="1" t="s">
        <v>11</v>
      </c>
      <c r="B20" s="1" t="s">
        <v>196</v>
      </c>
      <c r="C20" s="1" t="s">
        <v>197</v>
      </c>
      <c r="D20" s="1" t="s">
        <v>198</v>
      </c>
      <c r="E20" s="1" t="s">
        <v>9</v>
      </c>
      <c r="F20" s="1" t="s">
        <v>199</v>
      </c>
      <c r="G20" s="1" t="s">
        <v>21</v>
      </c>
      <c r="I20" s="1">
        <f t="shared" si="0"/>
        <v>0</v>
      </c>
      <c r="J20" s="1">
        <f t="shared" si="1"/>
        <v>1</v>
      </c>
      <c r="K20" s="1">
        <f t="shared" si="2"/>
        <v>0</v>
      </c>
      <c r="L20" s="1">
        <v>59254</v>
      </c>
    </row>
    <row r="21" spans="1:12" ht="21" hidden="1" customHeight="1" x14ac:dyDescent="0.2">
      <c r="A21" s="1" t="s">
        <v>666</v>
      </c>
      <c r="B21" s="1" t="s">
        <v>974</v>
      </c>
      <c r="C21" s="1" t="s">
        <v>975</v>
      </c>
      <c r="D21" s="1" t="s">
        <v>976</v>
      </c>
      <c r="E21" s="1" t="s">
        <v>10</v>
      </c>
      <c r="F21" s="1" t="s">
        <v>977</v>
      </c>
      <c r="G21" s="1" t="s">
        <v>31</v>
      </c>
      <c r="I21" s="1">
        <f t="shared" si="0"/>
        <v>0</v>
      </c>
      <c r="J21" s="1">
        <f t="shared" si="1"/>
        <v>0</v>
      </c>
      <c r="K21" s="1">
        <f t="shared" si="2"/>
        <v>1</v>
      </c>
      <c r="L21" s="1">
        <v>59453</v>
      </c>
    </row>
    <row r="22" spans="1:12" ht="21" customHeight="1" x14ac:dyDescent="0.2">
      <c r="A22" s="1" t="s">
        <v>11</v>
      </c>
      <c r="B22" s="1" t="s">
        <v>277</v>
      </c>
      <c r="C22" s="1" t="s">
        <v>278</v>
      </c>
      <c r="D22" s="1" t="s">
        <v>279</v>
      </c>
      <c r="E22" s="1" t="s">
        <v>8</v>
      </c>
      <c r="F22" s="1" t="s">
        <v>280</v>
      </c>
      <c r="G22" s="1" t="s">
        <v>281</v>
      </c>
      <c r="I22" s="1">
        <f t="shared" si="0"/>
        <v>1</v>
      </c>
      <c r="J22" s="1">
        <f t="shared" si="1"/>
        <v>0</v>
      </c>
      <c r="K22" s="1">
        <f t="shared" si="2"/>
        <v>0</v>
      </c>
      <c r="L22" s="1">
        <v>59940</v>
      </c>
    </row>
    <row r="23" spans="1:12" ht="21" hidden="1" customHeight="1" x14ac:dyDescent="0.2">
      <c r="A23" s="1" t="s">
        <v>666</v>
      </c>
      <c r="B23" s="1" t="s">
        <v>683</v>
      </c>
      <c r="C23" s="1" t="s">
        <v>684</v>
      </c>
      <c r="D23" s="1" t="s">
        <v>685</v>
      </c>
      <c r="E23" s="1" t="s">
        <v>9</v>
      </c>
      <c r="F23" s="1" t="s">
        <v>686</v>
      </c>
      <c r="G23" s="1" t="s">
        <v>21</v>
      </c>
      <c r="I23" s="1">
        <f t="shared" si="0"/>
        <v>0</v>
      </c>
      <c r="J23" s="1">
        <f t="shared" si="1"/>
        <v>1</v>
      </c>
      <c r="K23" s="1">
        <f t="shared" si="2"/>
        <v>0</v>
      </c>
      <c r="L23" s="1">
        <v>61213</v>
      </c>
    </row>
    <row r="24" spans="1:12" ht="21" hidden="1" customHeight="1" x14ac:dyDescent="0.2">
      <c r="A24" s="1" t="s">
        <v>11</v>
      </c>
      <c r="B24" s="1" t="s">
        <v>122</v>
      </c>
      <c r="C24" s="1" t="s">
        <v>123</v>
      </c>
      <c r="D24" s="1" t="s">
        <v>124</v>
      </c>
      <c r="E24" s="1" t="s">
        <v>9</v>
      </c>
      <c r="F24" s="1" t="s">
        <v>125</v>
      </c>
      <c r="G24" s="1" t="s">
        <v>126</v>
      </c>
      <c r="I24" s="1">
        <f t="shared" si="0"/>
        <v>0</v>
      </c>
      <c r="J24" s="1">
        <f t="shared" si="1"/>
        <v>1</v>
      </c>
      <c r="K24" s="1">
        <f t="shared" si="2"/>
        <v>0</v>
      </c>
      <c r="L24" s="1">
        <v>61451</v>
      </c>
    </row>
    <row r="25" spans="1:12" ht="21" customHeight="1" x14ac:dyDescent="0.2">
      <c r="A25" s="1" t="s">
        <v>666</v>
      </c>
      <c r="B25" s="1" t="s">
        <v>1032</v>
      </c>
      <c r="C25" s="1" t="s">
        <v>1033</v>
      </c>
      <c r="D25" s="1" t="s">
        <v>1034</v>
      </c>
      <c r="E25" s="1" t="s">
        <v>8</v>
      </c>
      <c r="F25" s="1" t="s">
        <v>1035</v>
      </c>
      <c r="G25" s="1" t="s">
        <v>887</v>
      </c>
      <c r="I25" s="1">
        <f t="shared" si="0"/>
        <v>1</v>
      </c>
      <c r="J25" s="1">
        <f t="shared" si="1"/>
        <v>0</v>
      </c>
      <c r="K25" s="1">
        <f t="shared" si="2"/>
        <v>0</v>
      </c>
      <c r="L25" s="1">
        <v>63195</v>
      </c>
    </row>
    <row r="26" spans="1:12" ht="21" customHeight="1" x14ac:dyDescent="0.2">
      <c r="A26" s="1" t="s">
        <v>11</v>
      </c>
      <c r="B26" s="1" t="s">
        <v>377</v>
      </c>
      <c r="C26" s="1" t="s">
        <v>378</v>
      </c>
      <c r="D26" s="1" t="s">
        <v>379</v>
      </c>
      <c r="E26" s="1" t="s">
        <v>8</v>
      </c>
      <c r="F26" s="1" t="s">
        <v>380</v>
      </c>
      <c r="G26" s="1" t="s">
        <v>26</v>
      </c>
      <c r="I26" s="1">
        <f t="shared" si="0"/>
        <v>1</v>
      </c>
      <c r="J26" s="1">
        <f t="shared" si="1"/>
        <v>0</v>
      </c>
      <c r="K26" s="1">
        <f t="shared" si="2"/>
        <v>0</v>
      </c>
      <c r="L26" s="1">
        <v>66309</v>
      </c>
    </row>
    <row r="27" spans="1:12" ht="21" hidden="1" customHeight="1" x14ac:dyDescent="0.2">
      <c r="A27" s="1" t="s">
        <v>11</v>
      </c>
      <c r="B27" s="1" t="s">
        <v>192</v>
      </c>
      <c r="C27" s="1" t="s">
        <v>193</v>
      </c>
      <c r="D27" s="1" t="s">
        <v>194</v>
      </c>
      <c r="E27" s="1" t="s">
        <v>9</v>
      </c>
      <c r="F27" s="1" t="s">
        <v>195</v>
      </c>
      <c r="G27" s="1" t="s">
        <v>21</v>
      </c>
      <c r="I27" s="1">
        <f t="shared" si="0"/>
        <v>0</v>
      </c>
      <c r="J27" s="1">
        <f t="shared" si="1"/>
        <v>1</v>
      </c>
      <c r="K27" s="1">
        <f t="shared" si="2"/>
        <v>0</v>
      </c>
      <c r="L27" s="1">
        <v>67576</v>
      </c>
    </row>
    <row r="28" spans="1:12" ht="21" hidden="1" customHeight="1" x14ac:dyDescent="0.2">
      <c r="A28" s="1" t="s">
        <v>666</v>
      </c>
      <c r="B28" s="1" t="s">
        <v>945</v>
      </c>
      <c r="C28" s="1" t="s">
        <v>946</v>
      </c>
      <c r="D28" s="1" t="s">
        <v>947</v>
      </c>
      <c r="E28" s="1" t="s">
        <v>10</v>
      </c>
      <c r="F28" s="1" t="s">
        <v>948</v>
      </c>
      <c r="G28" s="1" t="s">
        <v>21</v>
      </c>
      <c r="I28" s="1">
        <f t="shared" si="0"/>
        <v>0</v>
      </c>
      <c r="J28" s="1">
        <f t="shared" si="1"/>
        <v>0</v>
      </c>
      <c r="K28" s="1">
        <f t="shared" si="2"/>
        <v>1</v>
      </c>
      <c r="L28" s="1">
        <v>67718</v>
      </c>
    </row>
    <row r="29" spans="1:12" ht="21" customHeight="1" x14ac:dyDescent="0.2">
      <c r="A29" s="1" t="s">
        <v>666</v>
      </c>
      <c r="B29" s="1" t="s">
        <v>703</v>
      </c>
      <c r="C29" s="1" t="s">
        <v>704</v>
      </c>
      <c r="D29" s="1" t="s">
        <v>705</v>
      </c>
      <c r="E29" s="1" t="s">
        <v>8</v>
      </c>
      <c r="F29" s="1" t="s">
        <v>706</v>
      </c>
      <c r="G29" s="1" t="s">
        <v>26</v>
      </c>
      <c r="I29" s="1">
        <f t="shared" si="0"/>
        <v>1</v>
      </c>
      <c r="J29" s="1">
        <f t="shared" si="1"/>
        <v>0</v>
      </c>
      <c r="K29" s="1">
        <f t="shared" si="2"/>
        <v>0</v>
      </c>
      <c r="L29" s="1">
        <v>69634</v>
      </c>
    </row>
    <row r="30" spans="1:12" ht="21" customHeight="1" x14ac:dyDescent="0.2">
      <c r="A30" s="1" t="s">
        <v>11</v>
      </c>
      <c r="B30" s="1" t="s">
        <v>282</v>
      </c>
      <c r="C30" s="1" t="s">
        <v>283</v>
      </c>
      <c r="D30" s="1" t="s">
        <v>284</v>
      </c>
      <c r="E30" s="1" t="s">
        <v>8</v>
      </c>
      <c r="F30" s="1" t="s">
        <v>285</v>
      </c>
      <c r="G30" s="1" t="s">
        <v>286</v>
      </c>
      <c r="I30" s="1">
        <f t="shared" si="0"/>
        <v>1</v>
      </c>
      <c r="J30" s="1">
        <f t="shared" si="1"/>
        <v>0</v>
      </c>
      <c r="K30" s="1">
        <f t="shared" si="2"/>
        <v>0</v>
      </c>
      <c r="L30" s="1">
        <v>69857</v>
      </c>
    </row>
    <row r="31" spans="1:12" ht="21" customHeight="1" x14ac:dyDescent="0.2">
      <c r="A31" s="1" t="s">
        <v>415</v>
      </c>
      <c r="B31" s="1" t="s">
        <v>657</v>
      </c>
      <c r="C31" s="1" t="s">
        <v>658</v>
      </c>
      <c r="D31" s="1" t="s">
        <v>659</v>
      </c>
      <c r="E31" s="1" t="s">
        <v>8</v>
      </c>
      <c r="F31" s="1" t="s">
        <v>660</v>
      </c>
      <c r="G31" s="1" t="s">
        <v>661</v>
      </c>
      <c r="I31" s="1">
        <f t="shared" si="0"/>
        <v>1</v>
      </c>
      <c r="J31" s="1">
        <f t="shared" si="1"/>
        <v>0</v>
      </c>
      <c r="K31" s="1">
        <f t="shared" si="2"/>
        <v>0</v>
      </c>
      <c r="L31" s="1">
        <v>71379</v>
      </c>
    </row>
    <row r="32" spans="1:12" ht="21" hidden="1" customHeight="1" x14ac:dyDescent="0.2">
      <c r="A32" s="1" t="s">
        <v>11</v>
      </c>
      <c r="B32" s="1" t="s">
        <v>241</v>
      </c>
      <c r="C32" s="1" t="s">
        <v>242</v>
      </c>
      <c r="D32" s="1" t="s">
        <v>243</v>
      </c>
      <c r="E32" s="1" t="s">
        <v>10</v>
      </c>
      <c r="F32" s="1" t="s">
        <v>244</v>
      </c>
      <c r="G32" s="1" t="s">
        <v>245</v>
      </c>
      <c r="I32" s="1">
        <f t="shared" si="0"/>
        <v>0</v>
      </c>
      <c r="J32" s="1">
        <f t="shared" si="1"/>
        <v>0</v>
      </c>
      <c r="K32" s="1">
        <f t="shared" si="2"/>
        <v>1</v>
      </c>
      <c r="L32" s="1">
        <v>73995</v>
      </c>
    </row>
    <row r="33" spans="1:12" ht="21" customHeight="1" x14ac:dyDescent="0.2">
      <c r="A33" s="1" t="s">
        <v>415</v>
      </c>
      <c r="B33" s="1" t="s">
        <v>589</v>
      </c>
      <c r="C33" s="1" t="s">
        <v>590</v>
      </c>
      <c r="D33" s="1" t="s">
        <v>591</v>
      </c>
      <c r="E33" s="1" t="s">
        <v>8</v>
      </c>
      <c r="F33" s="1" t="s">
        <v>592</v>
      </c>
      <c r="G33" s="1" t="s">
        <v>26</v>
      </c>
      <c r="I33" s="1">
        <f t="shared" si="0"/>
        <v>1</v>
      </c>
      <c r="J33" s="1">
        <f t="shared" si="1"/>
        <v>0</v>
      </c>
      <c r="K33" s="1">
        <f t="shared" si="2"/>
        <v>0</v>
      </c>
      <c r="L33" s="1">
        <v>77748</v>
      </c>
    </row>
    <row r="34" spans="1:12" ht="21" customHeight="1" x14ac:dyDescent="0.2">
      <c r="A34" s="1" t="s">
        <v>1178</v>
      </c>
      <c r="B34" s="1" t="s">
        <v>1253</v>
      </c>
      <c r="C34" s="1" t="s">
        <v>1254</v>
      </c>
      <c r="D34" s="1" t="s">
        <v>1255</v>
      </c>
      <c r="E34" s="1" t="s">
        <v>8</v>
      </c>
      <c r="F34" s="1" t="s">
        <v>1256</v>
      </c>
      <c r="G34" s="1" t="s">
        <v>372</v>
      </c>
      <c r="I34" s="1">
        <f t="shared" si="0"/>
        <v>1</v>
      </c>
      <c r="J34" s="1">
        <f t="shared" si="1"/>
        <v>0</v>
      </c>
      <c r="K34" s="1">
        <f t="shared" si="2"/>
        <v>0</v>
      </c>
      <c r="L34" s="1">
        <v>81799</v>
      </c>
    </row>
    <row r="35" spans="1:12" ht="21" customHeight="1" x14ac:dyDescent="0.2">
      <c r="A35" s="1" t="s">
        <v>666</v>
      </c>
      <c r="B35" s="1" t="s">
        <v>904</v>
      </c>
      <c r="C35" s="1" t="s">
        <v>905</v>
      </c>
      <c r="D35" s="1" t="s">
        <v>906</v>
      </c>
      <c r="E35" s="1" t="s">
        <v>8</v>
      </c>
      <c r="F35" s="1" t="s">
        <v>907</v>
      </c>
      <c r="G35" s="1" t="s">
        <v>26</v>
      </c>
      <c r="I35" s="1">
        <f t="shared" si="0"/>
        <v>1</v>
      </c>
      <c r="J35" s="1">
        <f t="shared" si="1"/>
        <v>0</v>
      </c>
      <c r="K35" s="1">
        <f t="shared" si="2"/>
        <v>0</v>
      </c>
      <c r="L35" s="1">
        <v>87926</v>
      </c>
    </row>
    <row r="36" spans="1:12" ht="21" customHeight="1" x14ac:dyDescent="0.2">
      <c r="A36" s="1" t="s">
        <v>666</v>
      </c>
      <c r="B36" s="1" t="s">
        <v>748</v>
      </c>
      <c r="C36" s="1" t="s">
        <v>749</v>
      </c>
      <c r="D36" s="1" t="s">
        <v>750</v>
      </c>
      <c r="E36" s="1" t="s">
        <v>8</v>
      </c>
      <c r="F36" s="1" t="s">
        <v>751</v>
      </c>
      <c r="G36" s="1" t="s">
        <v>26</v>
      </c>
      <c r="I36" s="1">
        <f t="shared" si="0"/>
        <v>1</v>
      </c>
      <c r="J36" s="1">
        <f t="shared" si="1"/>
        <v>0</v>
      </c>
      <c r="K36" s="1">
        <f t="shared" si="2"/>
        <v>0</v>
      </c>
      <c r="L36" s="1">
        <v>89359</v>
      </c>
    </row>
    <row r="37" spans="1:12" ht="21" hidden="1" customHeight="1" x14ac:dyDescent="0.2">
      <c r="A37" s="1" t="s">
        <v>666</v>
      </c>
      <c r="B37" s="1" t="s">
        <v>921</v>
      </c>
      <c r="C37" s="1" t="s">
        <v>922</v>
      </c>
      <c r="D37" s="1" t="s">
        <v>923</v>
      </c>
      <c r="E37" s="1" t="s">
        <v>9</v>
      </c>
      <c r="F37" s="1" t="s">
        <v>924</v>
      </c>
      <c r="G37" s="1" t="s">
        <v>21</v>
      </c>
      <c r="I37" s="1">
        <f t="shared" si="0"/>
        <v>0</v>
      </c>
      <c r="J37" s="1">
        <f t="shared" si="1"/>
        <v>1</v>
      </c>
      <c r="K37" s="1">
        <f t="shared" si="2"/>
        <v>0</v>
      </c>
      <c r="L37" s="1">
        <v>90212</v>
      </c>
    </row>
    <row r="38" spans="1:12" ht="21" hidden="1" customHeight="1" x14ac:dyDescent="0.2">
      <c r="A38" s="1" t="s">
        <v>11</v>
      </c>
      <c r="B38" s="1" t="s">
        <v>319</v>
      </c>
      <c r="C38" s="1" t="s">
        <v>320</v>
      </c>
      <c r="D38" s="1" t="s">
        <v>321</v>
      </c>
      <c r="E38" s="1" t="s">
        <v>10</v>
      </c>
      <c r="F38" s="1" t="s">
        <v>322</v>
      </c>
      <c r="G38" s="1" t="s">
        <v>21</v>
      </c>
      <c r="I38" s="1">
        <f t="shared" si="0"/>
        <v>0</v>
      </c>
      <c r="J38" s="1">
        <f t="shared" si="1"/>
        <v>0</v>
      </c>
      <c r="K38" s="1">
        <f t="shared" si="2"/>
        <v>1</v>
      </c>
      <c r="L38" s="1">
        <v>91647</v>
      </c>
    </row>
    <row r="39" spans="1:12" ht="21" customHeight="1" x14ac:dyDescent="0.2">
      <c r="A39" s="1" t="s">
        <v>11</v>
      </c>
      <c r="B39" s="1" t="s">
        <v>389</v>
      </c>
      <c r="C39" s="1" t="s">
        <v>390</v>
      </c>
      <c r="D39" s="1" t="s">
        <v>391</v>
      </c>
      <c r="E39" s="1" t="s">
        <v>8</v>
      </c>
      <c r="F39" s="1" t="s">
        <v>392</v>
      </c>
      <c r="G39" s="1" t="s">
        <v>80</v>
      </c>
      <c r="I39" s="1">
        <f t="shared" si="0"/>
        <v>1</v>
      </c>
      <c r="J39" s="1">
        <f t="shared" si="1"/>
        <v>0</v>
      </c>
      <c r="K39" s="1">
        <f t="shared" si="2"/>
        <v>0</v>
      </c>
      <c r="L39" s="1">
        <v>93505</v>
      </c>
    </row>
    <row r="40" spans="1:12" ht="21" hidden="1" customHeight="1" x14ac:dyDescent="0.2">
      <c r="A40" s="1" t="s">
        <v>1178</v>
      </c>
      <c r="B40" s="1" t="s">
        <v>1412</v>
      </c>
      <c r="C40" s="1" t="s">
        <v>1413</v>
      </c>
      <c r="D40" s="1" t="s">
        <v>1414</v>
      </c>
      <c r="E40" s="1" t="s">
        <v>9</v>
      </c>
      <c r="F40" s="1" t="s">
        <v>1415</v>
      </c>
      <c r="G40" s="1" t="s">
        <v>126</v>
      </c>
      <c r="I40" s="1">
        <f t="shared" si="0"/>
        <v>0</v>
      </c>
      <c r="J40" s="1">
        <f t="shared" si="1"/>
        <v>1</v>
      </c>
      <c r="K40" s="1">
        <f t="shared" si="2"/>
        <v>0</v>
      </c>
      <c r="L40" s="1">
        <v>94832</v>
      </c>
    </row>
    <row r="41" spans="1:12" ht="21" customHeight="1" x14ac:dyDescent="0.2">
      <c r="A41" s="1" t="s">
        <v>666</v>
      </c>
      <c r="B41" s="1" t="s">
        <v>851</v>
      </c>
      <c r="C41" s="1" t="s">
        <v>852</v>
      </c>
      <c r="D41" s="1" t="s">
        <v>853</v>
      </c>
      <c r="E41" s="1" t="s">
        <v>8</v>
      </c>
      <c r="F41" s="1" t="s">
        <v>854</v>
      </c>
      <c r="G41" s="1" t="s">
        <v>661</v>
      </c>
      <c r="I41" s="1">
        <f t="shared" si="0"/>
        <v>1</v>
      </c>
      <c r="J41" s="1">
        <f t="shared" si="1"/>
        <v>0</v>
      </c>
      <c r="K41" s="1">
        <f t="shared" si="2"/>
        <v>0</v>
      </c>
      <c r="L41" s="1">
        <v>96956</v>
      </c>
    </row>
    <row r="42" spans="1:12" ht="21" customHeight="1" x14ac:dyDescent="0.2">
      <c r="A42" s="1" t="s">
        <v>11</v>
      </c>
      <c r="B42" s="1" t="s">
        <v>246</v>
      </c>
      <c r="C42" s="1" t="s">
        <v>247</v>
      </c>
      <c r="D42" s="1" t="s">
        <v>248</v>
      </c>
      <c r="E42" s="1" t="s">
        <v>8</v>
      </c>
      <c r="F42" s="1" t="s">
        <v>249</v>
      </c>
      <c r="G42" s="1" t="s">
        <v>250</v>
      </c>
      <c r="I42" s="1">
        <f t="shared" si="0"/>
        <v>1</v>
      </c>
      <c r="J42" s="1">
        <f t="shared" si="1"/>
        <v>0</v>
      </c>
      <c r="K42" s="1">
        <f t="shared" si="2"/>
        <v>0</v>
      </c>
      <c r="L42" s="1">
        <v>101391</v>
      </c>
    </row>
    <row r="43" spans="1:12" ht="21" customHeight="1" x14ac:dyDescent="0.2">
      <c r="A43" s="1" t="s">
        <v>415</v>
      </c>
      <c r="B43" s="1" t="s">
        <v>509</v>
      </c>
      <c r="C43" s="1" t="s">
        <v>510</v>
      </c>
      <c r="D43" s="1" t="s">
        <v>511</v>
      </c>
      <c r="E43" s="1" t="s">
        <v>8</v>
      </c>
      <c r="F43" s="1" t="s">
        <v>512</v>
      </c>
      <c r="G43" s="1" t="s">
        <v>513</v>
      </c>
      <c r="I43" s="1">
        <f t="shared" si="0"/>
        <v>1</v>
      </c>
      <c r="J43" s="1">
        <f t="shared" si="1"/>
        <v>0</v>
      </c>
      <c r="K43" s="1">
        <f t="shared" si="2"/>
        <v>0</v>
      </c>
      <c r="L43" s="1">
        <v>102305</v>
      </c>
    </row>
    <row r="44" spans="1:12" ht="21" customHeight="1" x14ac:dyDescent="0.2">
      <c r="A44" s="1" t="s">
        <v>1178</v>
      </c>
      <c r="B44" s="1" t="s">
        <v>1396</v>
      </c>
      <c r="C44" s="1" t="s">
        <v>1397</v>
      </c>
      <c r="D44" s="1" t="s">
        <v>1398</v>
      </c>
      <c r="E44" s="1" t="s">
        <v>8</v>
      </c>
      <c r="F44" s="1" t="s">
        <v>1399</v>
      </c>
      <c r="G44" s="1" t="s">
        <v>26</v>
      </c>
      <c r="I44" s="1">
        <f t="shared" si="0"/>
        <v>1</v>
      </c>
      <c r="J44" s="1">
        <f t="shared" si="1"/>
        <v>0</v>
      </c>
      <c r="K44" s="1">
        <f t="shared" si="2"/>
        <v>0</v>
      </c>
      <c r="L44" s="1">
        <v>103696</v>
      </c>
    </row>
    <row r="45" spans="1:12" ht="21" customHeight="1" x14ac:dyDescent="0.2">
      <c r="A45" s="1" t="s">
        <v>1178</v>
      </c>
      <c r="B45" s="1" t="s">
        <v>1328</v>
      </c>
      <c r="C45" s="1" t="s">
        <v>1329</v>
      </c>
      <c r="D45" s="1" t="s">
        <v>1330</v>
      </c>
      <c r="E45" s="1" t="s">
        <v>8</v>
      </c>
      <c r="F45" s="1" t="s">
        <v>1331</v>
      </c>
      <c r="G45" s="1" t="s">
        <v>26</v>
      </c>
      <c r="I45" s="1">
        <f t="shared" si="0"/>
        <v>1</v>
      </c>
      <c r="J45" s="1">
        <f t="shared" si="1"/>
        <v>0</v>
      </c>
      <c r="K45" s="1">
        <f t="shared" si="2"/>
        <v>0</v>
      </c>
      <c r="L45" s="1">
        <v>103816</v>
      </c>
    </row>
    <row r="46" spans="1:12" ht="21" hidden="1" customHeight="1" x14ac:dyDescent="0.2">
      <c r="A46" s="1" t="s">
        <v>666</v>
      </c>
      <c r="B46" s="1" t="s">
        <v>941</v>
      </c>
      <c r="C46" s="1" t="s">
        <v>942</v>
      </c>
      <c r="D46" s="1" t="s">
        <v>943</v>
      </c>
      <c r="E46" s="1" t="s">
        <v>9</v>
      </c>
      <c r="F46" s="1" t="s">
        <v>944</v>
      </c>
      <c r="G46" s="1" t="s">
        <v>21</v>
      </c>
      <c r="I46" s="1">
        <f t="shared" si="0"/>
        <v>0</v>
      </c>
      <c r="J46" s="1">
        <f t="shared" si="1"/>
        <v>1</v>
      </c>
      <c r="K46" s="1">
        <f t="shared" si="2"/>
        <v>0</v>
      </c>
      <c r="L46" s="1">
        <v>105761</v>
      </c>
    </row>
    <row r="47" spans="1:12" ht="21" hidden="1" customHeight="1" x14ac:dyDescent="0.2">
      <c r="A47" s="1" t="s">
        <v>666</v>
      </c>
      <c r="B47" s="1" t="s">
        <v>1028</v>
      </c>
      <c r="C47" s="1" t="s">
        <v>1029</v>
      </c>
      <c r="D47" s="1" t="s">
        <v>1030</v>
      </c>
      <c r="E47" s="1" t="s">
        <v>9</v>
      </c>
      <c r="F47" s="1" t="s">
        <v>1031</v>
      </c>
      <c r="G47" s="1" t="s">
        <v>21</v>
      </c>
      <c r="I47" s="1">
        <f t="shared" si="0"/>
        <v>0</v>
      </c>
      <c r="J47" s="1">
        <f t="shared" si="1"/>
        <v>1</v>
      </c>
      <c r="K47" s="1">
        <f t="shared" si="2"/>
        <v>0</v>
      </c>
      <c r="L47" s="1">
        <v>106589</v>
      </c>
    </row>
    <row r="48" spans="1:12" ht="21" hidden="1" customHeight="1" x14ac:dyDescent="0.2">
      <c r="A48" s="1" t="s">
        <v>11</v>
      </c>
      <c r="B48" s="1" t="s">
        <v>352</v>
      </c>
      <c r="C48" s="1" t="s">
        <v>353</v>
      </c>
      <c r="D48" s="1" t="s">
        <v>354</v>
      </c>
      <c r="E48" s="1" t="s">
        <v>9</v>
      </c>
      <c r="F48" s="1" t="s">
        <v>355</v>
      </c>
      <c r="G48" s="1" t="s">
        <v>126</v>
      </c>
      <c r="I48" s="1">
        <f t="shared" si="0"/>
        <v>0</v>
      </c>
      <c r="J48" s="1">
        <f t="shared" si="1"/>
        <v>1</v>
      </c>
      <c r="K48" s="1">
        <f t="shared" si="2"/>
        <v>0</v>
      </c>
      <c r="L48" s="1">
        <v>110615</v>
      </c>
    </row>
    <row r="49" spans="1:12" ht="21" customHeight="1" x14ac:dyDescent="0.2">
      <c r="A49" s="1" t="s">
        <v>1178</v>
      </c>
      <c r="B49" s="1" t="s">
        <v>1400</v>
      </c>
      <c r="C49" s="1" t="s">
        <v>1401</v>
      </c>
      <c r="D49" s="1" t="s">
        <v>1402</v>
      </c>
      <c r="E49" s="1" t="s">
        <v>8</v>
      </c>
      <c r="F49" s="1" t="s">
        <v>1403</v>
      </c>
      <c r="G49" s="1" t="s">
        <v>75</v>
      </c>
      <c r="I49" s="1">
        <f t="shared" si="0"/>
        <v>1</v>
      </c>
      <c r="J49" s="1">
        <f t="shared" si="1"/>
        <v>0</v>
      </c>
      <c r="K49" s="1">
        <f t="shared" si="2"/>
        <v>0</v>
      </c>
      <c r="L49" s="1">
        <v>111241</v>
      </c>
    </row>
    <row r="50" spans="1:12" ht="21" customHeight="1" x14ac:dyDescent="0.2">
      <c r="A50" s="1" t="s">
        <v>11</v>
      </c>
      <c r="B50" s="1" t="s">
        <v>187</v>
      </c>
      <c r="C50" s="1" t="s">
        <v>188</v>
      </c>
      <c r="D50" s="1" t="s">
        <v>189</v>
      </c>
      <c r="E50" s="1" t="s">
        <v>8</v>
      </c>
      <c r="F50" s="1" t="s">
        <v>190</v>
      </c>
      <c r="G50" s="1" t="s">
        <v>191</v>
      </c>
      <c r="I50" s="1">
        <f t="shared" si="0"/>
        <v>1</v>
      </c>
      <c r="J50" s="1">
        <f t="shared" si="1"/>
        <v>0</v>
      </c>
      <c r="K50" s="1">
        <f t="shared" si="2"/>
        <v>0</v>
      </c>
      <c r="L50" s="1">
        <v>116214</v>
      </c>
    </row>
    <row r="51" spans="1:12" ht="21" hidden="1" customHeight="1" x14ac:dyDescent="0.2">
      <c r="A51" s="1" t="s">
        <v>666</v>
      </c>
      <c r="B51" s="1" t="s">
        <v>949</v>
      </c>
      <c r="C51" s="1" t="s">
        <v>950</v>
      </c>
      <c r="D51" s="1" t="s">
        <v>951</v>
      </c>
      <c r="E51" s="1" t="s">
        <v>10</v>
      </c>
      <c r="F51" s="1" t="s">
        <v>952</v>
      </c>
      <c r="G51" s="1" t="s">
        <v>953</v>
      </c>
      <c r="I51" s="1">
        <f t="shared" si="0"/>
        <v>0</v>
      </c>
      <c r="J51" s="1">
        <f t="shared" si="1"/>
        <v>0</v>
      </c>
      <c r="K51" s="1">
        <f t="shared" si="2"/>
        <v>1</v>
      </c>
      <c r="L51" s="1">
        <v>118308</v>
      </c>
    </row>
    <row r="52" spans="1:12" ht="21" customHeight="1" x14ac:dyDescent="0.2">
      <c r="A52" s="1" t="s">
        <v>1178</v>
      </c>
      <c r="B52" s="1" t="s">
        <v>1216</v>
      </c>
      <c r="C52" s="1" t="s">
        <v>1217</v>
      </c>
      <c r="D52" s="1" t="s">
        <v>1218</v>
      </c>
      <c r="E52" s="1" t="s">
        <v>8</v>
      </c>
      <c r="F52" s="1" t="s">
        <v>1219</v>
      </c>
      <c r="G52" s="1" t="s">
        <v>26</v>
      </c>
      <c r="I52" s="1">
        <f t="shared" si="0"/>
        <v>1</v>
      </c>
      <c r="J52" s="1">
        <f t="shared" si="1"/>
        <v>0</v>
      </c>
      <c r="K52" s="1">
        <f t="shared" si="2"/>
        <v>0</v>
      </c>
      <c r="L52" s="1">
        <v>120502</v>
      </c>
    </row>
    <row r="53" spans="1:12" ht="21" customHeight="1" x14ac:dyDescent="0.2">
      <c r="A53" s="1" t="s">
        <v>1178</v>
      </c>
      <c r="B53" s="1" t="s">
        <v>1228</v>
      </c>
      <c r="C53" s="1" t="s">
        <v>1229</v>
      </c>
      <c r="D53" s="1" t="s">
        <v>1230</v>
      </c>
      <c r="E53" s="1" t="s">
        <v>8</v>
      </c>
      <c r="F53" s="1" t="s">
        <v>1231</v>
      </c>
      <c r="G53" s="1" t="s">
        <v>1232</v>
      </c>
      <c r="I53" s="1">
        <f t="shared" si="0"/>
        <v>1</v>
      </c>
      <c r="J53" s="1">
        <f t="shared" si="1"/>
        <v>0</v>
      </c>
      <c r="K53" s="1">
        <f t="shared" si="2"/>
        <v>0</v>
      </c>
      <c r="L53" s="1">
        <v>124036</v>
      </c>
    </row>
    <row r="54" spans="1:12" ht="21" customHeight="1" x14ac:dyDescent="0.2">
      <c r="A54" s="1" t="s">
        <v>11</v>
      </c>
      <c r="B54" s="1" t="s">
        <v>66</v>
      </c>
      <c r="C54" s="1" t="s">
        <v>67</v>
      </c>
      <c r="D54" s="1" t="s">
        <v>68</v>
      </c>
      <c r="E54" s="1" t="s">
        <v>8</v>
      </c>
      <c r="F54" s="1" t="s">
        <v>69</v>
      </c>
      <c r="G54" s="1" t="s">
        <v>70</v>
      </c>
      <c r="I54" s="1">
        <f t="shared" si="0"/>
        <v>1</v>
      </c>
      <c r="J54" s="1">
        <f t="shared" si="1"/>
        <v>0</v>
      </c>
      <c r="K54" s="1">
        <f t="shared" si="2"/>
        <v>0</v>
      </c>
      <c r="L54" s="1">
        <v>124334</v>
      </c>
    </row>
    <row r="55" spans="1:12" ht="21" customHeight="1" x14ac:dyDescent="0.2">
      <c r="A55" s="1" t="s">
        <v>666</v>
      </c>
      <c r="B55" s="1" t="s">
        <v>687</v>
      </c>
      <c r="C55" s="1" t="s">
        <v>688</v>
      </c>
      <c r="D55" s="1" t="s">
        <v>689</v>
      </c>
      <c r="E55" s="1" t="s">
        <v>8</v>
      </c>
      <c r="F55" s="1" t="s">
        <v>690</v>
      </c>
      <c r="G55" s="1" t="s">
        <v>227</v>
      </c>
      <c r="I55" s="1">
        <f t="shared" si="0"/>
        <v>1</v>
      </c>
      <c r="J55" s="1">
        <f t="shared" si="1"/>
        <v>0</v>
      </c>
      <c r="K55" s="1">
        <f t="shared" si="2"/>
        <v>0</v>
      </c>
      <c r="L55" s="1">
        <v>124469</v>
      </c>
    </row>
    <row r="56" spans="1:12" ht="21" hidden="1" customHeight="1" x14ac:dyDescent="0.2">
      <c r="A56" s="1" t="s">
        <v>666</v>
      </c>
      <c r="B56" s="1" t="s">
        <v>954</v>
      </c>
      <c r="C56" s="1" t="s">
        <v>955</v>
      </c>
      <c r="D56" s="1" t="s">
        <v>956</v>
      </c>
      <c r="E56" s="1" t="s">
        <v>10</v>
      </c>
      <c r="F56" s="1" t="s">
        <v>957</v>
      </c>
      <c r="G56" s="1" t="s">
        <v>31</v>
      </c>
      <c r="I56" s="1">
        <f t="shared" si="0"/>
        <v>0</v>
      </c>
      <c r="J56" s="1">
        <f t="shared" si="1"/>
        <v>0</v>
      </c>
      <c r="K56" s="1">
        <f t="shared" si="2"/>
        <v>1</v>
      </c>
      <c r="L56" s="1">
        <v>125356</v>
      </c>
    </row>
    <row r="57" spans="1:12" ht="21" hidden="1" customHeight="1" x14ac:dyDescent="0.2">
      <c r="A57" s="1" t="s">
        <v>666</v>
      </c>
      <c r="B57" s="1" t="s">
        <v>875</v>
      </c>
      <c r="C57" s="1" t="s">
        <v>876</v>
      </c>
      <c r="D57" s="1" t="s">
        <v>877</v>
      </c>
      <c r="E57" s="1" t="s">
        <v>10</v>
      </c>
      <c r="F57" s="1" t="s">
        <v>878</v>
      </c>
      <c r="G57" s="1" t="s">
        <v>820</v>
      </c>
      <c r="I57" s="1">
        <f t="shared" si="0"/>
        <v>0</v>
      </c>
      <c r="J57" s="1">
        <f t="shared" si="1"/>
        <v>0</v>
      </c>
      <c r="K57" s="1">
        <f t="shared" si="2"/>
        <v>1</v>
      </c>
      <c r="L57" s="1">
        <v>129178</v>
      </c>
    </row>
    <row r="58" spans="1:12" ht="21" customHeight="1" x14ac:dyDescent="0.2">
      <c r="A58" s="1" t="s">
        <v>1178</v>
      </c>
      <c r="B58" s="1" t="s">
        <v>1261</v>
      </c>
      <c r="C58" s="1" t="s">
        <v>1262</v>
      </c>
      <c r="D58" s="1" t="s">
        <v>1263</v>
      </c>
      <c r="E58" s="1" t="s">
        <v>8</v>
      </c>
      <c r="F58" s="1" t="s">
        <v>1264</v>
      </c>
      <c r="G58" s="1" t="s">
        <v>887</v>
      </c>
      <c r="I58" s="1">
        <f t="shared" si="0"/>
        <v>1</v>
      </c>
      <c r="J58" s="1">
        <f t="shared" si="1"/>
        <v>0</v>
      </c>
      <c r="K58" s="1">
        <f t="shared" si="2"/>
        <v>0</v>
      </c>
      <c r="L58" s="1">
        <v>129566</v>
      </c>
    </row>
    <row r="59" spans="1:12" ht="21" hidden="1" customHeight="1" x14ac:dyDescent="0.2">
      <c r="A59" s="1" t="s">
        <v>666</v>
      </c>
      <c r="B59" s="1" t="s">
        <v>715</v>
      </c>
      <c r="C59" s="1" t="s">
        <v>716</v>
      </c>
      <c r="D59" s="1" t="s">
        <v>717</v>
      </c>
      <c r="E59" s="1" t="s">
        <v>10</v>
      </c>
      <c r="F59" s="1" t="s">
        <v>718</v>
      </c>
      <c r="G59" s="1" t="s">
        <v>31</v>
      </c>
      <c r="I59" s="1">
        <f t="shared" si="0"/>
        <v>0</v>
      </c>
      <c r="J59" s="1">
        <f t="shared" si="1"/>
        <v>0</v>
      </c>
      <c r="K59" s="1">
        <f t="shared" si="2"/>
        <v>1</v>
      </c>
      <c r="L59" s="1">
        <v>130137</v>
      </c>
    </row>
    <row r="60" spans="1:12" ht="21" customHeight="1" x14ac:dyDescent="0.2">
      <c r="A60" s="1" t="s">
        <v>11</v>
      </c>
      <c r="B60" s="1" t="s">
        <v>164</v>
      </c>
      <c r="C60" s="1" t="s">
        <v>165</v>
      </c>
      <c r="D60" s="1" t="s">
        <v>166</v>
      </c>
      <c r="E60" s="1" t="s">
        <v>8</v>
      </c>
      <c r="F60" s="1" t="s">
        <v>167</v>
      </c>
      <c r="G60" s="1" t="s">
        <v>168</v>
      </c>
      <c r="I60" s="1">
        <f t="shared" si="0"/>
        <v>1</v>
      </c>
      <c r="J60" s="1">
        <f t="shared" si="1"/>
        <v>0</v>
      </c>
      <c r="K60" s="1">
        <f t="shared" si="2"/>
        <v>0</v>
      </c>
      <c r="L60" s="1">
        <v>130498</v>
      </c>
    </row>
    <row r="61" spans="1:12" ht="21" hidden="1" customHeight="1" x14ac:dyDescent="0.2">
      <c r="A61" s="1" t="s">
        <v>666</v>
      </c>
      <c r="B61" s="1" t="s">
        <v>1004</v>
      </c>
      <c r="C61" s="1" t="s">
        <v>1005</v>
      </c>
      <c r="D61" s="1" t="s">
        <v>1006</v>
      </c>
      <c r="E61" s="1" t="s">
        <v>10</v>
      </c>
      <c r="F61" s="1" t="s">
        <v>1007</v>
      </c>
      <c r="G61" s="1" t="s">
        <v>31</v>
      </c>
      <c r="I61" s="1">
        <f t="shared" si="0"/>
        <v>0</v>
      </c>
      <c r="J61" s="1">
        <f t="shared" si="1"/>
        <v>0</v>
      </c>
      <c r="K61" s="1">
        <f t="shared" si="2"/>
        <v>1</v>
      </c>
      <c r="L61" s="1">
        <v>130865</v>
      </c>
    </row>
    <row r="62" spans="1:12" ht="21" customHeight="1" x14ac:dyDescent="0.2">
      <c r="A62" s="1" t="s">
        <v>1178</v>
      </c>
      <c r="B62" s="1" t="s">
        <v>1345</v>
      </c>
      <c r="C62" s="1" t="s">
        <v>1346</v>
      </c>
      <c r="D62" s="1" t="s">
        <v>1347</v>
      </c>
      <c r="E62" s="1" t="s">
        <v>8</v>
      </c>
      <c r="F62" s="1" t="s">
        <v>1348</v>
      </c>
      <c r="G62" s="1" t="s">
        <v>999</v>
      </c>
      <c r="I62" s="1">
        <f t="shared" si="0"/>
        <v>1</v>
      </c>
      <c r="J62" s="1">
        <f t="shared" si="1"/>
        <v>0</v>
      </c>
      <c r="K62" s="1">
        <f t="shared" si="2"/>
        <v>0</v>
      </c>
      <c r="L62" s="1">
        <v>134383</v>
      </c>
    </row>
    <row r="63" spans="1:12" ht="21" customHeight="1" x14ac:dyDescent="0.2">
      <c r="A63" s="1" t="s">
        <v>11</v>
      </c>
      <c r="B63" s="1" t="s">
        <v>393</v>
      </c>
      <c r="C63" s="1" t="s">
        <v>394</v>
      </c>
      <c r="D63" s="1" t="s">
        <v>395</v>
      </c>
      <c r="E63" s="1" t="s">
        <v>8</v>
      </c>
      <c r="F63" s="1" t="s">
        <v>396</v>
      </c>
      <c r="G63" s="1" t="s">
        <v>108</v>
      </c>
      <c r="I63" s="1">
        <f t="shared" si="0"/>
        <v>1</v>
      </c>
      <c r="J63" s="1">
        <f t="shared" si="1"/>
        <v>0</v>
      </c>
      <c r="K63" s="1">
        <f t="shared" si="2"/>
        <v>0</v>
      </c>
      <c r="L63" s="1">
        <v>142791</v>
      </c>
    </row>
    <row r="64" spans="1:12" ht="21" customHeight="1" x14ac:dyDescent="0.2">
      <c r="A64" s="1" t="s">
        <v>666</v>
      </c>
      <c r="B64" s="1" t="s">
        <v>1091</v>
      </c>
      <c r="C64" s="1" t="s">
        <v>1092</v>
      </c>
      <c r="D64" s="1" t="s">
        <v>1093</v>
      </c>
      <c r="E64" s="1" t="s">
        <v>8</v>
      </c>
      <c r="F64" s="1" t="s">
        <v>1094</v>
      </c>
      <c r="G64" s="1" t="s">
        <v>150</v>
      </c>
      <c r="I64" s="1">
        <f t="shared" si="0"/>
        <v>1</v>
      </c>
      <c r="J64" s="1">
        <f t="shared" si="1"/>
        <v>0</v>
      </c>
      <c r="K64" s="1">
        <f t="shared" si="2"/>
        <v>0</v>
      </c>
      <c r="L64" s="1">
        <v>144025</v>
      </c>
    </row>
    <row r="65" spans="1:12" ht="21" hidden="1" customHeight="1" x14ac:dyDescent="0.2">
      <c r="A65" s="1" t="s">
        <v>11</v>
      </c>
      <c r="B65" s="1" t="s">
        <v>336</v>
      </c>
      <c r="C65" s="1" t="s">
        <v>337</v>
      </c>
      <c r="D65" s="1" t="s">
        <v>338</v>
      </c>
      <c r="E65" s="1" t="s">
        <v>10</v>
      </c>
      <c r="F65" s="1" t="s">
        <v>339</v>
      </c>
      <c r="G65" s="1" t="s">
        <v>31</v>
      </c>
      <c r="I65" s="1">
        <f t="shared" si="0"/>
        <v>0</v>
      </c>
      <c r="J65" s="1">
        <f t="shared" si="1"/>
        <v>0</v>
      </c>
      <c r="K65" s="1">
        <f t="shared" si="2"/>
        <v>1</v>
      </c>
      <c r="L65" s="1">
        <v>144571</v>
      </c>
    </row>
    <row r="66" spans="1:12" ht="21" hidden="1" customHeight="1" x14ac:dyDescent="0.2">
      <c r="A66" s="1" t="s">
        <v>11</v>
      </c>
      <c r="B66" s="1" t="s">
        <v>57</v>
      </c>
      <c r="C66" s="1" t="s">
        <v>58</v>
      </c>
      <c r="D66" s="1" t="s">
        <v>59</v>
      </c>
      <c r="E66" s="1" t="s">
        <v>10</v>
      </c>
      <c r="F66" s="1" t="s">
        <v>60</v>
      </c>
      <c r="G66" s="1" t="s">
        <v>31</v>
      </c>
      <c r="I66" s="1">
        <f t="shared" si="0"/>
        <v>0</v>
      </c>
      <c r="J66" s="1">
        <f t="shared" si="1"/>
        <v>0</v>
      </c>
      <c r="K66" s="1">
        <f t="shared" si="2"/>
        <v>1</v>
      </c>
      <c r="L66" s="1">
        <v>149244</v>
      </c>
    </row>
    <row r="67" spans="1:12" ht="21" customHeight="1" x14ac:dyDescent="0.2">
      <c r="A67" s="1" t="s">
        <v>666</v>
      </c>
      <c r="B67" s="1" t="s">
        <v>879</v>
      </c>
      <c r="C67" s="1" t="s">
        <v>880</v>
      </c>
      <c r="D67" s="1" t="s">
        <v>881</v>
      </c>
      <c r="E67" s="1" t="s">
        <v>8</v>
      </c>
      <c r="F67" s="1" t="s">
        <v>882</v>
      </c>
      <c r="G67" s="1" t="s">
        <v>453</v>
      </c>
      <c r="I67" s="1">
        <f t="shared" si="0"/>
        <v>1</v>
      </c>
      <c r="J67" s="1">
        <f t="shared" si="1"/>
        <v>0</v>
      </c>
      <c r="K67" s="1">
        <f t="shared" si="2"/>
        <v>0</v>
      </c>
      <c r="L67" s="1">
        <v>153202</v>
      </c>
    </row>
    <row r="68" spans="1:12" ht="21" customHeight="1" x14ac:dyDescent="0.2">
      <c r="A68" s="1" t="s">
        <v>666</v>
      </c>
      <c r="B68" s="1" t="s">
        <v>691</v>
      </c>
      <c r="C68" s="1" t="s">
        <v>692</v>
      </c>
      <c r="D68" s="1" t="s">
        <v>693</v>
      </c>
      <c r="E68" s="1" t="s">
        <v>8</v>
      </c>
      <c r="F68" s="1" t="s">
        <v>694</v>
      </c>
      <c r="G68" s="1" t="s">
        <v>26</v>
      </c>
      <c r="I68" s="1">
        <f t="shared" si="0"/>
        <v>1</v>
      </c>
      <c r="J68" s="1">
        <f t="shared" si="1"/>
        <v>0</v>
      </c>
      <c r="K68" s="1">
        <f t="shared" si="2"/>
        <v>0</v>
      </c>
      <c r="L68" s="1">
        <v>155189</v>
      </c>
    </row>
    <row r="69" spans="1:12" ht="21" customHeight="1" x14ac:dyDescent="0.2">
      <c r="A69" s="1" t="s">
        <v>666</v>
      </c>
      <c r="B69" s="1" t="s">
        <v>1086</v>
      </c>
      <c r="C69" s="1" t="s">
        <v>1087</v>
      </c>
      <c r="D69" s="1" t="s">
        <v>1088</v>
      </c>
      <c r="E69" s="1" t="s">
        <v>8</v>
      </c>
      <c r="F69" s="1" t="s">
        <v>1089</v>
      </c>
      <c r="G69" s="1" t="s">
        <v>1090</v>
      </c>
      <c r="I69" s="1">
        <f t="shared" si="0"/>
        <v>1</v>
      </c>
      <c r="J69" s="1">
        <f t="shared" si="1"/>
        <v>0</v>
      </c>
      <c r="K69" s="1">
        <f t="shared" si="2"/>
        <v>0</v>
      </c>
      <c r="L69" s="1">
        <v>157981</v>
      </c>
    </row>
    <row r="70" spans="1:12" ht="21" hidden="1" customHeight="1" x14ac:dyDescent="0.2">
      <c r="A70" s="1" t="s">
        <v>666</v>
      </c>
      <c r="B70" s="1" t="s">
        <v>1061</v>
      </c>
      <c r="C70" s="1" t="s">
        <v>1062</v>
      </c>
      <c r="D70" s="1" t="s">
        <v>1063</v>
      </c>
      <c r="E70" s="1" t="s">
        <v>9</v>
      </c>
      <c r="F70" s="1" t="s">
        <v>1064</v>
      </c>
      <c r="G70" s="1" t="s">
        <v>21</v>
      </c>
      <c r="I70" s="1">
        <f t="shared" si="0"/>
        <v>0</v>
      </c>
      <c r="J70" s="1">
        <f t="shared" si="1"/>
        <v>1</v>
      </c>
      <c r="K70" s="1">
        <f t="shared" si="2"/>
        <v>0</v>
      </c>
      <c r="L70" s="1">
        <v>159019</v>
      </c>
    </row>
    <row r="71" spans="1:12" ht="21" hidden="1" customHeight="1" x14ac:dyDescent="0.2">
      <c r="A71" s="1" t="s">
        <v>666</v>
      </c>
      <c r="B71" s="1" t="s">
        <v>773</v>
      </c>
      <c r="C71" s="1" t="s">
        <v>774</v>
      </c>
      <c r="D71" s="1" t="s">
        <v>775</v>
      </c>
      <c r="E71" s="1" t="s">
        <v>10</v>
      </c>
      <c r="F71" s="1" t="s">
        <v>776</v>
      </c>
      <c r="G71" s="1" t="s">
        <v>31</v>
      </c>
      <c r="I71" s="1">
        <f t="shared" si="0"/>
        <v>0</v>
      </c>
      <c r="J71" s="1">
        <f t="shared" si="1"/>
        <v>0</v>
      </c>
      <c r="K71" s="1">
        <f t="shared" si="2"/>
        <v>1</v>
      </c>
      <c r="L71" s="1">
        <v>160568</v>
      </c>
    </row>
    <row r="72" spans="1:12" ht="21" hidden="1" customHeight="1" x14ac:dyDescent="0.2">
      <c r="A72" s="1" t="s">
        <v>415</v>
      </c>
      <c r="B72" s="1" t="s">
        <v>492</v>
      </c>
      <c r="C72" s="1" t="s">
        <v>493</v>
      </c>
      <c r="D72" s="1" t="s">
        <v>494</v>
      </c>
      <c r="E72" s="1" t="s">
        <v>9</v>
      </c>
      <c r="F72" s="1" t="s">
        <v>495</v>
      </c>
      <c r="G72" s="1" t="s">
        <v>21</v>
      </c>
      <c r="I72" s="1">
        <f t="shared" si="0"/>
        <v>0</v>
      </c>
      <c r="J72" s="1">
        <f t="shared" si="1"/>
        <v>1</v>
      </c>
      <c r="K72" s="1">
        <f t="shared" si="2"/>
        <v>0</v>
      </c>
      <c r="L72" s="1">
        <v>166169</v>
      </c>
    </row>
    <row r="73" spans="1:12" ht="21" hidden="1" customHeight="1" x14ac:dyDescent="0.2">
      <c r="A73" s="1" t="s">
        <v>666</v>
      </c>
      <c r="B73" s="1" t="s">
        <v>1052</v>
      </c>
      <c r="C73" s="1" t="s">
        <v>1053</v>
      </c>
      <c r="D73" s="1" t="s">
        <v>1054</v>
      </c>
      <c r="E73" s="1" t="s">
        <v>10</v>
      </c>
      <c r="F73" s="1" t="s">
        <v>1055</v>
      </c>
      <c r="G73" s="1" t="s">
        <v>80</v>
      </c>
      <c r="I73" s="1">
        <f t="shared" si="0"/>
        <v>0</v>
      </c>
      <c r="J73" s="1">
        <f t="shared" si="1"/>
        <v>0</v>
      </c>
      <c r="K73" s="1">
        <f t="shared" si="2"/>
        <v>1</v>
      </c>
      <c r="L73" s="1">
        <v>169184</v>
      </c>
    </row>
    <row r="74" spans="1:12" ht="21" hidden="1" customHeight="1" x14ac:dyDescent="0.2">
      <c r="A74" s="1" t="s">
        <v>1178</v>
      </c>
      <c r="B74" s="1" t="s">
        <v>1220</v>
      </c>
      <c r="C74" s="1" t="s">
        <v>1221</v>
      </c>
      <c r="D74" s="1" t="s">
        <v>1222</v>
      </c>
      <c r="E74" s="1" t="s">
        <v>10</v>
      </c>
      <c r="F74" s="1" t="s">
        <v>1223</v>
      </c>
      <c r="G74" s="1" t="s">
        <v>21</v>
      </c>
      <c r="I74" s="1">
        <f t="shared" si="0"/>
        <v>0</v>
      </c>
      <c r="J74" s="1">
        <f t="shared" si="1"/>
        <v>0</v>
      </c>
      <c r="K74" s="1">
        <f t="shared" si="2"/>
        <v>1</v>
      </c>
      <c r="L74" s="1">
        <v>170474</v>
      </c>
    </row>
    <row r="75" spans="1:12" ht="21" customHeight="1" x14ac:dyDescent="0.2">
      <c r="A75" s="1" t="s">
        <v>1178</v>
      </c>
      <c r="B75" s="1" t="s">
        <v>1376</v>
      </c>
      <c r="C75" s="1" t="s">
        <v>1377</v>
      </c>
      <c r="D75" s="1" t="s">
        <v>1378</v>
      </c>
      <c r="E75" s="1" t="s">
        <v>8</v>
      </c>
      <c r="F75" s="1" t="s">
        <v>1379</v>
      </c>
      <c r="G75" s="1" t="s">
        <v>26</v>
      </c>
      <c r="I75" s="1">
        <f t="shared" si="0"/>
        <v>1</v>
      </c>
      <c r="J75" s="1">
        <f t="shared" si="1"/>
        <v>0</v>
      </c>
      <c r="K75" s="1">
        <f t="shared" si="2"/>
        <v>0</v>
      </c>
      <c r="L75" s="1">
        <v>171776</v>
      </c>
    </row>
    <row r="76" spans="1:12" ht="21" customHeight="1" x14ac:dyDescent="0.2">
      <c r="A76" s="1" t="s">
        <v>1178</v>
      </c>
      <c r="B76" s="1" t="s">
        <v>1282</v>
      </c>
      <c r="C76" s="1" t="s">
        <v>1283</v>
      </c>
      <c r="D76" s="1" t="s">
        <v>1284</v>
      </c>
      <c r="E76" s="1" t="s">
        <v>8</v>
      </c>
      <c r="F76" s="1" t="s">
        <v>1285</v>
      </c>
      <c r="G76" s="1" t="s">
        <v>1286</v>
      </c>
      <c r="I76" s="1">
        <f t="shared" si="0"/>
        <v>1</v>
      </c>
      <c r="J76" s="1">
        <f t="shared" si="1"/>
        <v>0</v>
      </c>
      <c r="K76" s="1">
        <f t="shared" si="2"/>
        <v>0</v>
      </c>
      <c r="L76" s="1">
        <v>178345</v>
      </c>
    </row>
    <row r="77" spans="1:12" ht="21" hidden="1" customHeight="1" x14ac:dyDescent="0.2">
      <c r="A77" s="1" t="s">
        <v>666</v>
      </c>
      <c r="B77" s="1" t="s">
        <v>1153</v>
      </c>
      <c r="C77" s="1" t="s">
        <v>1154</v>
      </c>
      <c r="D77" s="1" t="s">
        <v>1155</v>
      </c>
      <c r="E77" s="1" t="s">
        <v>9</v>
      </c>
      <c r="F77" s="1" t="s">
        <v>1156</v>
      </c>
      <c r="G77" s="1" t="s">
        <v>126</v>
      </c>
      <c r="I77" s="1">
        <f t="shared" si="0"/>
        <v>0</v>
      </c>
      <c r="J77" s="1">
        <f t="shared" si="1"/>
        <v>1</v>
      </c>
      <c r="K77" s="1">
        <f t="shared" si="2"/>
        <v>0</v>
      </c>
      <c r="L77" s="1">
        <v>182629</v>
      </c>
    </row>
    <row r="78" spans="1:12" ht="21" customHeight="1" x14ac:dyDescent="0.2">
      <c r="A78" s="1" t="s">
        <v>415</v>
      </c>
      <c r="B78" s="1" t="s">
        <v>598</v>
      </c>
      <c r="C78" s="1" t="s">
        <v>599</v>
      </c>
      <c r="D78" s="1" t="s">
        <v>600</v>
      </c>
      <c r="E78" s="1" t="s">
        <v>8</v>
      </c>
      <c r="F78" s="1" t="s">
        <v>601</v>
      </c>
      <c r="G78" s="1" t="s">
        <v>453</v>
      </c>
      <c r="I78" s="1">
        <f t="shared" si="0"/>
        <v>1</v>
      </c>
      <c r="J78" s="1">
        <f t="shared" si="1"/>
        <v>0</v>
      </c>
      <c r="K78" s="1">
        <f t="shared" si="2"/>
        <v>0</v>
      </c>
      <c r="L78" s="1">
        <v>184173</v>
      </c>
    </row>
    <row r="79" spans="1:12" ht="21" hidden="1" customHeight="1" x14ac:dyDescent="0.2">
      <c r="A79" s="1" t="s">
        <v>666</v>
      </c>
      <c r="B79" s="1" t="s">
        <v>987</v>
      </c>
      <c r="C79" s="1" t="s">
        <v>988</v>
      </c>
      <c r="D79" s="1" t="s">
        <v>989</v>
      </c>
      <c r="E79" s="1" t="s">
        <v>10</v>
      </c>
      <c r="F79" s="1" t="s">
        <v>990</v>
      </c>
      <c r="G79" s="1" t="s">
        <v>31</v>
      </c>
      <c r="I79" s="1">
        <f t="shared" si="0"/>
        <v>0</v>
      </c>
      <c r="J79" s="1">
        <f t="shared" si="1"/>
        <v>0</v>
      </c>
      <c r="K79" s="1">
        <f t="shared" si="2"/>
        <v>1</v>
      </c>
      <c r="L79" s="1">
        <v>184613</v>
      </c>
    </row>
    <row r="80" spans="1:12" ht="21" hidden="1" customHeight="1" x14ac:dyDescent="0.2">
      <c r="A80" s="1" t="s">
        <v>666</v>
      </c>
      <c r="B80" s="1" t="s">
        <v>925</v>
      </c>
      <c r="C80" s="1" t="s">
        <v>926</v>
      </c>
      <c r="D80" s="1" t="s">
        <v>927</v>
      </c>
      <c r="E80" s="1" t="s">
        <v>10</v>
      </c>
      <c r="F80" s="1" t="s">
        <v>928</v>
      </c>
      <c r="G80" s="1" t="s">
        <v>597</v>
      </c>
      <c r="I80" s="1">
        <f t="shared" si="0"/>
        <v>0</v>
      </c>
      <c r="J80" s="1">
        <f t="shared" si="1"/>
        <v>0</v>
      </c>
      <c r="K80" s="1">
        <f t="shared" si="2"/>
        <v>1</v>
      </c>
      <c r="L80" s="1">
        <v>186770</v>
      </c>
    </row>
    <row r="81" spans="1:12" ht="21" hidden="1" customHeight="1" x14ac:dyDescent="0.2">
      <c r="A81" s="1" t="s">
        <v>666</v>
      </c>
      <c r="B81" s="1" t="s">
        <v>1040</v>
      </c>
      <c r="C81" s="1" t="s">
        <v>1041</v>
      </c>
      <c r="D81" s="1" t="s">
        <v>1042</v>
      </c>
      <c r="E81" s="1" t="s">
        <v>10</v>
      </c>
      <c r="F81" s="1" t="s">
        <v>1043</v>
      </c>
      <c r="G81" s="1" t="s">
        <v>31</v>
      </c>
      <c r="I81" s="1">
        <f t="shared" si="0"/>
        <v>0</v>
      </c>
      <c r="J81" s="1">
        <f t="shared" si="1"/>
        <v>0</v>
      </c>
      <c r="K81" s="1">
        <f t="shared" si="2"/>
        <v>1</v>
      </c>
      <c r="L81" s="1">
        <v>195500</v>
      </c>
    </row>
    <row r="82" spans="1:12" ht="21" customHeight="1" x14ac:dyDescent="0.2">
      <c r="A82" s="1" t="s">
        <v>11</v>
      </c>
      <c r="B82" s="1" t="s">
        <v>42</v>
      </c>
      <c r="C82" s="1" t="s">
        <v>43</v>
      </c>
      <c r="D82" s="1" t="s">
        <v>44</v>
      </c>
      <c r="E82" s="1" t="s">
        <v>8</v>
      </c>
      <c r="F82" s="1" t="s">
        <v>45</v>
      </c>
      <c r="G82" s="1" t="s">
        <v>46</v>
      </c>
      <c r="I82" s="1">
        <f t="shared" si="0"/>
        <v>1</v>
      </c>
      <c r="J82" s="1">
        <f t="shared" si="1"/>
        <v>0</v>
      </c>
      <c r="K82" s="1">
        <f t="shared" si="2"/>
        <v>0</v>
      </c>
      <c r="L82" s="1">
        <v>196054</v>
      </c>
    </row>
    <row r="83" spans="1:12" ht="21" hidden="1" customHeight="1" x14ac:dyDescent="0.2">
      <c r="A83" s="1" t="s">
        <v>11</v>
      </c>
      <c r="B83" s="1" t="s">
        <v>411</v>
      </c>
      <c r="C83" s="1" t="s">
        <v>412</v>
      </c>
      <c r="D83" s="1" t="s">
        <v>413</v>
      </c>
      <c r="E83" s="1" t="s">
        <v>10</v>
      </c>
      <c r="F83" s="1" t="s">
        <v>414</v>
      </c>
      <c r="G83" s="1" t="s">
        <v>51</v>
      </c>
      <c r="I83" s="1">
        <f t="shared" si="0"/>
        <v>0</v>
      </c>
      <c r="J83" s="1">
        <f t="shared" si="1"/>
        <v>0</v>
      </c>
      <c r="K83" s="1">
        <f t="shared" si="2"/>
        <v>1</v>
      </c>
      <c r="L83" s="1">
        <v>196061</v>
      </c>
    </row>
    <row r="84" spans="1:12" ht="21" hidden="1" customHeight="1" x14ac:dyDescent="0.2">
      <c r="A84" s="1" t="s">
        <v>1178</v>
      </c>
      <c r="B84" s="1" t="s">
        <v>1307</v>
      </c>
      <c r="C84" s="1" t="s">
        <v>1308</v>
      </c>
      <c r="D84" s="1" t="s">
        <v>1309</v>
      </c>
      <c r="E84" s="1" t="s">
        <v>10</v>
      </c>
      <c r="F84" s="1" t="s">
        <v>1310</v>
      </c>
      <c r="G84" s="1" t="s">
        <v>1311</v>
      </c>
      <c r="I84" s="1">
        <f t="shared" si="0"/>
        <v>0</v>
      </c>
      <c r="J84" s="1">
        <f t="shared" si="1"/>
        <v>0</v>
      </c>
      <c r="K84" s="1">
        <f t="shared" si="2"/>
        <v>1</v>
      </c>
      <c r="L84" s="1">
        <v>196363</v>
      </c>
    </row>
    <row r="85" spans="1:12" ht="21" customHeight="1" x14ac:dyDescent="0.2">
      <c r="A85" s="1" t="s">
        <v>1178</v>
      </c>
      <c r="B85" s="1" t="s">
        <v>1324</v>
      </c>
      <c r="C85" s="1" t="s">
        <v>1325</v>
      </c>
      <c r="D85" s="1" t="s">
        <v>1326</v>
      </c>
      <c r="E85" s="1" t="s">
        <v>8</v>
      </c>
      <c r="F85" s="1" t="s">
        <v>1327</v>
      </c>
      <c r="G85" s="1" t="s">
        <v>26</v>
      </c>
      <c r="I85" s="1">
        <f t="shared" si="0"/>
        <v>1</v>
      </c>
      <c r="J85" s="1">
        <f t="shared" si="1"/>
        <v>0</v>
      </c>
      <c r="K85" s="1">
        <f t="shared" si="2"/>
        <v>0</v>
      </c>
      <c r="L85" s="1">
        <v>201015</v>
      </c>
    </row>
    <row r="86" spans="1:12" ht="21" hidden="1" customHeight="1" x14ac:dyDescent="0.2">
      <c r="A86" s="1" t="s">
        <v>666</v>
      </c>
      <c r="B86" s="1" t="s">
        <v>679</v>
      </c>
      <c r="C86" s="1" t="s">
        <v>680</v>
      </c>
      <c r="D86" s="1" t="s">
        <v>681</v>
      </c>
      <c r="E86" s="1" t="s">
        <v>10</v>
      </c>
      <c r="F86" s="1" t="s">
        <v>682</v>
      </c>
      <c r="G86" s="1" t="s">
        <v>31</v>
      </c>
      <c r="I86" s="1">
        <f t="shared" si="0"/>
        <v>0</v>
      </c>
      <c r="J86" s="1">
        <f t="shared" si="1"/>
        <v>0</v>
      </c>
      <c r="K86" s="1">
        <f t="shared" si="2"/>
        <v>1</v>
      </c>
      <c r="L86" s="1">
        <v>204557</v>
      </c>
    </row>
    <row r="87" spans="1:12" ht="21" customHeight="1" x14ac:dyDescent="0.2">
      <c r="A87" s="1" t="s">
        <v>415</v>
      </c>
      <c r="B87" s="1" t="s">
        <v>644</v>
      </c>
      <c r="C87" s="1" t="s">
        <v>645</v>
      </c>
      <c r="D87" s="1" t="s">
        <v>646</v>
      </c>
      <c r="E87" s="1" t="s">
        <v>8</v>
      </c>
      <c r="F87" s="1" t="s">
        <v>647</v>
      </c>
      <c r="G87" s="1" t="s">
        <v>26</v>
      </c>
      <c r="I87" s="1">
        <f t="shared" si="0"/>
        <v>1</v>
      </c>
      <c r="J87" s="1">
        <f t="shared" si="1"/>
        <v>0</v>
      </c>
      <c r="K87" s="1">
        <f t="shared" si="2"/>
        <v>0</v>
      </c>
      <c r="L87" s="1">
        <v>204798</v>
      </c>
    </row>
    <row r="88" spans="1:12" ht="21" customHeight="1" x14ac:dyDescent="0.2">
      <c r="A88" s="1" t="s">
        <v>1178</v>
      </c>
      <c r="B88" s="1" t="s">
        <v>1340</v>
      </c>
      <c r="C88" s="1" t="s">
        <v>1341</v>
      </c>
      <c r="D88" s="1" t="s">
        <v>1342</v>
      </c>
      <c r="E88" s="1" t="s">
        <v>8</v>
      </c>
      <c r="F88" s="1" t="s">
        <v>1343</v>
      </c>
      <c r="G88" s="1" t="s">
        <v>1344</v>
      </c>
      <c r="I88" s="1">
        <f t="shared" si="0"/>
        <v>1</v>
      </c>
      <c r="J88" s="1">
        <f t="shared" si="1"/>
        <v>0</v>
      </c>
      <c r="K88" s="1">
        <f t="shared" si="2"/>
        <v>0</v>
      </c>
      <c r="L88" s="1">
        <v>205978</v>
      </c>
    </row>
    <row r="89" spans="1:12" ht="21" customHeight="1" x14ac:dyDescent="0.2">
      <c r="A89" s="1" t="s">
        <v>666</v>
      </c>
      <c r="B89" s="1" t="s">
        <v>765</v>
      </c>
      <c r="C89" s="1" t="s">
        <v>766</v>
      </c>
      <c r="D89" s="1" t="s">
        <v>767</v>
      </c>
      <c r="E89" s="1" t="s">
        <v>8</v>
      </c>
      <c r="F89" s="1" t="s">
        <v>768</v>
      </c>
      <c r="G89" s="1" t="s">
        <v>26</v>
      </c>
      <c r="I89" s="1">
        <f t="shared" si="0"/>
        <v>1</v>
      </c>
      <c r="J89" s="1">
        <f t="shared" si="1"/>
        <v>0</v>
      </c>
      <c r="K89" s="1">
        <f t="shared" si="2"/>
        <v>0</v>
      </c>
      <c r="L89" s="1">
        <v>206255</v>
      </c>
    </row>
    <row r="90" spans="1:12" ht="21" customHeight="1" x14ac:dyDescent="0.2">
      <c r="A90" s="1" t="s">
        <v>415</v>
      </c>
      <c r="B90" s="1" t="s">
        <v>615</v>
      </c>
      <c r="C90" s="1" t="s">
        <v>616</v>
      </c>
      <c r="D90" s="1" t="s">
        <v>617</v>
      </c>
      <c r="E90" s="1" t="s">
        <v>8</v>
      </c>
      <c r="F90" s="1" t="s">
        <v>618</v>
      </c>
      <c r="G90" s="1" t="s">
        <v>36</v>
      </c>
      <c r="I90" s="1">
        <f t="shared" si="0"/>
        <v>1</v>
      </c>
      <c r="J90" s="1">
        <f t="shared" si="1"/>
        <v>0</v>
      </c>
      <c r="K90" s="1">
        <f t="shared" si="2"/>
        <v>0</v>
      </c>
      <c r="L90" s="1">
        <v>209976</v>
      </c>
    </row>
    <row r="91" spans="1:12" ht="21" hidden="1" customHeight="1" x14ac:dyDescent="0.2">
      <c r="A91" s="1" t="s">
        <v>666</v>
      </c>
      <c r="B91" s="1" t="s">
        <v>991</v>
      </c>
      <c r="C91" s="1" t="s">
        <v>992</v>
      </c>
      <c r="D91" s="1" t="s">
        <v>993</v>
      </c>
      <c r="E91" s="1" t="s">
        <v>10</v>
      </c>
      <c r="F91" s="1" t="s">
        <v>994</v>
      </c>
      <c r="G91" s="1" t="s">
        <v>597</v>
      </c>
      <c r="I91" s="1">
        <f t="shared" si="0"/>
        <v>0</v>
      </c>
      <c r="J91" s="1">
        <f t="shared" si="1"/>
        <v>0</v>
      </c>
      <c r="K91" s="1">
        <f t="shared" si="2"/>
        <v>1</v>
      </c>
      <c r="L91" s="1">
        <v>212198</v>
      </c>
    </row>
    <row r="92" spans="1:12" ht="21" hidden="1" customHeight="1" x14ac:dyDescent="0.2">
      <c r="A92" s="1" t="s">
        <v>666</v>
      </c>
      <c r="B92" s="1" t="s">
        <v>1119</v>
      </c>
      <c r="C92" s="1" t="s">
        <v>1120</v>
      </c>
      <c r="D92" s="1" t="s">
        <v>1121</v>
      </c>
      <c r="E92" s="1" t="s">
        <v>10</v>
      </c>
      <c r="F92" s="1" t="s">
        <v>1122</v>
      </c>
      <c r="G92" s="1" t="s">
        <v>453</v>
      </c>
      <c r="I92" s="1">
        <f t="shared" si="0"/>
        <v>0</v>
      </c>
      <c r="J92" s="1">
        <f t="shared" si="1"/>
        <v>0</v>
      </c>
      <c r="K92" s="1">
        <f t="shared" si="2"/>
        <v>1</v>
      </c>
      <c r="L92" s="1">
        <v>216561</v>
      </c>
    </row>
    <row r="93" spans="1:12" ht="21" customHeight="1" x14ac:dyDescent="0.2">
      <c r="A93" s="1" t="s">
        <v>666</v>
      </c>
      <c r="B93" s="1" t="s">
        <v>777</v>
      </c>
      <c r="C93" s="1" t="s">
        <v>778</v>
      </c>
      <c r="D93" s="1" t="s">
        <v>779</v>
      </c>
      <c r="E93" s="1" t="s">
        <v>8</v>
      </c>
      <c r="F93" s="1" t="s">
        <v>780</v>
      </c>
      <c r="G93" s="1" t="s">
        <v>70</v>
      </c>
      <c r="I93" s="1">
        <f t="shared" si="0"/>
        <v>1</v>
      </c>
      <c r="J93" s="1">
        <f t="shared" si="1"/>
        <v>0</v>
      </c>
      <c r="K93" s="1">
        <f t="shared" si="2"/>
        <v>0</v>
      </c>
      <c r="L93" s="1">
        <v>223320</v>
      </c>
    </row>
    <row r="94" spans="1:12" ht="21" customHeight="1" x14ac:dyDescent="0.2">
      <c r="A94" s="1" t="s">
        <v>415</v>
      </c>
      <c r="B94" s="1" t="s">
        <v>470</v>
      </c>
      <c r="C94" s="1" t="s">
        <v>471</v>
      </c>
      <c r="D94" s="1" t="s">
        <v>472</v>
      </c>
      <c r="E94" s="1" t="s">
        <v>8</v>
      </c>
      <c r="F94" s="1" t="s">
        <v>473</v>
      </c>
      <c r="G94" s="1" t="s">
        <v>474</v>
      </c>
      <c r="I94" s="1">
        <f t="shared" si="0"/>
        <v>1</v>
      </c>
      <c r="J94" s="1">
        <f t="shared" si="1"/>
        <v>0</v>
      </c>
      <c r="K94" s="1">
        <f t="shared" si="2"/>
        <v>0</v>
      </c>
      <c r="L94" s="1">
        <v>228540</v>
      </c>
    </row>
    <row r="95" spans="1:12" ht="21" customHeight="1" x14ac:dyDescent="0.2">
      <c r="A95" s="1" t="s">
        <v>11</v>
      </c>
      <c r="B95" s="1" t="s">
        <v>218</v>
      </c>
      <c r="C95" s="1" t="s">
        <v>219</v>
      </c>
      <c r="D95" s="1" t="s">
        <v>220</v>
      </c>
      <c r="E95" s="1" t="s">
        <v>8</v>
      </c>
      <c r="F95" s="1" t="s">
        <v>221</v>
      </c>
      <c r="G95" s="1" t="s">
        <v>222</v>
      </c>
      <c r="I95" s="1">
        <f t="shared" si="0"/>
        <v>1</v>
      </c>
      <c r="J95" s="1">
        <f t="shared" si="1"/>
        <v>0</v>
      </c>
      <c r="K95" s="1">
        <f t="shared" si="2"/>
        <v>0</v>
      </c>
      <c r="L95" s="1">
        <v>228798</v>
      </c>
    </row>
    <row r="96" spans="1:12" ht="21" customHeight="1" x14ac:dyDescent="0.2">
      <c r="A96" s="1" t="s">
        <v>666</v>
      </c>
      <c r="B96" s="1" t="s">
        <v>1127</v>
      </c>
      <c r="C96" s="1" t="s">
        <v>1128</v>
      </c>
      <c r="D96" s="1" t="s">
        <v>1129</v>
      </c>
      <c r="E96" s="1" t="s">
        <v>8</v>
      </c>
      <c r="F96" s="1" t="s">
        <v>1130</v>
      </c>
      <c r="G96" s="1" t="s">
        <v>1131</v>
      </c>
      <c r="I96" s="1">
        <f t="shared" si="0"/>
        <v>1</v>
      </c>
      <c r="J96" s="1">
        <f t="shared" si="1"/>
        <v>0</v>
      </c>
      <c r="K96" s="1">
        <f t="shared" si="2"/>
        <v>0</v>
      </c>
      <c r="L96" s="1">
        <v>238869</v>
      </c>
    </row>
    <row r="97" spans="1:12" ht="21" customHeight="1" x14ac:dyDescent="0.2">
      <c r="A97" s="1" t="s">
        <v>666</v>
      </c>
      <c r="B97" s="1" t="s">
        <v>821</v>
      </c>
      <c r="C97" s="1" t="s">
        <v>822</v>
      </c>
      <c r="D97" s="1" t="s">
        <v>823</v>
      </c>
      <c r="E97" s="1" t="s">
        <v>8</v>
      </c>
      <c r="F97" s="1" t="s">
        <v>824</v>
      </c>
      <c r="G97" s="1" t="s">
        <v>267</v>
      </c>
      <c r="I97" s="1">
        <f t="shared" si="0"/>
        <v>1</v>
      </c>
      <c r="J97" s="1">
        <f t="shared" si="1"/>
        <v>0</v>
      </c>
      <c r="K97" s="1">
        <f t="shared" si="2"/>
        <v>0</v>
      </c>
      <c r="L97" s="1">
        <v>240389</v>
      </c>
    </row>
    <row r="98" spans="1:12" ht="21" customHeight="1" x14ac:dyDescent="0.2">
      <c r="A98" s="1" t="s">
        <v>415</v>
      </c>
      <c r="B98" s="1" t="s">
        <v>423</v>
      </c>
      <c r="C98" s="1" t="s">
        <v>424</v>
      </c>
      <c r="D98" s="1" t="s">
        <v>425</v>
      </c>
      <c r="E98" s="1" t="s">
        <v>8</v>
      </c>
      <c r="F98" s="1" t="s">
        <v>426</v>
      </c>
      <c r="G98" s="1" t="s">
        <v>427</v>
      </c>
      <c r="I98" s="1">
        <f t="shared" si="0"/>
        <v>1</v>
      </c>
      <c r="J98" s="1">
        <f t="shared" si="1"/>
        <v>0</v>
      </c>
      <c r="K98" s="1">
        <f t="shared" si="2"/>
        <v>0</v>
      </c>
      <c r="L98" s="1">
        <v>243264</v>
      </c>
    </row>
    <row r="99" spans="1:12" ht="21" customHeight="1" x14ac:dyDescent="0.2">
      <c r="A99" s="1" t="s">
        <v>666</v>
      </c>
      <c r="B99" s="1" t="s">
        <v>731</v>
      </c>
      <c r="C99" s="1" t="s">
        <v>732</v>
      </c>
      <c r="D99" s="1" t="s">
        <v>733</v>
      </c>
      <c r="E99" s="1" t="s">
        <v>8</v>
      </c>
      <c r="F99" s="1" t="s">
        <v>734</v>
      </c>
      <c r="G99" s="1" t="s">
        <v>227</v>
      </c>
      <c r="I99" s="1">
        <f t="shared" si="0"/>
        <v>1</v>
      </c>
      <c r="J99" s="1">
        <f t="shared" si="1"/>
        <v>0</v>
      </c>
      <c r="K99" s="1">
        <f t="shared" si="2"/>
        <v>0</v>
      </c>
      <c r="L99" s="1">
        <v>243834</v>
      </c>
    </row>
    <row r="100" spans="1:12" ht="21" customHeight="1" x14ac:dyDescent="0.2">
      <c r="A100" s="1" t="s">
        <v>11</v>
      </c>
      <c r="B100" s="1" t="s">
        <v>287</v>
      </c>
      <c r="C100" s="1" t="s">
        <v>288</v>
      </c>
      <c r="D100" s="1" t="s">
        <v>289</v>
      </c>
      <c r="E100" s="1" t="s">
        <v>8</v>
      </c>
      <c r="F100" s="1" t="s">
        <v>290</v>
      </c>
      <c r="G100" s="1" t="s">
        <v>291</v>
      </c>
      <c r="I100" s="1">
        <f t="shared" si="0"/>
        <v>1</v>
      </c>
      <c r="J100" s="1">
        <f t="shared" si="1"/>
        <v>0</v>
      </c>
      <c r="K100" s="1">
        <f t="shared" si="2"/>
        <v>0</v>
      </c>
      <c r="L100" s="1">
        <v>249429</v>
      </c>
    </row>
    <row r="101" spans="1:12" ht="21" hidden="1" customHeight="1" x14ac:dyDescent="0.2">
      <c r="A101" s="1" t="s">
        <v>666</v>
      </c>
      <c r="B101" s="1" t="s">
        <v>1115</v>
      </c>
      <c r="C101" s="1" t="s">
        <v>1116</v>
      </c>
      <c r="D101" s="1" t="s">
        <v>1117</v>
      </c>
      <c r="E101" s="1" t="s">
        <v>10</v>
      </c>
      <c r="F101" s="1" t="s">
        <v>1118</v>
      </c>
      <c r="G101" s="1" t="s">
        <v>802</v>
      </c>
      <c r="I101" s="1">
        <f t="shared" si="0"/>
        <v>0</v>
      </c>
      <c r="J101" s="1">
        <f t="shared" si="1"/>
        <v>0</v>
      </c>
      <c r="K101" s="1">
        <f t="shared" si="2"/>
        <v>1</v>
      </c>
      <c r="L101" s="1">
        <v>254803</v>
      </c>
    </row>
    <row r="102" spans="1:12" ht="21" hidden="1" customHeight="1" x14ac:dyDescent="0.2">
      <c r="A102" s="1" t="s">
        <v>666</v>
      </c>
      <c r="B102" s="1" t="s">
        <v>769</v>
      </c>
      <c r="C102" s="1" t="s">
        <v>770</v>
      </c>
      <c r="D102" s="1" t="s">
        <v>771</v>
      </c>
      <c r="E102" s="1" t="s">
        <v>10</v>
      </c>
      <c r="F102" s="1" t="s">
        <v>772</v>
      </c>
      <c r="G102" s="1" t="s">
        <v>31</v>
      </c>
      <c r="I102" s="1">
        <f t="shared" si="0"/>
        <v>0</v>
      </c>
      <c r="J102" s="1">
        <f t="shared" si="1"/>
        <v>0</v>
      </c>
      <c r="K102" s="1">
        <f t="shared" si="2"/>
        <v>1</v>
      </c>
      <c r="L102" s="1">
        <v>255385</v>
      </c>
    </row>
    <row r="103" spans="1:12" ht="21" customHeight="1" x14ac:dyDescent="0.2">
      <c r="A103" s="1" t="s">
        <v>1178</v>
      </c>
      <c r="B103" s="1" t="s">
        <v>1278</v>
      </c>
      <c r="C103" s="1" t="s">
        <v>1279</v>
      </c>
      <c r="D103" s="1" t="s">
        <v>1280</v>
      </c>
      <c r="E103" s="1" t="s">
        <v>8</v>
      </c>
      <c r="F103" s="1" t="s">
        <v>1281</v>
      </c>
      <c r="G103" s="1" t="s">
        <v>26</v>
      </c>
      <c r="I103" s="1">
        <f t="shared" si="0"/>
        <v>1</v>
      </c>
      <c r="J103" s="1">
        <f t="shared" si="1"/>
        <v>0</v>
      </c>
      <c r="K103" s="1">
        <f t="shared" si="2"/>
        <v>0</v>
      </c>
      <c r="L103" s="1">
        <v>255699</v>
      </c>
    </row>
    <row r="104" spans="1:12" ht="21" hidden="1" customHeight="1" x14ac:dyDescent="0.2">
      <c r="A104" s="1" t="s">
        <v>11</v>
      </c>
      <c r="B104" s="1" t="s">
        <v>151</v>
      </c>
      <c r="C104" s="1" t="s">
        <v>152</v>
      </c>
      <c r="D104" s="1" t="s">
        <v>153</v>
      </c>
      <c r="E104" s="1" t="s">
        <v>10</v>
      </c>
      <c r="F104" s="1" t="s">
        <v>154</v>
      </c>
      <c r="G104" s="1" t="s">
        <v>145</v>
      </c>
      <c r="I104" s="1">
        <f t="shared" si="0"/>
        <v>0</v>
      </c>
      <c r="J104" s="1">
        <f t="shared" si="1"/>
        <v>0</v>
      </c>
      <c r="K104" s="1">
        <f t="shared" si="2"/>
        <v>1</v>
      </c>
      <c r="L104" s="1">
        <v>258857</v>
      </c>
    </row>
    <row r="105" spans="1:12" ht="21" hidden="1" customHeight="1" x14ac:dyDescent="0.2">
      <c r="A105" s="1" t="s">
        <v>666</v>
      </c>
      <c r="B105" s="1" t="s">
        <v>1174</v>
      </c>
      <c r="C105" s="1" t="s">
        <v>1175</v>
      </c>
      <c r="D105" s="1" t="s">
        <v>1176</v>
      </c>
      <c r="E105" s="1" t="s">
        <v>10</v>
      </c>
      <c r="F105" s="1" t="s">
        <v>1177</v>
      </c>
      <c r="G105" s="1" t="s">
        <v>31</v>
      </c>
      <c r="I105" s="1">
        <f t="shared" si="0"/>
        <v>0</v>
      </c>
      <c r="J105" s="1">
        <f t="shared" si="1"/>
        <v>0</v>
      </c>
      <c r="K105" s="1">
        <f t="shared" si="2"/>
        <v>1</v>
      </c>
      <c r="L105" s="1">
        <v>261910</v>
      </c>
    </row>
    <row r="106" spans="1:12" ht="21" hidden="1" customHeight="1" x14ac:dyDescent="0.2">
      <c r="A106" s="1" t="s">
        <v>666</v>
      </c>
      <c r="B106" s="1" t="s">
        <v>1141</v>
      </c>
      <c r="C106" s="1" t="s">
        <v>1142</v>
      </c>
      <c r="D106" s="1" t="s">
        <v>1143</v>
      </c>
      <c r="E106" s="1" t="s">
        <v>9</v>
      </c>
      <c r="F106" s="1" t="s">
        <v>1144</v>
      </c>
      <c r="G106" s="1" t="s">
        <v>126</v>
      </c>
      <c r="I106" s="1">
        <f t="shared" si="0"/>
        <v>0</v>
      </c>
      <c r="J106" s="1">
        <f t="shared" si="1"/>
        <v>1</v>
      </c>
      <c r="K106" s="1">
        <f t="shared" si="2"/>
        <v>0</v>
      </c>
      <c r="L106" s="1">
        <v>262527</v>
      </c>
    </row>
    <row r="107" spans="1:12" ht="21" customHeight="1" x14ac:dyDescent="0.2">
      <c r="A107" s="1" t="s">
        <v>666</v>
      </c>
      <c r="B107" s="1" t="s">
        <v>1020</v>
      </c>
      <c r="C107" s="1" t="s">
        <v>1021</v>
      </c>
      <c r="D107" s="1" t="s">
        <v>1022</v>
      </c>
      <c r="E107" s="1" t="s">
        <v>8</v>
      </c>
      <c r="F107" s="1" t="s">
        <v>1023</v>
      </c>
      <c r="G107" s="1" t="s">
        <v>807</v>
      </c>
      <c r="I107" s="1">
        <f t="shared" si="0"/>
        <v>1</v>
      </c>
      <c r="J107" s="1">
        <f t="shared" si="1"/>
        <v>0</v>
      </c>
      <c r="K107" s="1">
        <f t="shared" si="2"/>
        <v>0</v>
      </c>
      <c r="L107" s="1">
        <v>267543</v>
      </c>
    </row>
    <row r="108" spans="1:12" ht="21" hidden="1" customHeight="1" x14ac:dyDescent="0.2">
      <c r="A108" s="1" t="s">
        <v>1178</v>
      </c>
      <c r="B108" s="1" t="s">
        <v>1179</v>
      </c>
      <c r="C108" s="1" t="s">
        <v>1180</v>
      </c>
      <c r="D108" s="1" t="s">
        <v>1181</v>
      </c>
      <c r="E108" s="1" t="s">
        <v>10</v>
      </c>
      <c r="F108" s="1" t="s">
        <v>1182</v>
      </c>
      <c r="G108" s="1" t="s">
        <v>31</v>
      </c>
      <c r="I108" s="1">
        <f t="shared" si="0"/>
        <v>0</v>
      </c>
      <c r="J108" s="1">
        <f t="shared" si="1"/>
        <v>0</v>
      </c>
      <c r="K108" s="1">
        <f t="shared" si="2"/>
        <v>1</v>
      </c>
      <c r="L108" s="1">
        <v>272110</v>
      </c>
    </row>
    <row r="109" spans="1:12" ht="21" customHeight="1" x14ac:dyDescent="0.2">
      <c r="A109" s="1" t="s">
        <v>415</v>
      </c>
      <c r="B109" s="1" t="s">
        <v>585</v>
      </c>
      <c r="C109" s="1" t="s">
        <v>586</v>
      </c>
      <c r="D109" s="1" t="s">
        <v>587</v>
      </c>
      <c r="E109" s="1" t="s">
        <v>8</v>
      </c>
      <c r="F109" s="1" t="s">
        <v>588</v>
      </c>
      <c r="G109" s="1" t="s">
        <v>80</v>
      </c>
      <c r="I109" s="1">
        <f t="shared" si="0"/>
        <v>1</v>
      </c>
      <c r="J109" s="1">
        <f t="shared" si="1"/>
        <v>0</v>
      </c>
      <c r="K109" s="1">
        <f t="shared" si="2"/>
        <v>0</v>
      </c>
      <c r="L109" s="1">
        <v>272241</v>
      </c>
    </row>
    <row r="110" spans="1:12" ht="21" customHeight="1" x14ac:dyDescent="0.2">
      <c r="A110" s="1" t="s">
        <v>415</v>
      </c>
      <c r="B110" s="1" t="s">
        <v>627</v>
      </c>
      <c r="C110" s="1" t="s">
        <v>628</v>
      </c>
      <c r="D110" s="1" t="s">
        <v>629</v>
      </c>
      <c r="E110" s="1" t="s">
        <v>8</v>
      </c>
      <c r="F110" s="1" t="s">
        <v>630</v>
      </c>
      <c r="G110" s="1" t="s">
        <v>631</v>
      </c>
      <c r="I110" s="1">
        <f t="shared" si="0"/>
        <v>1</v>
      </c>
      <c r="J110" s="1">
        <f t="shared" si="1"/>
        <v>0</v>
      </c>
      <c r="K110" s="1">
        <f t="shared" si="2"/>
        <v>0</v>
      </c>
      <c r="L110" s="1">
        <v>277929</v>
      </c>
    </row>
    <row r="111" spans="1:12" ht="21" customHeight="1" x14ac:dyDescent="0.2">
      <c r="A111" s="1" t="s">
        <v>11</v>
      </c>
      <c r="B111" s="1" t="s">
        <v>360</v>
      </c>
      <c r="C111" s="1" t="s">
        <v>361</v>
      </c>
      <c r="D111" s="1" t="s">
        <v>362</v>
      </c>
      <c r="E111" s="1" t="s">
        <v>8</v>
      </c>
      <c r="F111" s="1" t="s">
        <v>363</v>
      </c>
      <c r="G111" s="1" t="s">
        <v>80</v>
      </c>
      <c r="I111" s="1">
        <f t="shared" si="0"/>
        <v>1</v>
      </c>
      <c r="J111" s="1">
        <f t="shared" si="1"/>
        <v>0</v>
      </c>
      <c r="K111" s="1">
        <f t="shared" si="2"/>
        <v>0</v>
      </c>
      <c r="L111" s="1">
        <v>282689</v>
      </c>
    </row>
    <row r="112" spans="1:12" ht="21" hidden="1" customHeight="1" x14ac:dyDescent="0.2">
      <c r="A112" s="1" t="s">
        <v>415</v>
      </c>
      <c r="B112" s="1" t="s">
        <v>581</v>
      </c>
      <c r="C112" s="1" t="s">
        <v>582</v>
      </c>
      <c r="D112" s="1" t="s">
        <v>583</v>
      </c>
      <c r="E112" s="1" t="s">
        <v>10</v>
      </c>
      <c r="F112" s="1" t="s">
        <v>584</v>
      </c>
      <c r="G112" s="1" t="s">
        <v>31</v>
      </c>
      <c r="I112" s="1">
        <f t="shared" si="0"/>
        <v>0</v>
      </c>
      <c r="J112" s="1">
        <f t="shared" si="1"/>
        <v>0</v>
      </c>
      <c r="K112" s="1">
        <f t="shared" si="2"/>
        <v>1</v>
      </c>
      <c r="L112" s="1">
        <v>283399</v>
      </c>
    </row>
    <row r="113" spans="1:12" ht="21" customHeight="1" x14ac:dyDescent="0.2">
      <c r="A113" s="1" t="s">
        <v>415</v>
      </c>
      <c r="B113" s="1" t="s">
        <v>548</v>
      </c>
      <c r="C113" s="1" t="s">
        <v>549</v>
      </c>
      <c r="D113" s="1" t="s">
        <v>550</v>
      </c>
      <c r="E113" s="1" t="s">
        <v>8</v>
      </c>
      <c r="F113" s="1" t="s">
        <v>551</v>
      </c>
      <c r="G113" s="1" t="s">
        <v>276</v>
      </c>
      <c r="I113" s="1">
        <f t="shared" si="0"/>
        <v>1</v>
      </c>
      <c r="J113" s="1">
        <f t="shared" si="1"/>
        <v>0</v>
      </c>
      <c r="K113" s="1">
        <f t="shared" si="2"/>
        <v>0</v>
      </c>
      <c r="L113" s="1">
        <v>285795</v>
      </c>
    </row>
    <row r="114" spans="1:12" ht="21" customHeight="1" x14ac:dyDescent="0.2">
      <c r="A114" s="1" t="s">
        <v>666</v>
      </c>
      <c r="B114" s="1" t="s">
        <v>1065</v>
      </c>
      <c r="C114" s="1" t="s">
        <v>1066</v>
      </c>
      <c r="D114" s="1" t="s">
        <v>1067</v>
      </c>
      <c r="E114" s="1" t="s">
        <v>8</v>
      </c>
      <c r="F114" s="1" t="s">
        <v>1068</v>
      </c>
      <c r="G114" s="1" t="s">
        <v>75</v>
      </c>
      <c r="I114" s="1">
        <f t="shared" si="0"/>
        <v>1</v>
      </c>
      <c r="J114" s="1">
        <f t="shared" si="1"/>
        <v>0</v>
      </c>
      <c r="K114" s="1">
        <f t="shared" si="2"/>
        <v>0</v>
      </c>
      <c r="L114" s="1">
        <v>288583</v>
      </c>
    </row>
    <row r="115" spans="1:12" ht="21" hidden="1" customHeight="1" x14ac:dyDescent="0.2">
      <c r="A115" s="1" t="s">
        <v>1178</v>
      </c>
      <c r="B115" s="1" t="s">
        <v>1359</v>
      </c>
      <c r="C115" s="1" t="s">
        <v>1360</v>
      </c>
      <c r="D115" s="1" t="s">
        <v>1361</v>
      </c>
      <c r="E115" s="1" t="s">
        <v>10</v>
      </c>
      <c r="F115" s="1" t="s">
        <v>1362</v>
      </c>
      <c r="G115" s="1" t="s">
        <v>21</v>
      </c>
      <c r="I115" s="1">
        <f t="shared" si="0"/>
        <v>0</v>
      </c>
      <c r="J115" s="1">
        <f t="shared" si="1"/>
        <v>0</v>
      </c>
      <c r="K115" s="1">
        <f t="shared" si="2"/>
        <v>1</v>
      </c>
      <c r="L115" s="1">
        <v>291983</v>
      </c>
    </row>
    <row r="116" spans="1:12" ht="21" customHeight="1" x14ac:dyDescent="0.2">
      <c r="A116" s="1" t="s">
        <v>666</v>
      </c>
      <c r="B116" s="1" t="s">
        <v>1145</v>
      </c>
      <c r="C116" s="1" t="s">
        <v>1146</v>
      </c>
      <c r="D116" s="1" t="s">
        <v>1147</v>
      </c>
      <c r="E116" s="1" t="s">
        <v>8</v>
      </c>
      <c r="F116" s="1" t="s">
        <v>1148</v>
      </c>
      <c r="G116" s="1" t="s">
        <v>26</v>
      </c>
      <c r="I116" s="1">
        <f t="shared" si="0"/>
        <v>1</v>
      </c>
      <c r="J116" s="1">
        <f t="shared" si="1"/>
        <v>0</v>
      </c>
      <c r="K116" s="1">
        <f t="shared" si="2"/>
        <v>0</v>
      </c>
      <c r="L116" s="1">
        <v>293565</v>
      </c>
    </row>
    <row r="117" spans="1:12" ht="21" hidden="1" customHeight="1" x14ac:dyDescent="0.2">
      <c r="A117" s="1" t="s">
        <v>666</v>
      </c>
      <c r="B117" s="1" t="s">
        <v>744</v>
      </c>
      <c r="C117" s="1" t="s">
        <v>745</v>
      </c>
      <c r="D117" s="1" t="s">
        <v>746</v>
      </c>
      <c r="E117" s="1" t="s">
        <v>10</v>
      </c>
      <c r="F117" s="1" t="s">
        <v>747</v>
      </c>
      <c r="G117" s="1" t="s">
        <v>31</v>
      </c>
      <c r="I117" s="1">
        <f t="shared" si="0"/>
        <v>0</v>
      </c>
      <c r="J117" s="1">
        <f t="shared" si="1"/>
        <v>0</v>
      </c>
      <c r="K117" s="1">
        <f t="shared" si="2"/>
        <v>1</v>
      </c>
      <c r="L117" s="1">
        <v>301148</v>
      </c>
    </row>
    <row r="118" spans="1:12" ht="21" customHeight="1" x14ac:dyDescent="0.2">
      <c r="A118" s="1" t="s">
        <v>11</v>
      </c>
      <c r="B118" s="1" t="s">
        <v>62</v>
      </c>
      <c r="C118" s="1" t="s">
        <v>63</v>
      </c>
      <c r="D118" s="1" t="s">
        <v>64</v>
      </c>
      <c r="E118" s="1" t="s">
        <v>8</v>
      </c>
      <c r="F118" s="1" t="s">
        <v>65</v>
      </c>
      <c r="G118" s="1" t="s">
        <v>26</v>
      </c>
      <c r="I118" s="1">
        <f t="shared" si="0"/>
        <v>1</v>
      </c>
      <c r="J118" s="1">
        <f t="shared" si="1"/>
        <v>0</v>
      </c>
      <c r="K118" s="1">
        <f t="shared" si="2"/>
        <v>0</v>
      </c>
      <c r="L118" s="1">
        <v>301760</v>
      </c>
    </row>
    <row r="119" spans="1:12" ht="21" hidden="1" customHeight="1" x14ac:dyDescent="0.2">
      <c r="A119" s="1" t="s">
        <v>666</v>
      </c>
      <c r="B119" s="1" t="s">
        <v>888</v>
      </c>
      <c r="C119" s="1" t="s">
        <v>889</v>
      </c>
      <c r="D119" s="1" t="s">
        <v>890</v>
      </c>
      <c r="E119" s="1" t="s">
        <v>10</v>
      </c>
      <c r="F119" s="1" t="s">
        <v>891</v>
      </c>
      <c r="G119" s="1" t="s">
        <v>31</v>
      </c>
      <c r="I119" s="1">
        <f t="shared" si="0"/>
        <v>0</v>
      </c>
      <c r="J119" s="1">
        <f t="shared" si="1"/>
        <v>0</v>
      </c>
      <c r="K119" s="1">
        <f t="shared" si="2"/>
        <v>1</v>
      </c>
      <c r="L119" s="1">
        <v>304222</v>
      </c>
    </row>
    <row r="120" spans="1:12" ht="21" customHeight="1" x14ac:dyDescent="0.2">
      <c r="A120" s="1" t="s">
        <v>415</v>
      </c>
      <c r="B120" s="1" t="s">
        <v>602</v>
      </c>
      <c r="C120" s="1" t="s">
        <v>603</v>
      </c>
      <c r="D120" s="1" t="s">
        <v>604</v>
      </c>
      <c r="E120" s="1" t="s">
        <v>8</v>
      </c>
      <c r="F120" s="1" t="s">
        <v>605</v>
      </c>
      <c r="G120" s="1" t="s">
        <v>85</v>
      </c>
      <c r="I120" s="1">
        <f t="shared" si="0"/>
        <v>1</v>
      </c>
      <c r="J120" s="1">
        <f t="shared" si="1"/>
        <v>0</v>
      </c>
      <c r="K120" s="1">
        <f t="shared" si="2"/>
        <v>0</v>
      </c>
      <c r="L120" s="1">
        <v>304680</v>
      </c>
    </row>
    <row r="121" spans="1:12" ht="21" hidden="1" customHeight="1" x14ac:dyDescent="0.2">
      <c r="A121" s="1" t="s">
        <v>11</v>
      </c>
      <c r="B121" s="1" t="s">
        <v>340</v>
      </c>
      <c r="C121" s="1" t="s">
        <v>341</v>
      </c>
      <c r="D121" s="1" t="s">
        <v>342</v>
      </c>
      <c r="E121" s="1" t="s">
        <v>10</v>
      </c>
      <c r="F121" s="1" t="s">
        <v>343</v>
      </c>
      <c r="G121" s="1" t="s">
        <v>31</v>
      </c>
      <c r="I121" s="1">
        <f t="shared" si="0"/>
        <v>0</v>
      </c>
      <c r="J121" s="1">
        <f t="shared" si="1"/>
        <v>0</v>
      </c>
      <c r="K121" s="1">
        <f t="shared" si="2"/>
        <v>1</v>
      </c>
      <c r="L121" s="1">
        <v>311796</v>
      </c>
    </row>
    <row r="122" spans="1:12" ht="21" hidden="1" customHeight="1" x14ac:dyDescent="0.2">
      <c r="A122" s="1" t="s">
        <v>415</v>
      </c>
      <c r="B122" s="1" t="s">
        <v>662</v>
      </c>
      <c r="C122" s="1" t="s">
        <v>663</v>
      </c>
      <c r="D122" s="1" t="s">
        <v>664</v>
      </c>
      <c r="E122" s="1" t="s">
        <v>9</v>
      </c>
      <c r="F122" s="1" t="s">
        <v>665</v>
      </c>
      <c r="G122" s="1" t="s">
        <v>126</v>
      </c>
      <c r="I122" s="1">
        <f t="shared" si="0"/>
        <v>0</v>
      </c>
      <c r="J122" s="1">
        <f t="shared" si="1"/>
        <v>1</v>
      </c>
      <c r="K122" s="1">
        <f t="shared" si="2"/>
        <v>0</v>
      </c>
      <c r="L122" s="1">
        <v>324864</v>
      </c>
    </row>
    <row r="123" spans="1:12" ht="21" customHeight="1" x14ac:dyDescent="0.2">
      <c r="A123" s="1" t="s">
        <v>11</v>
      </c>
      <c r="B123" s="1" t="s">
        <v>12</v>
      </c>
      <c r="C123" s="1" t="s">
        <v>13</v>
      </c>
      <c r="D123" s="1" t="s">
        <v>14</v>
      </c>
      <c r="E123" s="1" t="s">
        <v>8</v>
      </c>
      <c r="F123" s="1" t="s">
        <v>15</v>
      </c>
      <c r="G123" s="1" t="s">
        <v>16</v>
      </c>
      <c r="I123" s="1">
        <f t="shared" si="0"/>
        <v>1</v>
      </c>
      <c r="J123" s="1">
        <f t="shared" si="1"/>
        <v>0</v>
      </c>
      <c r="K123" s="1">
        <f t="shared" si="2"/>
        <v>0</v>
      </c>
      <c r="L123" s="1">
        <v>328166</v>
      </c>
    </row>
    <row r="124" spans="1:12" ht="21" hidden="1" customHeight="1" x14ac:dyDescent="0.2">
      <c r="A124" s="1" t="s">
        <v>11</v>
      </c>
      <c r="B124" s="1" t="s">
        <v>210</v>
      </c>
      <c r="C124" s="1" t="s">
        <v>211</v>
      </c>
      <c r="D124" s="1" t="s">
        <v>212</v>
      </c>
      <c r="E124" s="1" t="s">
        <v>9</v>
      </c>
      <c r="F124" s="1" t="s">
        <v>213</v>
      </c>
      <c r="G124" s="1" t="s">
        <v>21</v>
      </c>
      <c r="I124" s="1">
        <f t="shared" si="0"/>
        <v>0</v>
      </c>
      <c r="J124" s="1">
        <f t="shared" si="1"/>
        <v>1</v>
      </c>
      <c r="K124" s="1">
        <f t="shared" si="2"/>
        <v>0</v>
      </c>
      <c r="L124" s="1">
        <v>333269</v>
      </c>
    </row>
    <row r="125" spans="1:12" ht="21" customHeight="1" x14ac:dyDescent="0.2">
      <c r="A125" s="1" t="s">
        <v>666</v>
      </c>
      <c r="B125" s="1" t="s">
        <v>855</v>
      </c>
      <c r="C125" s="1" t="s">
        <v>856</v>
      </c>
      <c r="D125" s="1" t="s">
        <v>857</v>
      </c>
      <c r="E125" s="1" t="s">
        <v>8</v>
      </c>
      <c r="F125" s="1" t="s">
        <v>858</v>
      </c>
      <c r="G125" s="1" t="s">
        <v>26</v>
      </c>
      <c r="I125" s="1">
        <f t="shared" si="0"/>
        <v>1</v>
      </c>
      <c r="J125" s="1">
        <f t="shared" si="1"/>
        <v>0</v>
      </c>
      <c r="K125" s="1">
        <f t="shared" si="2"/>
        <v>0</v>
      </c>
      <c r="L125" s="1">
        <v>340626</v>
      </c>
    </row>
    <row r="126" spans="1:12" ht="21" hidden="1" customHeight="1" x14ac:dyDescent="0.2">
      <c r="A126" s="1" t="s">
        <v>1178</v>
      </c>
      <c r="B126" s="1" t="s">
        <v>1380</v>
      </c>
      <c r="C126" s="1" t="s">
        <v>1381</v>
      </c>
      <c r="D126" s="1" t="s">
        <v>1382</v>
      </c>
      <c r="E126" s="1" t="s">
        <v>9</v>
      </c>
      <c r="F126" s="1" t="s">
        <v>1383</v>
      </c>
      <c r="G126" s="1" t="s">
        <v>126</v>
      </c>
      <c r="I126" s="1">
        <f t="shared" si="0"/>
        <v>0</v>
      </c>
      <c r="J126" s="1">
        <f t="shared" si="1"/>
        <v>1</v>
      </c>
      <c r="K126" s="1">
        <f t="shared" si="2"/>
        <v>0</v>
      </c>
      <c r="L126" s="1">
        <v>351165</v>
      </c>
    </row>
    <row r="127" spans="1:12" ht="21" customHeight="1" x14ac:dyDescent="0.2">
      <c r="A127" s="1" t="s">
        <v>11</v>
      </c>
      <c r="B127" s="1" t="s">
        <v>272</v>
      </c>
      <c r="C127" s="1" t="s">
        <v>273</v>
      </c>
      <c r="D127" s="1" t="s">
        <v>274</v>
      </c>
      <c r="E127" s="1" t="s">
        <v>8</v>
      </c>
      <c r="F127" s="1" t="s">
        <v>275</v>
      </c>
      <c r="G127" s="1" t="s">
        <v>276</v>
      </c>
      <c r="I127" s="1">
        <f t="shared" si="0"/>
        <v>1</v>
      </c>
      <c r="J127" s="1">
        <f t="shared" si="1"/>
        <v>0</v>
      </c>
      <c r="K127" s="1">
        <f t="shared" si="2"/>
        <v>0</v>
      </c>
      <c r="L127" s="1">
        <v>355085</v>
      </c>
    </row>
    <row r="128" spans="1:12" ht="21" customHeight="1" x14ac:dyDescent="0.2">
      <c r="A128" s="1" t="s">
        <v>666</v>
      </c>
      <c r="B128" s="1" t="s">
        <v>825</v>
      </c>
      <c r="C128" s="1" t="s">
        <v>826</v>
      </c>
      <c r="D128" s="1" t="s">
        <v>827</v>
      </c>
      <c r="E128" s="1" t="s">
        <v>8</v>
      </c>
      <c r="F128" s="1" t="s">
        <v>828</v>
      </c>
      <c r="G128" s="1" t="s">
        <v>26</v>
      </c>
      <c r="I128" s="1">
        <f t="shared" si="0"/>
        <v>1</v>
      </c>
      <c r="J128" s="1">
        <f t="shared" si="1"/>
        <v>0</v>
      </c>
      <c r="K128" s="1">
        <f t="shared" si="2"/>
        <v>0</v>
      </c>
      <c r="L128" s="1">
        <v>355224</v>
      </c>
    </row>
    <row r="129" spans="1:12" ht="21" customHeight="1" x14ac:dyDescent="0.2">
      <c r="A129" s="1" t="s">
        <v>11</v>
      </c>
      <c r="B129" s="1" t="s">
        <v>327</v>
      </c>
      <c r="C129" s="1" t="s">
        <v>328</v>
      </c>
      <c r="D129" s="1" t="s">
        <v>329</v>
      </c>
      <c r="E129" s="1" t="s">
        <v>8</v>
      </c>
      <c r="F129" s="1" t="s">
        <v>330</v>
      </c>
      <c r="G129" s="1" t="s">
        <v>36</v>
      </c>
      <c r="I129" s="1">
        <f t="shared" si="0"/>
        <v>1</v>
      </c>
      <c r="J129" s="1">
        <f t="shared" si="1"/>
        <v>0</v>
      </c>
      <c r="K129" s="1">
        <f t="shared" si="2"/>
        <v>0</v>
      </c>
      <c r="L129" s="1">
        <v>356411</v>
      </c>
    </row>
    <row r="130" spans="1:12" ht="21" customHeight="1" x14ac:dyDescent="0.2">
      <c r="A130" s="1" t="s">
        <v>415</v>
      </c>
      <c r="B130" s="1" t="s">
        <v>501</v>
      </c>
      <c r="C130" s="1" t="s">
        <v>502</v>
      </c>
      <c r="D130" s="1" t="s">
        <v>503</v>
      </c>
      <c r="E130" s="1" t="s">
        <v>8</v>
      </c>
      <c r="F130" s="1" t="s">
        <v>504</v>
      </c>
      <c r="G130" s="1" t="s">
        <v>70</v>
      </c>
      <c r="I130" s="1">
        <f t="shared" si="0"/>
        <v>1</v>
      </c>
      <c r="J130" s="1">
        <f t="shared" si="1"/>
        <v>0</v>
      </c>
      <c r="K130" s="1">
        <f t="shared" si="2"/>
        <v>0</v>
      </c>
      <c r="L130" s="1">
        <v>356977</v>
      </c>
    </row>
    <row r="131" spans="1:12" ht="21" customHeight="1" x14ac:dyDescent="0.2">
      <c r="A131" s="1" t="s">
        <v>11</v>
      </c>
      <c r="B131" s="1" t="s">
        <v>159</v>
      </c>
      <c r="C131" s="1" t="s">
        <v>160</v>
      </c>
      <c r="D131" s="1" t="s">
        <v>161</v>
      </c>
      <c r="E131" s="1" t="s">
        <v>8</v>
      </c>
      <c r="F131" s="1" t="s">
        <v>162</v>
      </c>
      <c r="G131" s="1" t="s">
        <v>163</v>
      </c>
      <c r="I131" s="1">
        <f t="shared" si="0"/>
        <v>1</v>
      </c>
      <c r="J131" s="1">
        <f t="shared" si="1"/>
        <v>0</v>
      </c>
      <c r="K131" s="1">
        <f t="shared" si="2"/>
        <v>0</v>
      </c>
      <c r="L131" s="1">
        <v>361453</v>
      </c>
    </row>
    <row r="132" spans="1:12" ht="21" customHeight="1" x14ac:dyDescent="0.2">
      <c r="A132" s="1" t="s">
        <v>415</v>
      </c>
      <c r="B132" s="1" t="s">
        <v>416</v>
      </c>
      <c r="C132" s="1" t="s">
        <v>417</v>
      </c>
      <c r="D132" s="1" t="s">
        <v>418</v>
      </c>
      <c r="E132" s="1" t="s">
        <v>8</v>
      </c>
      <c r="F132" s="1" t="s">
        <v>419</v>
      </c>
      <c r="G132" s="1" t="s">
        <v>26</v>
      </c>
      <c r="I132" s="1">
        <f t="shared" si="0"/>
        <v>1</v>
      </c>
      <c r="J132" s="1">
        <f t="shared" si="1"/>
        <v>0</v>
      </c>
      <c r="K132" s="1">
        <f t="shared" si="2"/>
        <v>0</v>
      </c>
      <c r="L132" s="1">
        <v>361792</v>
      </c>
    </row>
    <row r="133" spans="1:12" ht="21" customHeight="1" x14ac:dyDescent="0.2">
      <c r="A133" s="1" t="s">
        <v>11</v>
      </c>
      <c r="B133" s="1" t="s">
        <v>178</v>
      </c>
      <c r="C133" s="1" t="s">
        <v>179</v>
      </c>
      <c r="D133" s="1" t="s">
        <v>180</v>
      </c>
      <c r="E133" s="1" t="s">
        <v>8</v>
      </c>
      <c r="F133" s="1" t="s">
        <v>181</v>
      </c>
      <c r="G133" s="1" t="s">
        <v>182</v>
      </c>
      <c r="I133" s="1">
        <f t="shared" si="0"/>
        <v>1</v>
      </c>
      <c r="J133" s="1">
        <f t="shared" si="1"/>
        <v>0</v>
      </c>
      <c r="K133" s="1">
        <f t="shared" si="2"/>
        <v>0</v>
      </c>
      <c r="L133" s="1">
        <v>363503</v>
      </c>
    </row>
    <row r="134" spans="1:12" ht="21" customHeight="1" x14ac:dyDescent="0.2">
      <c r="A134" s="1" t="s">
        <v>1178</v>
      </c>
      <c r="B134" s="1" t="s">
        <v>1274</v>
      </c>
      <c r="C134" s="1" t="s">
        <v>1275</v>
      </c>
      <c r="D134" s="1" t="s">
        <v>1276</v>
      </c>
      <c r="E134" s="1" t="s">
        <v>8</v>
      </c>
      <c r="F134" s="1" t="s">
        <v>1277</v>
      </c>
      <c r="G134" s="1" t="s">
        <v>1136</v>
      </c>
      <c r="I134" s="1">
        <f t="shared" si="0"/>
        <v>1</v>
      </c>
      <c r="J134" s="1">
        <f t="shared" si="1"/>
        <v>0</v>
      </c>
      <c r="K134" s="1">
        <f t="shared" si="2"/>
        <v>0</v>
      </c>
      <c r="L134" s="1">
        <v>370473</v>
      </c>
    </row>
    <row r="135" spans="1:12" ht="21" customHeight="1" x14ac:dyDescent="0.2">
      <c r="A135" s="1" t="s">
        <v>666</v>
      </c>
      <c r="B135" s="1" t="s">
        <v>1132</v>
      </c>
      <c r="C135" s="1" t="s">
        <v>1133</v>
      </c>
      <c r="D135" s="1" t="s">
        <v>1134</v>
      </c>
      <c r="E135" s="1" t="s">
        <v>8</v>
      </c>
      <c r="F135" s="1" t="s">
        <v>1135</v>
      </c>
      <c r="G135" s="1" t="s">
        <v>1136</v>
      </c>
      <c r="I135" s="1">
        <f t="shared" si="0"/>
        <v>1</v>
      </c>
      <c r="J135" s="1">
        <f t="shared" si="1"/>
        <v>0</v>
      </c>
      <c r="K135" s="1">
        <f t="shared" si="2"/>
        <v>0</v>
      </c>
      <c r="L135" s="1">
        <v>377779</v>
      </c>
    </row>
    <row r="136" spans="1:12" ht="21" customHeight="1" x14ac:dyDescent="0.2">
      <c r="A136" s="1" t="s">
        <v>11</v>
      </c>
      <c r="B136" s="1" t="s">
        <v>91</v>
      </c>
      <c r="C136" s="1" t="s">
        <v>92</v>
      </c>
      <c r="D136" s="1" t="s">
        <v>93</v>
      </c>
      <c r="E136" s="1" t="s">
        <v>8</v>
      </c>
      <c r="F136" s="1" t="s">
        <v>94</v>
      </c>
      <c r="G136" s="1" t="s">
        <v>26</v>
      </c>
      <c r="I136" s="1">
        <f t="shared" si="0"/>
        <v>1</v>
      </c>
      <c r="J136" s="1">
        <f t="shared" si="1"/>
        <v>0</v>
      </c>
      <c r="K136" s="1">
        <f t="shared" si="2"/>
        <v>0</v>
      </c>
      <c r="L136" s="1">
        <v>379929</v>
      </c>
    </row>
    <row r="137" spans="1:12" ht="21" customHeight="1" x14ac:dyDescent="0.2">
      <c r="A137" s="1" t="s">
        <v>11</v>
      </c>
      <c r="B137" s="1" t="s">
        <v>251</v>
      </c>
      <c r="C137" s="1" t="s">
        <v>252</v>
      </c>
      <c r="D137" s="1" t="s">
        <v>253</v>
      </c>
      <c r="E137" s="1" t="s">
        <v>8</v>
      </c>
      <c r="F137" s="1" t="s">
        <v>254</v>
      </c>
      <c r="G137" s="1" t="s">
        <v>36</v>
      </c>
      <c r="I137" s="1">
        <f t="shared" si="0"/>
        <v>1</v>
      </c>
      <c r="J137" s="1">
        <f t="shared" si="1"/>
        <v>0</v>
      </c>
      <c r="K137" s="1">
        <f t="shared" si="2"/>
        <v>0</v>
      </c>
      <c r="L137" s="1">
        <v>383079</v>
      </c>
    </row>
    <row r="138" spans="1:12" ht="21" hidden="1" customHeight="1" x14ac:dyDescent="0.2">
      <c r="A138" s="1" t="s">
        <v>11</v>
      </c>
      <c r="B138" s="1" t="s">
        <v>381</v>
      </c>
      <c r="C138" s="1" t="s">
        <v>382</v>
      </c>
      <c r="D138" s="1" t="s">
        <v>383</v>
      </c>
      <c r="E138" s="1" t="s">
        <v>9</v>
      </c>
      <c r="F138" s="1" t="s">
        <v>384</v>
      </c>
      <c r="G138" s="1" t="s">
        <v>21</v>
      </c>
      <c r="I138" s="1">
        <f t="shared" si="0"/>
        <v>0</v>
      </c>
      <c r="J138" s="1">
        <f t="shared" si="1"/>
        <v>1</v>
      </c>
      <c r="K138" s="1">
        <f t="shared" si="2"/>
        <v>0</v>
      </c>
      <c r="L138" s="1">
        <v>388386</v>
      </c>
    </row>
    <row r="139" spans="1:12" ht="21" hidden="1" customHeight="1" x14ac:dyDescent="0.2">
      <c r="A139" s="1" t="s">
        <v>1178</v>
      </c>
      <c r="B139" s="1" t="s">
        <v>1245</v>
      </c>
      <c r="C139" s="1" t="s">
        <v>1246</v>
      </c>
      <c r="D139" s="1" t="s">
        <v>1247</v>
      </c>
      <c r="E139" s="1" t="s">
        <v>9</v>
      </c>
      <c r="F139" s="1" t="s">
        <v>1248</v>
      </c>
      <c r="G139" s="1" t="s">
        <v>21</v>
      </c>
      <c r="I139" s="1">
        <f t="shared" si="0"/>
        <v>0</v>
      </c>
      <c r="J139" s="1">
        <f t="shared" si="1"/>
        <v>1</v>
      </c>
      <c r="K139" s="1">
        <f t="shared" si="2"/>
        <v>0</v>
      </c>
      <c r="L139" s="1">
        <v>392270</v>
      </c>
    </row>
    <row r="140" spans="1:12" ht="21" customHeight="1" x14ac:dyDescent="0.2">
      <c r="A140" s="1" t="s">
        <v>11</v>
      </c>
      <c r="B140" s="1" t="s">
        <v>146</v>
      </c>
      <c r="C140" s="1" t="s">
        <v>147</v>
      </c>
      <c r="D140" s="1" t="s">
        <v>148</v>
      </c>
      <c r="E140" s="1" t="s">
        <v>8</v>
      </c>
      <c r="F140" s="1" t="s">
        <v>149</v>
      </c>
      <c r="G140" s="1" t="s">
        <v>150</v>
      </c>
      <c r="I140" s="1">
        <f t="shared" si="0"/>
        <v>1</v>
      </c>
      <c r="J140" s="1">
        <f t="shared" si="1"/>
        <v>0</v>
      </c>
      <c r="K140" s="1">
        <f t="shared" si="2"/>
        <v>0</v>
      </c>
      <c r="L140" s="1">
        <v>393520</v>
      </c>
    </row>
    <row r="141" spans="1:12" ht="21" customHeight="1" x14ac:dyDescent="0.2">
      <c r="A141" s="1" t="s">
        <v>666</v>
      </c>
      <c r="B141" s="1" t="s">
        <v>896</v>
      </c>
      <c r="C141" s="1" t="s">
        <v>897</v>
      </c>
      <c r="D141" s="1" t="s">
        <v>898</v>
      </c>
      <c r="E141" s="1" t="s">
        <v>8</v>
      </c>
      <c r="F141" s="1" t="s">
        <v>899</v>
      </c>
      <c r="G141" s="1" t="s">
        <v>108</v>
      </c>
      <c r="I141" s="1">
        <f t="shared" si="0"/>
        <v>1</v>
      </c>
      <c r="J141" s="1">
        <f t="shared" si="1"/>
        <v>0</v>
      </c>
      <c r="K141" s="1">
        <f t="shared" si="2"/>
        <v>0</v>
      </c>
      <c r="L141" s="1">
        <v>403610</v>
      </c>
    </row>
    <row r="142" spans="1:12" ht="21" customHeight="1" x14ac:dyDescent="0.2">
      <c r="A142" s="1" t="s">
        <v>666</v>
      </c>
      <c r="B142" s="1" t="s">
        <v>793</v>
      </c>
      <c r="C142" s="1" t="s">
        <v>794</v>
      </c>
      <c r="D142" s="1" t="s">
        <v>795</v>
      </c>
      <c r="E142" s="1" t="s">
        <v>8</v>
      </c>
      <c r="F142" s="1" t="s">
        <v>796</v>
      </c>
      <c r="G142" s="1" t="s">
        <v>797</v>
      </c>
      <c r="I142" s="1">
        <f t="shared" si="0"/>
        <v>1</v>
      </c>
      <c r="J142" s="1">
        <f t="shared" si="1"/>
        <v>0</v>
      </c>
      <c r="K142" s="1">
        <f t="shared" si="2"/>
        <v>0</v>
      </c>
      <c r="L142" s="1">
        <v>407593</v>
      </c>
    </row>
    <row r="143" spans="1:12" ht="21" hidden="1" customHeight="1" x14ac:dyDescent="0.2">
      <c r="A143" s="1" t="s">
        <v>1178</v>
      </c>
      <c r="B143" s="1" t="s">
        <v>1416</v>
      </c>
      <c r="C143" s="1" t="s">
        <v>1417</v>
      </c>
      <c r="D143" s="1" t="s">
        <v>1418</v>
      </c>
      <c r="E143" s="1" t="s">
        <v>10</v>
      </c>
      <c r="F143" s="1" t="s">
        <v>1419</v>
      </c>
      <c r="G143" s="1" t="s">
        <v>31</v>
      </c>
      <c r="I143" s="1">
        <f t="shared" si="0"/>
        <v>0</v>
      </c>
      <c r="J143" s="1">
        <f t="shared" si="1"/>
        <v>0</v>
      </c>
      <c r="K143" s="1">
        <f t="shared" si="2"/>
        <v>1</v>
      </c>
      <c r="L143" s="1">
        <v>413434</v>
      </c>
    </row>
    <row r="144" spans="1:12" ht="21" customHeight="1" x14ac:dyDescent="0.2">
      <c r="A144" s="1" t="s">
        <v>11</v>
      </c>
      <c r="B144" s="1" t="s">
        <v>81</v>
      </c>
      <c r="C144" s="1" t="s">
        <v>82</v>
      </c>
      <c r="D144" s="1" t="s">
        <v>83</v>
      </c>
      <c r="E144" s="1" t="s">
        <v>8</v>
      </c>
      <c r="F144" s="1" t="s">
        <v>84</v>
      </c>
      <c r="G144" s="1" t="s">
        <v>85</v>
      </c>
      <c r="I144" s="1">
        <f t="shared" si="0"/>
        <v>1</v>
      </c>
      <c r="J144" s="1">
        <f t="shared" si="1"/>
        <v>0</v>
      </c>
      <c r="K144" s="1">
        <f t="shared" si="2"/>
        <v>0</v>
      </c>
      <c r="L144" s="1">
        <v>419245</v>
      </c>
    </row>
    <row r="145" spans="1:12" ht="21" customHeight="1" x14ac:dyDescent="0.2">
      <c r="A145" s="1" t="s">
        <v>666</v>
      </c>
      <c r="B145" s="1" t="s">
        <v>695</v>
      </c>
      <c r="C145" s="1" t="s">
        <v>696</v>
      </c>
      <c r="D145" s="1" t="s">
        <v>697</v>
      </c>
      <c r="E145" s="1" t="s">
        <v>8</v>
      </c>
      <c r="F145" s="1" t="s">
        <v>698</v>
      </c>
      <c r="G145" s="1" t="s">
        <v>26</v>
      </c>
      <c r="I145" s="1">
        <f t="shared" si="0"/>
        <v>1</v>
      </c>
      <c r="J145" s="1">
        <f t="shared" si="1"/>
        <v>0</v>
      </c>
      <c r="K145" s="1">
        <f t="shared" si="2"/>
        <v>0</v>
      </c>
      <c r="L145" s="1">
        <v>421195</v>
      </c>
    </row>
    <row r="146" spans="1:12" ht="21" customHeight="1" x14ac:dyDescent="0.2">
      <c r="A146" s="1" t="s">
        <v>666</v>
      </c>
      <c r="B146" s="1" t="s">
        <v>892</v>
      </c>
      <c r="C146" s="1" t="s">
        <v>893</v>
      </c>
      <c r="D146" s="1" t="s">
        <v>894</v>
      </c>
      <c r="E146" s="1" t="s">
        <v>8</v>
      </c>
      <c r="F146" s="1" t="s">
        <v>895</v>
      </c>
      <c r="G146" s="1" t="s">
        <v>26</v>
      </c>
      <c r="I146" s="1">
        <f t="shared" si="0"/>
        <v>1</v>
      </c>
      <c r="J146" s="1">
        <f t="shared" si="1"/>
        <v>0</v>
      </c>
      <c r="K146" s="1">
        <f t="shared" si="2"/>
        <v>0</v>
      </c>
      <c r="L146" s="1">
        <v>421627</v>
      </c>
    </row>
    <row r="147" spans="1:12" ht="21" hidden="1" customHeight="1" x14ac:dyDescent="0.2">
      <c r="A147" s="1" t="s">
        <v>1178</v>
      </c>
      <c r="B147" s="1" t="s">
        <v>1191</v>
      </c>
      <c r="C147" s="1" t="s">
        <v>1192</v>
      </c>
      <c r="D147" s="1" t="s">
        <v>1193</v>
      </c>
      <c r="E147" s="1" t="s">
        <v>9</v>
      </c>
      <c r="F147" s="1" t="s">
        <v>1194</v>
      </c>
      <c r="G147" s="1" t="s">
        <v>126</v>
      </c>
      <c r="I147" s="1">
        <f t="shared" si="0"/>
        <v>0</v>
      </c>
      <c r="J147" s="1">
        <f t="shared" si="1"/>
        <v>1</v>
      </c>
      <c r="K147" s="1">
        <f t="shared" si="2"/>
        <v>0</v>
      </c>
      <c r="L147" s="1">
        <v>430207</v>
      </c>
    </row>
    <row r="148" spans="1:12" ht="21" hidden="1" customHeight="1" x14ac:dyDescent="0.2">
      <c r="A148" s="1" t="s">
        <v>11</v>
      </c>
      <c r="B148" s="1" t="s">
        <v>127</v>
      </c>
      <c r="C148" s="1" t="s">
        <v>128</v>
      </c>
      <c r="D148" s="1" t="s">
        <v>129</v>
      </c>
      <c r="E148" s="1" t="s">
        <v>10</v>
      </c>
      <c r="F148" s="1" t="s">
        <v>130</v>
      </c>
      <c r="G148" s="1" t="s">
        <v>131</v>
      </c>
      <c r="I148" s="1">
        <f t="shared" si="0"/>
        <v>0</v>
      </c>
      <c r="J148" s="1">
        <f t="shared" si="1"/>
        <v>0</v>
      </c>
      <c r="K148" s="1">
        <f t="shared" si="2"/>
        <v>1</v>
      </c>
      <c r="L148" s="1">
        <v>431173</v>
      </c>
    </row>
    <row r="149" spans="1:12" ht="21" hidden="1" customHeight="1" x14ac:dyDescent="0.2">
      <c r="A149" s="1" t="s">
        <v>1178</v>
      </c>
      <c r="B149" s="1" t="s">
        <v>1212</v>
      </c>
      <c r="C149" s="1" t="s">
        <v>1213</v>
      </c>
      <c r="D149" s="1" t="s">
        <v>1214</v>
      </c>
      <c r="E149" s="1" t="s">
        <v>10</v>
      </c>
      <c r="F149" s="1" t="s">
        <v>1215</v>
      </c>
      <c r="G149" s="1" t="s">
        <v>21</v>
      </c>
      <c r="I149" s="1">
        <f t="shared" si="0"/>
        <v>0</v>
      </c>
      <c r="J149" s="1">
        <f t="shared" si="1"/>
        <v>0</v>
      </c>
      <c r="K149" s="1">
        <f t="shared" si="2"/>
        <v>1</v>
      </c>
      <c r="L149" s="1">
        <v>435456</v>
      </c>
    </row>
    <row r="150" spans="1:12" ht="21" hidden="1" customHeight="1" x14ac:dyDescent="0.2">
      <c r="A150" s="1" t="s">
        <v>1178</v>
      </c>
      <c r="B150" s="1" t="s">
        <v>1249</v>
      </c>
      <c r="C150" s="1" t="s">
        <v>1250</v>
      </c>
      <c r="D150" s="1" t="s">
        <v>1251</v>
      </c>
      <c r="E150" s="1" t="s">
        <v>9</v>
      </c>
      <c r="F150" s="1" t="s">
        <v>1252</v>
      </c>
      <c r="G150" s="1" t="s">
        <v>126</v>
      </c>
      <c r="I150" s="1">
        <f t="shared" si="0"/>
        <v>0</v>
      </c>
      <c r="J150" s="1">
        <f t="shared" si="1"/>
        <v>1</v>
      </c>
      <c r="K150" s="1">
        <f t="shared" si="2"/>
        <v>0</v>
      </c>
      <c r="L150" s="1">
        <v>436825</v>
      </c>
    </row>
    <row r="151" spans="1:12" ht="21" hidden="1" customHeight="1" x14ac:dyDescent="0.2">
      <c r="A151" s="1" t="s">
        <v>666</v>
      </c>
      <c r="B151" s="1" t="s">
        <v>816</v>
      </c>
      <c r="C151" s="1" t="s">
        <v>817</v>
      </c>
      <c r="D151" s="1" t="s">
        <v>818</v>
      </c>
      <c r="E151" s="1" t="s">
        <v>10</v>
      </c>
      <c r="F151" s="1" t="s">
        <v>819</v>
      </c>
      <c r="G151" s="1" t="s">
        <v>820</v>
      </c>
      <c r="I151" s="1">
        <f t="shared" si="0"/>
        <v>0</v>
      </c>
      <c r="J151" s="1">
        <f t="shared" si="1"/>
        <v>0</v>
      </c>
      <c r="K151" s="1">
        <f t="shared" si="2"/>
        <v>1</v>
      </c>
      <c r="L151" s="1">
        <v>441428</v>
      </c>
    </row>
    <row r="152" spans="1:12" ht="21" customHeight="1" x14ac:dyDescent="0.2">
      <c r="A152" s="1" t="s">
        <v>11</v>
      </c>
      <c r="B152" s="1" t="s">
        <v>214</v>
      </c>
      <c r="C152" s="1" t="s">
        <v>215</v>
      </c>
      <c r="D152" s="1" t="s">
        <v>216</v>
      </c>
      <c r="E152" s="1" t="s">
        <v>8</v>
      </c>
      <c r="F152" s="1" t="s">
        <v>217</v>
      </c>
      <c r="G152" s="1" t="s">
        <v>85</v>
      </c>
      <c r="I152" s="1">
        <f t="shared" si="0"/>
        <v>1</v>
      </c>
      <c r="J152" s="1">
        <f t="shared" si="1"/>
        <v>0</v>
      </c>
      <c r="K152" s="1">
        <f t="shared" si="2"/>
        <v>0</v>
      </c>
      <c r="L152" s="1">
        <v>442832</v>
      </c>
    </row>
    <row r="153" spans="1:12" ht="21" customHeight="1" x14ac:dyDescent="0.2">
      <c r="A153" s="1" t="s">
        <v>415</v>
      </c>
      <c r="B153" s="1" t="s">
        <v>619</v>
      </c>
      <c r="C153" s="1" t="s">
        <v>620</v>
      </c>
      <c r="D153" s="1" t="s">
        <v>621</v>
      </c>
      <c r="E153" s="1" t="s">
        <v>8</v>
      </c>
      <c r="F153" s="1" t="s">
        <v>622</v>
      </c>
      <c r="G153" s="1" t="s">
        <v>75</v>
      </c>
      <c r="I153" s="1">
        <f t="shared" si="0"/>
        <v>1</v>
      </c>
      <c r="J153" s="1">
        <f t="shared" si="1"/>
        <v>0</v>
      </c>
      <c r="K153" s="1">
        <f t="shared" si="2"/>
        <v>0</v>
      </c>
      <c r="L153" s="1">
        <v>443553</v>
      </c>
    </row>
    <row r="154" spans="1:12" ht="21" customHeight="1" x14ac:dyDescent="0.2">
      <c r="A154" s="1" t="s">
        <v>666</v>
      </c>
      <c r="B154" s="1" t="s">
        <v>812</v>
      </c>
      <c r="C154" s="1" t="s">
        <v>813</v>
      </c>
      <c r="D154" s="1" t="s">
        <v>814</v>
      </c>
      <c r="E154" s="1" t="s">
        <v>8</v>
      </c>
      <c r="F154" s="1" t="s">
        <v>815</v>
      </c>
      <c r="G154" s="1" t="s">
        <v>807</v>
      </c>
      <c r="I154" s="1">
        <f t="shared" si="0"/>
        <v>1</v>
      </c>
      <c r="J154" s="1">
        <f t="shared" si="1"/>
        <v>0</v>
      </c>
      <c r="K154" s="1">
        <f t="shared" si="2"/>
        <v>0</v>
      </c>
      <c r="L154" s="1">
        <v>446385</v>
      </c>
    </row>
    <row r="155" spans="1:12" ht="21" customHeight="1" x14ac:dyDescent="0.2">
      <c r="A155" s="1" t="s">
        <v>415</v>
      </c>
      <c r="B155" s="1" t="s">
        <v>610</v>
      </c>
      <c r="C155" s="1" t="s">
        <v>611</v>
      </c>
      <c r="D155" s="1" t="s">
        <v>612</v>
      </c>
      <c r="E155" s="1" t="s">
        <v>8</v>
      </c>
      <c r="F155" s="1" t="s">
        <v>613</v>
      </c>
      <c r="G155" s="1" t="s">
        <v>614</v>
      </c>
      <c r="I155" s="1">
        <f t="shared" si="0"/>
        <v>1</v>
      </c>
      <c r="J155" s="1">
        <f t="shared" si="1"/>
        <v>0</v>
      </c>
      <c r="K155" s="1">
        <f t="shared" si="2"/>
        <v>0</v>
      </c>
      <c r="L155" s="1">
        <v>446857</v>
      </c>
    </row>
    <row r="156" spans="1:12" ht="21" customHeight="1" x14ac:dyDescent="0.2">
      <c r="A156" s="1" t="s">
        <v>666</v>
      </c>
      <c r="B156" s="1" t="s">
        <v>711</v>
      </c>
      <c r="C156" s="1" t="s">
        <v>712</v>
      </c>
      <c r="D156" s="1" t="s">
        <v>713</v>
      </c>
      <c r="E156" s="1" t="s">
        <v>8</v>
      </c>
      <c r="F156" s="1" t="s">
        <v>714</v>
      </c>
      <c r="G156" s="1" t="s">
        <v>26</v>
      </c>
      <c r="I156" s="1">
        <f t="shared" si="0"/>
        <v>1</v>
      </c>
      <c r="J156" s="1">
        <f t="shared" si="1"/>
        <v>0</v>
      </c>
      <c r="K156" s="1">
        <f t="shared" si="2"/>
        <v>0</v>
      </c>
      <c r="L156" s="1">
        <v>446938</v>
      </c>
    </row>
    <row r="157" spans="1:12" ht="21" customHeight="1" x14ac:dyDescent="0.2">
      <c r="A157" s="1" t="s">
        <v>11</v>
      </c>
      <c r="B157" s="1" t="s">
        <v>402</v>
      </c>
      <c r="C157" s="1" t="s">
        <v>403</v>
      </c>
      <c r="D157" s="1" t="s">
        <v>404</v>
      </c>
      <c r="E157" s="1" t="s">
        <v>8</v>
      </c>
      <c r="F157" s="1" t="s">
        <v>405</v>
      </c>
      <c r="G157" s="1" t="s">
        <v>26</v>
      </c>
      <c r="I157" s="1">
        <f t="shared" si="0"/>
        <v>1</v>
      </c>
      <c r="J157" s="1">
        <f t="shared" si="1"/>
        <v>0</v>
      </c>
      <c r="K157" s="1">
        <f t="shared" si="2"/>
        <v>0</v>
      </c>
      <c r="L157" s="1">
        <v>447097</v>
      </c>
    </row>
    <row r="158" spans="1:12" ht="21" hidden="1" customHeight="1" x14ac:dyDescent="0.2">
      <c r="A158" s="1" t="s">
        <v>666</v>
      </c>
      <c r="B158" s="1" t="s">
        <v>929</v>
      </c>
      <c r="C158" s="1" t="s">
        <v>930</v>
      </c>
      <c r="D158" s="1" t="s">
        <v>931</v>
      </c>
      <c r="E158" s="1" t="s">
        <v>10</v>
      </c>
      <c r="F158" s="1" t="s">
        <v>932</v>
      </c>
      <c r="G158" s="1" t="s">
        <v>31</v>
      </c>
      <c r="I158" s="1">
        <f t="shared" si="0"/>
        <v>0</v>
      </c>
      <c r="J158" s="1">
        <f t="shared" si="1"/>
        <v>0</v>
      </c>
      <c r="K158" s="1">
        <f t="shared" si="2"/>
        <v>1</v>
      </c>
      <c r="L158" s="1">
        <v>448027</v>
      </c>
    </row>
    <row r="159" spans="1:12" ht="21" customHeight="1" x14ac:dyDescent="0.2">
      <c r="A159" s="1" t="s">
        <v>666</v>
      </c>
      <c r="B159" s="1" t="s">
        <v>671</v>
      </c>
      <c r="C159" s="1" t="s">
        <v>672</v>
      </c>
      <c r="D159" s="1" t="s">
        <v>673</v>
      </c>
      <c r="E159" s="1" t="s">
        <v>8</v>
      </c>
      <c r="F159" s="1" t="s">
        <v>674</v>
      </c>
      <c r="G159" s="1" t="s">
        <v>26</v>
      </c>
      <c r="I159" s="1">
        <f t="shared" si="0"/>
        <v>1</v>
      </c>
      <c r="J159" s="1">
        <f t="shared" si="1"/>
        <v>0</v>
      </c>
      <c r="K159" s="1">
        <f t="shared" si="2"/>
        <v>0</v>
      </c>
      <c r="L159" s="1">
        <v>449168</v>
      </c>
    </row>
    <row r="160" spans="1:12" ht="21" customHeight="1" x14ac:dyDescent="0.2">
      <c r="A160" s="1" t="s">
        <v>11</v>
      </c>
      <c r="B160" s="1" t="s">
        <v>104</v>
      </c>
      <c r="C160" s="1" t="s">
        <v>105</v>
      </c>
      <c r="D160" s="1" t="s">
        <v>106</v>
      </c>
      <c r="E160" s="1" t="s">
        <v>8</v>
      </c>
      <c r="F160" s="1" t="s">
        <v>107</v>
      </c>
      <c r="G160" s="1" t="s">
        <v>108</v>
      </c>
      <c r="I160" s="1">
        <f t="shared" si="0"/>
        <v>1</v>
      </c>
      <c r="J160" s="1">
        <f t="shared" si="1"/>
        <v>0</v>
      </c>
      <c r="K160" s="1">
        <f t="shared" si="2"/>
        <v>0</v>
      </c>
      <c r="L160" s="1">
        <v>450186</v>
      </c>
    </row>
    <row r="161" spans="1:12" ht="21" customHeight="1" x14ac:dyDescent="0.2">
      <c r="A161" s="1" t="s">
        <v>666</v>
      </c>
      <c r="B161" s="1" t="s">
        <v>1149</v>
      </c>
      <c r="C161" s="1" t="s">
        <v>1150</v>
      </c>
      <c r="D161" s="1" t="s">
        <v>1151</v>
      </c>
      <c r="E161" s="1" t="s">
        <v>8</v>
      </c>
      <c r="F161" s="1" t="s">
        <v>1152</v>
      </c>
      <c r="G161" s="1" t="s">
        <v>26</v>
      </c>
      <c r="I161" s="1">
        <f t="shared" si="0"/>
        <v>1</v>
      </c>
      <c r="J161" s="1">
        <f t="shared" si="1"/>
        <v>0</v>
      </c>
      <c r="K161" s="1">
        <f t="shared" si="2"/>
        <v>0</v>
      </c>
      <c r="L161" s="1">
        <v>451365</v>
      </c>
    </row>
    <row r="162" spans="1:12" ht="21" hidden="1" customHeight="1" x14ac:dyDescent="0.2">
      <c r="A162" s="1" t="s">
        <v>11</v>
      </c>
      <c r="B162" s="1" t="s">
        <v>406</v>
      </c>
      <c r="C162" s="1" t="s">
        <v>407</v>
      </c>
      <c r="D162" s="1" t="s">
        <v>408</v>
      </c>
      <c r="E162" s="1" t="s">
        <v>10</v>
      </c>
      <c r="F162" s="1" t="s">
        <v>409</v>
      </c>
      <c r="G162" s="1" t="s">
        <v>410</v>
      </c>
      <c r="I162" s="1">
        <f t="shared" si="0"/>
        <v>0</v>
      </c>
      <c r="J162" s="1">
        <f t="shared" si="1"/>
        <v>0</v>
      </c>
      <c r="K162" s="1">
        <f t="shared" si="2"/>
        <v>1</v>
      </c>
      <c r="L162" s="1">
        <v>454558</v>
      </c>
    </row>
    <row r="163" spans="1:12" ht="21" hidden="1" customHeight="1" x14ac:dyDescent="0.2">
      <c r="A163" s="1" t="s">
        <v>1178</v>
      </c>
      <c r="B163" s="1" t="s">
        <v>1392</v>
      </c>
      <c r="C163" s="1" t="s">
        <v>1393</v>
      </c>
      <c r="D163" s="1" t="s">
        <v>1394</v>
      </c>
      <c r="E163" s="1" t="s">
        <v>10</v>
      </c>
      <c r="F163" s="1" t="s">
        <v>1395</v>
      </c>
      <c r="G163" s="1" t="s">
        <v>597</v>
      </c>
      <c r="I163" s="1">
        <f t="shared" si="0"/>
        <v>0</v>
      </c>
      <c r="J163" s="1">
        <f t="shared" si="1"/>
        <v>0</v>
      </c>
      <c r="K163" s="1">
        <f t="shared" si="2"/>
        <v>1</v>
      </c>
      <c r="L163" s="1">
        <v>456214</v>
      </c>
    </row>
    <row r="164" spans="1:12" ht="21" hidden="1" customHeight="1" x14ac:dyDescent="0.2">
      <c r="A164" s="1" t="s">
        <v>666</v>
      </c>
      <c r="B164" s="1" t="s">
        <v>916</v>
      </c>
      <c r="C164" s="1" t="s">
        <v>917</v>
      </c>
      <c r="D164" s="1" t="s">
        <v>918</v>
      </c>
      <c r="E164" s="1" t="s">
        <v>10</v>
      </c>
      <c r="F164" s="1" t="s">
        <v>919</v>
      </c>
      <c r="G164" s="1" t="s">
        <v>920</v>
      </c>
      <c r="I164" s="1">
        <f t="shared" si="0"/>
        <v>0</v>
      </c>
      <c r="J164" s="1">
        <f t="shared" si="1"/>
        <v>0</v>
      </c>
      <c r="K164" s="1">
        <f t="shared" si="2"/>
        <v>1</v>
      </c>
      <c r="L164" s="1">
        <v>461606</v>
      </c>
    </row>
    <row r="165" spans="1:12" ht="21" customHeight="1" x14ac:dyDescent="0.2">
      <c r="A165" s="1" t="s">
        <v>415</v>
      </c>
      <c r="B165" s="1" t="s">
        <v>648</v>
      </c>
      <c r="C165" s="1" t="s">
        <v>649</v>
      </c>
      <c r="D165" s="1" t="s">
        <v>650</v>
      </c>
      <c r="E165" s="1" t="s">
        <v>8</v>
      </c>
      <c r="F165" s="1" t="s">
        <v>651</v>
      </c>
      <c r="G165" s="1" t="s">
        <v>652</v>
      </c>
      <c r="I165" s="1">
        <f t="shared" si="0"/>
        <v>1</v>
      </c>
      <c r="J165" s="1">
        <f t="shared" si="1"/>
        <v>0</v>
      </c>
      <c r="K165" s="1">
        <f t="shared" si="2"/>
        <v>0</v>
      </c>
      <c r="L165" s="1">
        <v>475239</v>
      </c>
    </row>
    <row r="166" spans="1:12" ht="21" hidden="1" customHeight="1" x14ac:dyDescent="0.2">
      <c r="A166" s="1" t="s">
        <v>666</v>
      </c>
      <c r="B166" s="1" t="s">
        <v>781</v>
      </c>
      <c r="C166" s="1" t="s">
        <v>782</v>
      </c>
      <c r="D166" s="1" t="s">
        <v>783</v>
      </c>
      <c r="E166" s="1" t="s">
        <v>10</v>
      </c>
      <c r="F166" s="1" t="s">
        <v>784</v>
      </c>
      <c r="G166" s="1" t="s">
        <v>31</v>
      </c>
      <c r="I166" s="1">
        <f t="shared" si="0"/>
        <v>0</v>
      </c>
      <c r="J166" s="1">
        <f t="shared" si="1"/>
        <v>0</v>
      </c>
      <c r="K166" s="1">
        <f t="shared" si="2"/>
        <v>1</v>
      </c>
      <c r="L166" s="1">
        <v>480740</v>
      </c>
    </row>
    <row r="167" spans="1:12" ht="21" customHeight="1" x14ac:dyDescent="0.2">
      <c r="A167" s="1" t="s">
        <v>666</v>
      </c>
      <c r="B167" s="1" t="s">
        <v>982</v>
      </c>
      <c r="C167" s="1" t="s">
        <v>983</v>
      </c>
      <c r="D167" s="1" t="s">
        <v>984</v>
      </c>
      <c r="E167" s="1" t="s">
        <v>8</v>
      </c>
      <c r="F167" s="1" t="s">
        <v>985</v>
      </c>
      <c r="G167" s="1" t="s">
        <v>986</v>
      </c>
      <c r="I167" s="1">
        <f t="shared" si="0"/>
        <v>1</v>
      </c>
      <c r="J167" s="1">
        <f t="shared" si="1"/>
        <v>0</v>
      </c>
      <c r="K167" s="1">
        <f t="shared" si="2"/>
        <v>0</v>
      </c>
      <c r="L167" s="1">
        <v>488406</v>
      </c>
    </row>
    <row r="168" spans="1:12" ht="21" customHeight="1" x14ac:dyDescent="0.2">
      <c r="A168" s="1" t="s">
        <v>415</v>
      </c>
      <c r="B168" s="1" t="s">
        <v>475</v>
      </c>
      <c r="C168" s="1" t="s">
        <v>476</v>
      </c>
      <c r="D168" s="1" t="s">
        <v>477</v>
      </c>
      <c r="E168" s="1" t="s">
        <v>8</v>
      </c>
      <c r="F168" s="1" t="s">
        <v>478</v>
      </c>
      <c r="G168" s="1" t="s">
        <v>267</v>
      </c>
      <c r="I168" s="1">
        <f t="shared" si="0"/>
        <v>1</v>
      </c>
      <c r="J168" s="1">
        <f t="shared" si="1"/>
        <v>0</v>
      </c>
      <c r="K168" s="1">
        <f t="shared" si="2"/>
        <v>0</v>
      </c>
      <c r="L168" s="1">
        <v>489367</v>
      </c>
    </row>
    <row r="169" spans="1:12" ht="21" customHeight="1" x14ac:dyDescent="0.2">
      <c r="A169" s="1" t="s">
        <v>1178</v>
      </c>
      <c r="B169" s="1" t="s">
        <v>1265</v>
      </c>
      <c r="C169" s="1" t="s">
        <v>1266</v>
      </c>
      <c r="D169" s="1" t="s">
        <v>1267</v>
      </c>
      <c r="E169" s="1" t="s">
        <v>8</v>
      </c>
      <c r="F169" s="1" t="s">
        <v>1268</v>
      </c>
      <c r="G169" s="1" t="s">
        <v>1269</v>
      </c>
      <c r="I169" s="1">
        <f t="shared" si="0"/>
        <v>1</v>
      </c>
      <c r="J169" s="1">
        <f t="shared" si="1"/>
        <v>0</v>
      </c>
      <c r="K169" s="1">
        <f t="shared" si="2"/>
        <v>0</v>
      </c>
      <c r="L169" s="1">
        <v>495643</v>
      </c>
    </row>
    <row r="170" spans="1:12" ht="21" hidden="1" customHeight="1" x14ac:dyDescent="0.2">
      <c r="A170" s="1" t="s">
        <v>666</v>
      </c>
      <c r="B170" s="1" t="s">
        <v>829</v>
      </c>
      <c r="C170" s="1" t="s">
        <v>830</v>
      </c>
      <c r="D170" s="1" t="s">
        <v>831</v>
      </c>
      <c r="E170" s="1" t="s">
        <v>10</v>
      </c>
      <c r="F170" s="1" t="s">
        <v>832</v>
      </c>
      <c r="G170" s="1" t="s">
        <v>21</v>
      </c>
      <c r="I170" s="1">
        <f t="shared" si="0"/>
        <v>0</v>
      </c>
      <c r="J170" s="1">
        <f t="shared" si="1"/>
        <v>0</v>
      </c>
      <c r="K170" s="1">
        <f t="shared" si="2"/>
        <v>1</v>
      </c>
      <c r="L170" s="1">
        <v>496654</v>
      </c>
    </row>
    <row r="171" spans="1:12" ht="21" hidden="1" customHeight="1" x14ac:dyDescent="0.2">
      <c r="A171" s="1" t="s">
        <v>666</v>
      </c>
      <c r="B171" s="1" t="s">
        <v>785</v>
      </c>
      <c r="C171" s="1" t="s">
        <v>786</v>
      </c>
      <c r="D171" s="1" t="s">
        <v>787</v>
      </c>
      <c r="E171" s="1" t="s">
        <v>10</v>
      </c>
      <c r="F171" s="1" t="s">
        <v>788</v>
      </c>
      <c r="G171" s="1" t="s">
        <v>31</v>
      </c>
      <c r="I171" s="1">
        <f t="shared" si="0"/>
        <v>0</v>
      </c>
      <c r="J171" s="1">
        <f t="shared" si="1"/>
        <v>0</v>
      </c>
      <c r="K171" s="1">
        <f t="shared" si="2"/>
        <v>1</v>
      </c>
      <c r="L171" s="1">
        <v>497624</v>
      </c>
    </row>
    <row r="172" spans="1:12" ht="21" hidden="1" customHeight="1" x14ac:dyDescent="0.2">
      <c r="A172" s="1" t="s">
        <v>666</v>
      </c>
      <c r="B172" s="1" t="s">
        <v>966</v>
      </c>
      <c r="C172" s="1" t="s">
        <v>967</v>
      </c>
      <c r="D172" s="1" t="s">
        <v>968</v>
      </c>
      <c r="E172" s="1" t="s">
        <v>10</v>
      </c>
      <c r="F172" s="1" t="s">
        <v>969</v>
      </c>
      <c r="G172" s="1" t="s">
        <v>31</v>
      </c>
      <c r="I172" s="1">
        <f t="shared" si="0"/>
        <v>0</v>
      </c>
      <c r="J172" s="1">
        <f t="shared" si="1"/>
        <v>0</v>
      </c>
      <c r="K172" s="1">
        <f t="shared" si="2"/>
        <v>1</v>
      </c>
      <c r="L172" s="1">
        <v>498461</v>
      </c>
    </row>
    <row r="173" spans="1:12" ht="21" customHeight="1" x14ac:dyDescent="0.2">
      <c r="A173" s="1" t="s">
        <v>415</v>
      </c>
      <c r="B173" s="1" t="s">
        <v>552</v>
      </c>
      <c r="C173" s="1" t="s">
        <v>553</v>
      </c>
      <c r="D173" s="1" t="s">
        <v>554</v>
      </c>
      <c r="E173" s="1" t="s">
        <v>8</v>
      </c>
      <c r="F173" s="1" t="s">
        <v>555</v>
      </c>
      <c r="G173" s="1" t="s">
        <v>26</v>
      </c>
      <c r="I173" s="1">
        <f t="shared" si="0"/>
        <v>1</v>
      </c>
      <c r="J173" s="1">
        <f t="shared" si="1"/>
        <v>0</v>
      </c>
      <c r="K173" s="1">
        <f t="shared" si="2"/>
        <v>0</v>
      </c>
      <c r="L173" s="1">
        <v>498879</v>
      </c>
    </row>
    <row r="174" spans="1:12" ht="21" customHeight="1" x14ac:dyDescent="0.2">
      <c r="A174" s="1" t="s">
        <v>415</v>
      </c>
      <c r="B174" s="1" t="s">
        <v>565</v>
      </c>
      <c r="C174" s="1" t="s">
        <v>566</v>
      </c>
      <c r="D174" s="1" t="s">
        <v>567</v>
      </c>
      <c r="E174" s="1" t="s">
        <v>8</v>
      </c>
      <c r="F174" s="1" t="s">
        <v>568</v>
      </c>
      <c r="G174" s="1" t="s">
        <v>26</v>
      </c>
      <c r="I174" s="1">
        <f t="shared" si="0"/>
        <v>1</v>
      </c>
      <c r="J174" s="1">
        <f t="shared" si="1"/>
        <v>0</v>
      </c>
      <c r="K174" s="1">
        <f t="shared" si="2"/>
        <v>0</v>
      </c>
      <c r="L174" s="1">
        <v>503154</v>
      </c>
    </row>
    <row r="175" spans="1:12" ht="21" hidden="1" customHeight="1" x14ac:dyDescent="0.2">
      <c r="A175" s="1" t="s">
        <v>666</v>
      </c>
      <c r="B175" s="1" t="s">
        <v>727</v>
      </c>
      <c r="C175" s="1" t="s">
        <v>728</v>
      </c>
      <c r="D175" s="1" t="s">
        <v>729</v>
      </c>
      <c r="E175" s="1" t="s">
        <v>10</v>
      </c>
      <c r="F175" s="1" t="s">
        <v>730</v>
      </c>
      <c r="G175" s="1" t="s">
        <v>31</v>
      </c>
      <c r="I175" s="1">
        <f t="shared" si="0"/>
        <v>0</v>
      </c>
      <c r="J175" s="1">
        <f t="shared" si="1"/>
        <v>0</v>
      </c>
      <c r="K175" s="1">
        <f t="shared" si="2"/>
        <v>1</v>
      </c>
      <c r="L175" s="1">
        <v>503240</v>
      </c>
    </row>
    <row r="176" spans="1:12" ht="21" customHeight="1" x14ac:dyDescent="0.2">
      <c r="A176" s="1" t="s">
        <v>11</v>
      </c>
      <c r="B176" s="1" t="s">
        <v>314</v>
      </c>
      <c r="C176" s="1" t="s">
        <v>315</v>
      </c>
      <c r="D176" s="1" t="s">
        <v>316</v>
      </c>
      <c r="E176" s="1" t="s">
        <v>8</v>
      </c>
      <c r="F176" s="1" t="s">
        <v>317</v>
      </c>
      <c r="G176" s="1" t="s">
        <v>318</v>
      </c>
      <c r="I176" s="1">
        <f t="shared" si="0"/>
        <v>1</v>
      </c>
      <c r="J176" s="1">
        <f t="shared" si="1"/>
        <v>0</v>
      </c>
      <c r="K176" s="1">
        <f t="shared" si="2"/>
        <v>0</v>
      </c>
      <c r="L176" s="1">
        <v>503490</v>
      </c>
    </row>
    <row r="177" spans="1:12" ht="21" customHeight="1" x14ac:dyDescent="0.2">
      <c r="A177" s="1" t="s">
        <v>1178</v>
      </c>
      <c r="B177" s="1" t="s">
        <v>1295</v>
      </c>
      <c r="C177" s="1" t="s">
        <v>1296</v>
      </c>
      <c r="D177" s="1" t="s">
        <v>1297</v>
      </c>
      <c r="E177" s="1" t="s">
        <v>8</v>
      </c>
      <c r="F177" s="1" t="s">
        <v>1298</v>
      </c>
      <c r="G177" s="1" t="s">
        <v>526</v>
      </c>
      <c r="I177" s="1">
        <f t="shared" si="0"/>
        <v>1</v>
      </c>
      <c r="J177" s="1">
        <f t="shared" si="1"/>
        <v>0</v>
      </c>
      <c r="K177" s="1">
        <f t="shared" si="2"/>
        <v>0</v>
      </c>
      <c r="L177" s="1">
        <v>505452</v>
      </c>
    </row>
    <row r="178" spans="1:12" ht="21" customHeight="1" x14ac:dyDescent="0.2">
      <c r="A178" s="1" t="s">
        <v>11</v>
      </c>
      <c r="B178" s="1" t="s">
        <v>292</v>
      </c>
      <c r="C178" s="1" t="s">
        <v>293</v>
      </c>
      <c r="D178" s="1" t="s">
        <v>294</v>
      </c>
      <c r="E178" s="1" t="s">
        <v>8</v>
      </c>
      <c r="F178" s="1" t="s">
        <v>295</v>
      </c>
      <c r="G178" s="1" t="s">
        <v>296</v>
      </c>
      <c r="I178" s="1">
        <f t="shared" si="0"/>
        <v>1</v>
      </c>
      <c r="J178" s="1">
        <f t="shared" si="1"/>
        <v>0</v>
      </c>
      <c r="K178" s="1">
        <f t="shared" si="2"/>
        <v>0</v>
      </c>
      <c r="L178" s="1">
        <v>509045</v>
      </c>
    </row>
    <row r="179" spans="1:12" ht="21" hidden="1" customHeight="1" x14ac:dyDescent="0.2">
      <c r="A179" s="1" t="s">
        <v>11</v>
      </c>
      <c r="B179" s="1" t="s">
        <v>205</v>
      </c>
      <c r="C179" s="1" t="s">
        <v>206</v>
      </c>
      <c r="D179" s="1" t="s">
        <v>207</v>
      </c>
      <c r="E179" s="1" t="s">
        <v>10</v>
      </c>
      <c r="F179" s="1" t="s">
        <v>208</v>
      </c>
      <c r="G179" s="1" t="s">
        <v>209</v>
      </c>
      <c r="I179" s="1">
        <f t="shared" si="0"/>
        <v>0</v>
      </c>
      <c r="J179" s="1">
        <f t="shared" si="1"/>
        <v>0</v>
      </c>
      <c r="K179" s="1">
        <f t="shared" si="2"/>
        <v>1</v>
      </c>
      <c r="L179" s="1">
        <v>509663</v>
      </c>
    </row>
    <row r="180" spans="1:12" ht="21" hidden="1" customHeight="1" x14ac:dyDescent="0.2">
      <c r="A180" s="1" t="s">
        <v>415</v>
      </c>
      <c r="B180" s="1" t="s">
        <v>569</v>
      </c>
      <c r="C180" s="1" t="s">
        <v>570</v>
      </c>
      <c r="D180" s="1" t="s">
        <v>571</v>
      </c>
      <c r="E180" s="1" t="s">
        <v>9</v>
      </c>
      <c r="F180" s="1" t="s">
        <v>572</v>
      </c>
      <c r="G180" s="1" t="s">
        <v>126</v>
      </c>
      <c r="I180" s="1">
        <f t="shared" si="0"/>
        <v>0</v>
      </c>
      <c r="J180" s="1">
        <f t="shared" si="1"/>
        <v>1</v>
      </c>
      <c r="K180" s="1">
        <f t="shared" si="2"/>
        <v>0</v>
      </c>
      <c r="L180" s="1">
        <v>513701</v>
      </c>
    </row>
    <row r="181" spans="1:12" ht="21" customHeight="1" x14ac:dyDescent="0.2">
      <c r="A181" s="1" t="s">
        <v>1178</v>
      </c>
      <c r="B181" s="1" t="s">
        <v>1257</v>
      </c>
      <c r="C181" s="1" t="s">
        <v>1258</v>
      </c>
      <c r="D181" s="1" t="s">
        <v>1259</v>
      </c>
      <c r="E181" s="1" t="s">
        <v>8</v>
      </c>
      <c r="F181" s="1" t="s">
        <v>1260</v>
      </c>
      <c r="G181" s="1" t="s">
        <v>36</v>
      </c>
      <c r="I181" s="1">
        <f t="shared" si="0"/>
        <v>1</v>
      </c>
      <c r="J181" s="1">
        <f t="shared" si="1"/>
        <v>0</v>
      </c>
      <c r="K181" s="1">
        <f t="shared" si="2"/>
        <v>0</v>
      </c>
      <c r="L181" s="1">
        <v>515025</v>
      </c>
    </row>
    <row r="182" spans="1:12" ht="21" customHeight="1" x14ac:dyDescent="0.2">
      <c r="A182" s="1" t="s">
        <v>415</v>
      </c>
      <c r="B182" s="1" t="s">
        <v>428</v>
      </c>
      <c r="C182" s="1" t="s">
        <v>429</v>
      </c>
      <c r="D182" s="1" t="s">
        <v>430</v>
      </c>
      <c r="E182" s="1" t="s">
        <v>8</v>
      </c>
      <c r="F182" s="1" t="s">
        <v>431</v>
      </c>
      <c r="G182" s="1" t="s">
        <v>267</v>
      </c>
      <c r="I182" s="1">
        <f t="shared" si="0"/>
        <v>1</v>
      </c>
      <c r="J182" s="1">
        <f t="shared" si="1"/>
        <v>0</v>
      </c>
      <c r="K182" s="1">
        <f t="shared" si="2"/>
        <v>0</v>
      </c>
      <c r="L182" s="1">
        <v>515249</v>
      </c>
    </row>
    <row r="183" spans="1:12" ht="21" hidden="1" customHeight="1" x14ac:dyDescent="0.2">
      <c r="A183" s="1" t="s">
        <v>666</v>
      </c>
      <c r="B183" s="1" t="s">
        <v>958</v>
      </c>
      <c r="C183" s="1" t="s">
        <v>959</v>
      </c>
      <c r="D183" s="1" t="s">
        <v>960</v>
      </c>
      <c r="E183" s="1" t="s">
        <v>10</v>
      </c>
      <c r="F183" s="1" t="s">
        <v>961</v>
      </c>
      <c r="G183" s="1" t="s">
        <v>31</v>
      </c>
      <c r="I183" s="1">
        <f t="shared" si="0"/>
        <v>0</v>
      </c>
      <c r="J183" s="1">
        <f t="shared" si="1"/>
        <v>0</v>
      </c>
      <c r="K183" s="1">
        <f t="shared" si="2"/>
        <v>1</v>
      </c>
      <c r="L183" s="1">
        <v>515648</v>
      </c>
    </row>
    <row r="184" spans="1:12" ht="21" customHeight="1" x14ac:dyDescent="0.2">
      <c r="A184" s="1" t="s">
        <v>666</v>
      </c>
      <c r="B184" s="1" t="s">
        <v>825</v>
      </c>
      <c r="C184" s="1" t="s">
        <v>826</v>
      </c>
      <c r="D184" s="1" t="s">
        <v>827</v>
      </c>
      <c r="E184" s="1" t="s">
        <v>8</v>
      </c>
      <c r="F184" s="1" t="s">
        <v>834</v>
      </c>
      <c r="G184" s="1" t="s">
        <v>26</v>
      </c>
      <c r="I184" s="1">
        <f t="shared" si="0"/>
        <v>1</v>
      </c>
      <c r="J184" s="1">
        <f t="shared" si="1"/>
        <v>0</v>
      </c>
      <c r="K184" s="1">
        <f t="shared" si="2"/>
        <v>0</v>
      </c>
      <c r="L184" s="1">
        <v>517137</v>
      </c>
    </row>
    <row r="185" spans="1:12" ht="21" customHeight="1" x14ac:dyDescent="0.2">
      <c r="A185" s="1" t="s">
        <v>1178</v>
      </c>
      <c r="B185" s="1" t="s">
        <v>1372</v>
      </c>
      <c r="C185" s="1" t="s">
        <v>1373</v>
      </c>
      <c r="D185" s="1" t="s">
        <v>1374</v>
      </c>
      <c r="E185" s="1" t="s">
        <v>8</v>
      </c>
      <c r="F185" s="1" t="s">
        <v>1375</v>
      </c>
      <c r="G185" s="1" t="s">
        <v>36</v>
      </c>
      <c r="I185" s="1">
        <f t="shared" si="0"/>
        <v>1</v>
      </c>
      <c r="J185" s="1">
        <f t="shared" si="1"/>
        <v>0</v>
      </c>
      <c r="K185" s="1">
        <f t="shared" si="2"/>
        <v>0</v>
      </c>
      <c r="L185" s="1">
        <v>518319</v>
      </c>
    </row>
    <row r="186" spans="1:12" ht="21" customHeight="1" x14ac:dyDescent="0.2">
      <c r="A186" s="1" t="s">
        <v>666</v>
      </c>
      <c r="B186" s="1" t="s">
        <v>1069</v>
      </c>
      <c r="C186" s="1" t="s">
        <v>1070</v>
      </c>
      <c r="D186" s="1" t="s">
        <v>1071</v>
      </c>
      <c r="E186" s="1" t="s">
        <v>8</v>
      </c>
      <c r="F186" s="1" t="s">
        <v>1072</v>
      </c>
      <c r="G186" s="1" t="s">
        <v>436</v>
      </c>
      <c r="I186" s="1">
        <f t="shared" si="0"/>
        <v>1</v>
      </c>
      <c r="J186" s="1">
        <f t="shared" si="1"/>
        <v>0</v>
      </c>
      <c r="K186" s="1">
        <f t="shared" si="2"/>
        <v>0</v>
      </c>
      <c r="L186" s="1">
        <v>520916</v>
      </c>
    </row>
    <row r="187" spans="1:12" ht="21" hidden="1" customHeight="1" x14ac:dyDescent="0.2">
      <c r="A187" s="1" t="s">
        <v>666</v>
      </c>
      <c r="B187" s="1" t="s">
        <v>871</v>
      </c>
      <c r="C187" s="1" t="s">
        <v>872</v>
      </c>
      <c r="D187" s="1" t="s">
        <v>873</v>
      </c>
      <c r="E187" s="1" t="s">
        <v>10</v>
      </c>
      <c r="F187" s="1" t="s">
        <v>874</v>
      </c>
      <c r="G187" s="1" t="s">
        <v>31</v>
      </c>
      <c r="I187" s="1">
        <f t="shared" si="0"/>
        <v>0</v>
      </c>
      <c r="J187" s="1">
        <f t="shared" si="1"/>
        <v>0</v>
      </c>
      <c r="K187" s="1">
        <f t="shared" si="2"/>
        <v>1</v>
      </c>
      <c r="L187" s="1">
        <v>522189</v>
      </c>
    </row>
    <row r="188" spans="1:12" ht="21" hidden="1" customHeight="1" x14ac:dyDescent="0.2">
      <c r="A188" s="1" t="s">
        <v>1178</v>
      </c>
      <c r="B188" s="1" t="s">
        <v>1408</v>
      </c>
      <c r="C188" s="1" t="s">
        <v>1409</v>
      </c>
      <c r="D188" s="1" t="s">
        <v>1410</v>
      </c>
      <c r="E188" s="1" t="s">
        <v>10</v>
      </c>
      <c r="F188" s="1" t="s">
        <v>1411</v>
      </c>
      <c r="G188" s="1" t="s">
        <v>245</v>
      </c>
      <c r="I188" s="1">
        <f t="shared" si="0"/>
        <v>0</v>
      </c>
      <c r="J188" s="1">
        <f t="shared" si="1"/>
        <v>0</v>
      </c>
      <c r="K188" s="1">
        <f t="shared" si="2"/>
        <v>1</v>
      </c>
      <c r="L188" s="1">
        <v>522479</v>
      </c>
    </row>
    <row r="189" spans="1:12" ht="21" customHeight="1" x14ac:dyDescent="0.2">
      <c r="A189" s="1" t="s">
        <v>666</v>
      </c>
      <c r="B189" s="1" t="s">
        <v>1111</v>
      </c>
      <c r="C189" s="1" t="s">
        <v>1112</v>
      </c>
      <c r="D189" s="1" t="s">
        <v>1113</v>
      </c>
      <c r="E189" s="1" t="s">
        <v>8</v>
      </c>
      <c r="F189" s="1" t="s">
        <v>1114</v>
      </c>
      <c r="G189" s="1" t="s">
        <v>85</v>
      </c>
      <c r="I189" s="1">
        <f t="shared" si="0"/>
        <v>1</v>
      </c>
      <c r="J189" s="1">
        <f t="shared" si="1"/>
        <v>0</v>
      </c>
      <c r="K189" s="1">
        <f t="shared" si="2"/>
        <v>0</v>
      </c>
      <c r="L189" s="1">
        <v>524540</v>
      </c>
    </row>
    <row r="190" spans="1:12" ht="21" hidden="1" customHeight="1" x14ac:dyDescent="0.2">
      <c r="A190" s="1" t="s">
        <v>666</v>
      </c>
      <c r="B190" s="1" t="s">
        <v>839</v>
      </c>
      <c r="C190" s="1" t="s">
        <v>840</v>
      </c>
      <c r="D190" s="1" t="s">
        <v>841</v>
      </c>
      <c r="E190" s="1" t="s">
        <v>10</v>
      </c>
      <c r="F190" s="1" t="s">
        <v>842</v>
      </c>
      <c r="G190" s="1" t="s">
        <v>51</v>
      </c>
      <c r="I190" s="1">
        <f t="shared" si="0"/>
        <v>0</v>
      </c>
      <c r="J190" s="1">
        <f t="shared" si="1"/>
        <v>0</v>
      </c>
      <c r="K190" s="1">
        <f t="shared" si="2"/>
        <v>1</v>
      </c>
      <c r="L190" s="1">
        <v>525333</v>
      </c>
    </row>
    <row r="191" spans="1:12" ht="21" customHeight="1" x14ac:dyDescent="0.2">
      <c r="A191" s="1" t="s">
        <v>11</v>
      </c>
      <c r="B191" s="1" t="s">
        <v>32</v>
      </c>
      <c r="C191" s="1" t="s">
        <v>33</v>
      </c>
      <c r="D191" s="1" t="s">
        <v>34</v>
      </c>
      <c r="E191" s="1" t="s">
        <v>8</v>
      </c>
      <c r="F191" s="1" t="s">
        <v>61</v>
      </c>
      <c r="G191" s="1" t="s">
        <v>36</v>
      </c>
      <c r="I191" s="1">
        <f t="shared" si="0"/>
        <v>1</v>
      </c>
      <c r="J191" s="1">
        <f t="shared" si="1"/>
        <v>0</v>
      </c>
      <c r="K191" s="1">
        <f t="shared" si="2"/>
        <v>0</v>
      </c>
      <c r="L191" s="1">
        <v>526002</v>
      </c>
    </row>
    <row r="192" spans="1:12" ht="21" hidden="1" customHeight="1" x14ac:dyDescent="0.2">
      <c r="A192" s="1" t="s">
        <v>666</v>
      </c>
      <c r="B192" s="1" t="s">
        <v>789</v>
      </c>
      <c r="C192" s="1" t="s">
        <v>790</v>
      </c>
      <c r="D192" s="1" t="s">
        <v>791</v>
      </c>
      <c r="E192" s="1" t="s">
        <v>10</v>
      </c>
      <c r="F192" s="1" t="s">
        <v>792</v>
      </c>
      <c r="G192" s="1" t="s">
        <v>31</v>
      </c>
      <c r="I192" s="1">
        <f t="shared" si="0"/>
        <v>0</v>
      </c>
      <c r="J192" s="1">
        <f t="shared" si="1"/>
        <v>0</v>
      </c>
      <c r="K192" s="1">
        <f t="shared" si="2"/>
        <v>1</v>
      </c>
      <c r="L192" s="1">
        <v>527244</v>
      </c>
    </row>
    <row r="193" spans="1:12" ht="21" customHeight="1" x14ac:dyDescent="0.2">
      <c r="A193" s="1" t="s">
        <v>415</v>
      </c>
      <c r="B193" s="1" t="s">
        <v>449</v>
      </c>
      <c r="C193" s="1" t="s">
        <v>450</v>
      </c>
      <c r="D193" s="1" t="s">
        <v>451</v>
      </c>
      <c r="E193" s="1" t="s">
        <v>8</v>
      </c>
      <c r="F193" s="1" t="s">
        <v>452</v>
      </c>
      <c r="G193" s="1" t="s">
        <v>453</v>
      </c>
      <c r="I193" s="1">
        <f t="shared" si="0"/>
        <v>1</v>
      </c>
      <c r="J193" s="1">
        <f t="shared" si="1"/>
        <v>0</v>
      </c>
      <c r="K193" s="1">
        <f t="shared" si="2"/>
        <v>0</v>
      </c>
      <c r="L193" s="1">
        <v>535005</v>
      </c>
    </row>
    <row r="194" spans="1:12" ht="21" hidden="1" customHeight="1" x14ac:dyDescent="0.2">
      <c r="A194" s="1" t="s">
        <v>666</v>
      </c>
      <c r="B194" s="1" t="s">
        <v>863</v>
      </c>
      <c r="C194" s="1" t="s">
        <v>864</v>
      </c>
      <c r="D194" s="1" t="s">
        <v>865</v>
      </c>
      <c r="E194" s="1" t="s">
        <v>10</v>
      </c>
      <c r="F194" s="1" t="s">
        <v>866</v>
      </c>
      <c r="G194" s="1" t="s">
        <v>31</v>
      </c>
      <c r="I194" s="1">
        <f t="shared" si="0"/>
        <v>0</v>
      </c>
      <c r="J194" s="1">
        <f t="shared" si="1"/>
        <v>0</v>
      </c>
      <c r="K194" s="1">
        <f t="shared" si="2"/>
        <v>1</v>
      </c>
      <c r="L194" s="1">
        <v>537884</v>
      </c>
    </row>
    <row r="195" spans="1:12" ht="21" hidden="1" customHeight="1" x14ac:dyDescent="0.2">
      <c r="A195" s="1" t="s">
        <v>415</v>
      </c>
      <c r="B195" s="1" t="s">
        <v>445</v>
      </c>
      <c r="C195" s="1" t="s">
        <v>446</v>
      </c>
      <c r="D195" s="1" t="s">
        <v>447</v>
      </c>
      <c r="E195" s="1" t="s">
        <v>10</v>
      </c>
      <c r="F195" s="1" t="s">
        <v>448</v>
      </c>
      <c r="G195" s="1" t="s">
        <v>31</v>
      </c>
      <c r="I195" s="1">
        <f t="shared" si="0"/>
        <v>0</v>
      </c>
      <c r="J195" s="1">
        <f t="shared" si="1"/>
        <v>0</v>
      </c>
      <c r="K195" s="1">
        <f t="shared" si="2"/>
        <v>1</v>
      </c>
      <c r="L195" s="1">
        <v>542160</v>
      </c>
    </row>
    <row r="196" spans="1:12" ht="21" customHeight="1" x14ac:dyDescent="0.2">
      <c r="A196" s="1" t="s">
        <v>11</v>
      </c>
      <c r="B196" s="1" t="s">
        <v>309</v>
      </c>
      <c r="C196" s="1" t="s">
        <v>310</v>
      </c>
      <c r="D196" s="1" t="s">
        <v>311</v>
      </c>
      <c r="E196" s="1" t="s">
        <v>8</v>
      </c>
      <c r="F196" s="1" t="s">
        <v>312</v>
      </c>
      <c r="G196" s="1" t="s">
        <v>313</v>
      </c>
      <c r="I196" s="1">
        <f t="shared" si="0"/>
        <v>1</v>
      </c>
      <c r="J196" s="1">
        <f t="shared" si="1"/>
        <v>0</v>
      </c>
      <c r="K196" s="1">
        <f t="shared" si="2"/>
        <v>0</v>
      </c>
      <c r="L196" s="1">
        <v>545882</v>
      </c>
    </row>
    <row r="197" spans="1:12" ht="21" hidden="1" customHeight="1" x14ac:dyDescent="0.2">
      <c r="A197" s="1" t="s">
        <v>1178</v>
      </c>
      <c r="B197" s="1" t="s">
        <v>1208</v>
      </c>
      <c r="C197" s="1" t="s">
        <v>1209</v>
      </c>
      <c r="D197" s="1" t="s">
        <v>1210</v>
      </c>
      <c r="E197" s="1" t="s">
        <v>10</v>
      </c>
      <c r="F197" s="1" t="s">
        <v>1211</v>
      </c>
      <c r="G197" s="1" t="s">
        <v>21</v>
      </c>
      <c r="I197" s="1">
        <f t="shared" si="0"/>
        <v>0</v>
      </c>
      <c r="J197" s="1">
        <f t="shared" si="1"/>
        <v>0</v>
      </c>
      <c r="K197" s="1">
        <f t="shared" si="2"/>
        <v>1</v>
      </c>
      <c r="L197" s="1">
        <v>546509</v>
      </c>
    </row>
    <row r="198" spans="1:12" ht="21" customHeight="1" x14ac:dyDescent="0.2">
      <c r="A198" s="1" t="s">
        <v>415</v>
      </c>
      <c r="B198" s="1" t="s">
        <v>632</v>
      </c>
      <c r="C198" s="1" t="s">
        <v>633</v>
      </c>
      <c r="D198" s="1" t="s">
        <v>634</v>
      </c>
      <c r="E198" s="1" t="s">
        <v>8</v>
      </c>
      <c r="F198" s="1" t="s">
        <v>635</v>
      </c>
      <c r="G198" s="1" t="s">
        <v>26</v>
      </c>
      <c r="I198" s="1">
        <f t="shared" si="0"/>
        <v>1</v>
      </c>
      <c r="J198" s="1">
        <f t="shared" si="1"/>
        <v>0</v>
      </c>
      <c r="K198" s="1">
        <f t="shared" si="2"/>
        <v>0</v>
      </c>
      <c r="L198" s="1">
        <v>546870</v>
      </c>
    </row>
    <row r="199" spans="1:12" ht="21" customHeight="1" x14ac:dyDescent="0.2">
      <c r="A199" s="1" t="s">
        <v>1178</v>
      </c>
      <c r="B199" s="1" t="s">
        <v>1241</v>
      </c>
      <c r="C199" s="1" t="s">
        <v>1242</v>
      </c>
      <c r="D199" s="1" t="s">
        <v>1243</v>
      </c>
      <c r="E199" s="1" t="s">
        <v>8</v>
      </c>
      <c r="F199" s="1" t="s">
        <v>1244</v>
      </c>
      <c r="G199" s="1" t="s">
        <v>163</v>
      </c>
      <c r="I199" s="1">
        <f t="shared" si="0"/>
        <v>1</v>
      </c>
      <c r="J199" s="1">
        <f t="shared" si="1"/>
        <v>0</v>
      </c>
      <c r="K199" s="1">
        <f t="shared" si="2"/>
        <v>0</v>
      </c>
      <c r="L199" s="1">
        <v>563870</v>
      </c>
    </row>
    <row r="200" spans="1:12" ht="21" customHeight="1" x14ac:dyDescent="0.2">
      <c r="A200" s="1" t="s">
        <v>415</v>
      </c>
      <c r="B200" s="1" t="s">
        <v>514</v>
      </c>
      <c r="C200" s="1" t="s">
        <v>515</v>
      </c>
      <c r="D200" s="1" t="s">
        <v>516</v>
      </c>
      <c r="E200" s="1" t="s">
        <v>8</v>
      </c>
      <c r="F200" s="1" t="s">
        <v>517</v>
      </c>
      <c r="G200" s="1" t="s">
        <v>26</v>
      </c>
      <c r="I200" s="1">
        <f t="shared" si="0"/>
        <v>1</v>
      </c>
      <c r="J200" s="1">
        <f t="shared" si="1"/>
        <v>0</v>
      </c>
      <c r="K200" s="1">
        <f t="shared" si="2"/>
        <v>0</v>
      </c>
      <c r="L200" s="1">
        <v>566297</v>
      </c>
    </row>
    <row r="201" spans="1:12" ht="21" hidden="1" customHeight="1" x14ac:dyDescent="0.2">
      <c r="A201" s="1" t="s">
        <v>11</v>
      </c>
      <c r="B201" s="1" t="s">
        <v>373</v>
      </c>
      <c r="C201" s="1" t="s">
        <v>374</v>
      </c>
      <c r="D201" s="1" t="s">
        <v>375</v>
      </c>
      <c r="E201" s="1" t="s">
        <v>10</v>
      </c>
      <c r="F201" s="1" t="s">
        <v>376</v>
      </c>
      <c r="G201" s="1" t="s">
        <v>31</v>
      </c>
      <c r="I201" s="1">
        <f t="shared" si="0"/>
        <v>0</v>
      </c>
      <c r="J201" s="1">
        <f t="shared" si="1"/>
        <v>0</v>
      </c>
      <c r="K201" s="1">
        <f t="shared" si="2"/>
        <v>1</v>
      </c>
      <c r="L201" s="1">
        <v>571751</v>
      </c>
    </row>
    <row r="202" spans="1:12" ht="21" customHeight="1" x14ac:dyDescent="0.2">
      <c r="A202" s="1" t="s">
        <v>11</v>
      </c>
      <c r="B202" s="1" t="s">
        <v>331</v>
      </c>
      <c r="C202" s="1" t="s">
        <v>332</v>
      </c>
      <c r="D202" s="1" t="s">
        <v>333</v>
      </c>
      <c r="E202" s="1" t="s">
        <v>8</v>
      </c>
      <c r="F202" s="1" t="s">
        <v>334</v>
      </c>
      <c r="G202" s="1" t="s">
        <v>335</v>
      </c>
      <c r="I202" s="1">
        <f t="shared" si="0"/>
        <v>1</v>
      </c>
      <c r="J202" s="1">
        <f t="shared" si="1"/>
        <v>0</v>
      </c>
      <c r="K202" s="1">
        <f t="shared" si="2"/>
        <v>0</v>
      </c>
      <c r="L202" s="1">
        <v>575707</v>
      </c>
    </row>
    <row r="203" spans="1:12" ht="21" hidden="1" customHeight="1" x14ac:dyDescent="0.2">
      <c r="A203" s="1" t="s">
        <v>666</v>
      </c>
      <c r="B203" s="1" t="s">
        <v>1082</v>
      </c>
      <c r="C203" s="1" t="s">
        <v>1083</v>
      </c>
      <c r="D203" s="1" t="s">
        <v>1084</v>
      </c>
      <c r="E203" s="1" t="s">
        <v>10</v>
      </c>
      <c r="F203" s="1" t="s">
        <v>1085</v>
      </c>
      <c r="G203" s="1" t="s">
        <v>21</v>
      </c>
      <c r="I203" s="1">
        <f t="shared" si="0"/>
        <v>0</v>
      </c>
      <c r="J203" s="1">
        <f t="shared" si="1"/>
        <v>0</v>
      </c>
      <c r="K203" s="1">
        <f t="shared" si="2"/>
        <v>1</v>
      </c>
      <c r="L203" s="1">
        <v>581978</v>
      </c>
    </row>
    <row r="204" spans="1:12" ht="21" customHeight="1" x14ac:dyDescent="0.2">
      <c r="A204" s="1" t="s">
        <v>666</v>
      </c>
      <c r="B204" s="1" t="s">
        <v>843</v>
      </c>
      <c r="C204" s="1" t="s">
        <v>844</v>
      </c>
      <c r="D204" s="1" t="s">
        <v>845</v>
      </c>
      <c r="E204" s="1" t="s">
        <v>8</v>
      </c>
      <c r="F204" s="1" t="s">
        <v>846</v>
      </c>
      <c r="G204" s="1" t="s">
        <v>267</v>
      </c>
      <c r="I204" s="1">
        <f t="shared" si="0"/>
        <v>1</v>
      </c>
      <c r="J204" s="1">
        <f t="shared" si="1"/>
        <v>0</v>
      </c>
      <c r="K204" s="1">
        <f t="shared" si="2"/>
        <v>0</v>
      </c>
      <c r="L204" s="1">
        <v>589079</v>
      </c>
    </row>
    <row r="205" spans="1:12" ht="21" customHeight="1" x14ac:dyDescent="0.2">
      <c r="A205" s="1" t="s">
        <v>11</v>
      </c>
      <c r="B205" s="1" t="s">
        <v>86</v>
      </c>
      <c r="C205" s="1" t="s">
        <v>87</v>
      </c>
      <c r="D205" s="1" t="s">
        <v>88</v>
      </c>
      <c r="E205" s="1" t="s">
        <v>8</v>
      </c>
      <c r="F205" s="1" t="s">
        <v>89</v>
      </c>
      <c r="G205" s="1" t="s">
        <v>90</v>
      </c>
      <c r="I205" s="1">
        <f t="shared" si="0"/>
        <v>1</v>
      </c>
      <c r="J205" s="1">
        <f t="shared" si="1"/>
        <v>0</v>
      </c>
      <c r="K205" s="1">
        <f t="shared" si="2"/>
        <v>0</v>
      </c>
      <c r="L205" s="1">
        <v>593717</v>
      </c>
    </row>
    <row r="206" spans="1:12" ht="21" customHeight="1" x14ac:dyDescent="0.2">
      <c r="A206" s="1" t="s">
        <v>415</v>
      </c>
      <c r="B206" s="1" t="s">
        <v>487</v>
      </c>
      <c r="C206" s="1" t="s">
        <v>488</v>
      </c>
      <c r="D206" s="1" t="s">
        <v>489</v>
      </c>
      <c r="E206" s="1" t="s">
        <v>8</v>
      </c>
      <c r="F206" s="1" t="s">
        <v>490</v>
      </c>
      <c r="G206" s="1" t="s">
        <v>491</v>
      </c>
      <c r="I206" s="1">
        <f t="shared" si="0"/>
        <v>1</v>
      </c>
      <c r="J206" s="1">
        <f t="shared" si="1"/>
        <v>0</v>
      </c>
      <c r="K206" s="1">
        <f t="shared" si="2"/>
        <v>0</v>
      </c>
      <c r="L206" s="1">
        <v>596834</v>
      </c>
    </row>
    <row r="207" spans="1:12" ht="21" hidden="1" customHeight="1" x14ac:dyDescent="0.2">
      <c r="A207" s="1" t="s">
        <v>666</v>
      </c>
      <c r="B207" s="1" t="s">
        <v>1169</v>
      </c>
      <c r="C207" s="1" t="s">
        <v>1170</v>
      </c>
      <c r="D207" s="1" t="s">
        <v>1171</v>
      </c>
      <c r="E207" s="1" t="s">
        <v>10</v>
      </c>
      <c r="F207" s="1" t="s">
        <v>1172</v>
      </c>
      <c r="G207" s="1" t="s">
        <v>1173</v>
      </c>
      <c r="I207" s="1">
        <f t="shared" si="0"/>
        <v>0</v>
      </c>
      <c r="J207" s="1">
        <f t="shared" si="1"/>
        <v>0</v>
      </c>
      <c r="K207" s="1">
        <f t="shared" si="2"/>
        <v>1</v>
      </c>
      <c r="L207" s="1">
        <v>597735</v>
      </c>
    </row>
    <row r="208" spans="1:12" ht="21" hidden="1" customHeight="1" x14ac:dyDescent="0.2">
      <c r="A208" s="1" t="s">
        <v>666</v>
      </c>
      <c r="B208" s="1" t="s">
        <v>1165</v>
      </c>
      <c r="C208" s="1" t="s">
        <v>1166</v>
      </c>
      <c r="D208" s="1" t="s">
        <v>1167</v>
      </c>
      <c r="E208" s="1" t="s">
        <v>10</v>
      </c>
      <c r="F208" s="1" t="s">
        <v>1168</v>
      </c>
      <c r="G208" s="1" t="s">
        <v>31</v>
      </c>
      <c r="I208" s="1">
        <f t="shared" si="0"/>
        <v>0</v>
      </c>
      <c r="J208" s="1">
        <f t="shared" si="1"/>
        <v>0</v>
      </c>
      <c r="K208" s="1">
        <f t="shared" si="2"/>
        <v>1</v>
      </c>
      <c r="L208" s="1">
        <v>599547</v>
      </c>
    </row>
    <row r="209" spans="1:12" ht="21" hidden="1" customHeight="1" x14ac:dyDescent="0.2">
      <c r="A209" s="1" t="s">
        <v>11</v>
      </c>
      <c r="B209" s="1" t="s">
        <v>356</v>
      </c>
      <c r="C209" s="1" t="s">
        <v>357</v>
      </c>
      <c r="D209" s="1" t="s">
        <v>358</v>
      </c>
      <c r="E209" s="1" t="s">
        <v>10</v>
      </c>
      <c r="F209" s="1" t="s">
        <v>359</v>
      </c>
      <c r="G209" s="1" t="s">
        <v>31</v>
      </c>
      <c r="I209" s="1">
        <f t="shared" si="0"/>
        <v>0</v>
      </c>
      <c r="J209" s="1">
        <f t="shared" si="1"/>
        <v>0</v>
      </c>
      <c r="K209" s="1">
        <f t="shared" si="2"/>
        <v>1</v>
      </c>
      <c r="L209" s="1">
        <v>604700</v>
      </c>
    </row>
    <row r="210" spans="1:12" ht="21" hidden="1" customHeight="1" x14ac:dyDescent="0.2">
      <c r="A210" s="1" t="s">
        <v>415</v>
      </c>
      <c r="B210" s="1" t="s">
        <v>573</v>
      </c>
      <c r="C210" s="1" t="s">
        <v>574</v>
      </c>
      <c r="D210" s="1" t="s">
        <v>575</v>
      </c>
      <c r="E210" s="1" t="s">
        <v>10</v>
      </c>
      <c r="F210" s="1" t="s">
        <v>576</v>
      </c>
      <c r="G210" s="1" t="s">
        <v>31</v>
      </c>
      <c r="I210" s="1">
        <f t="shared" si="0"/>
        <v>0</v>
      </c>
      <c r="J210" s="1">
        <f t="shared" si="1"/>
        <v>0</v>
      </c>
      <c r="K210" s="1">
        <f t="shared" si="2"/>
        <v>1</v>
      </c>
      <c r="L210" s="1">
        <v>607655</v>
      </c>
    </row>
    <row r="211" spans="1:12" ht="21" hidden="1" customHeight="1" x14ac:dyDescent="0.2">
      <c r="A211" s="1" t="s">
        <v>11</v>
      </c>
      <c r="B211" s="1" t="s">
        <v>17</v>
      </c>
      <c r="C211" s="1" t="s">
        <v>18</v>
      </c>
      <c r="D211" s="1" t="s">
        <v>19</v>
      </c>
      <c r="E211" s="1" t="s">
        <v>10</v>
      </c>
      <c r="F211" s="1" t="s">
        <v>20</v>
      </c>
      <c r="G211" s="1" t="s">
        <v>21</v>
      </c>
      <c r="I211" s="1">
        <f t="shared" si="0"/>
        <v>0</v>
      </c>
      <c r="J211" s="1">
        <f t="shared" si="1"/>
        <v>0</v>
      </c>
      <c r="K211" s="1">
        <f t="shared" si="2"/>
        <v>1</v>
      </c>
      <c r="L211" s="1">
        <v>609209</v>
      </c>
    </row>
    <row r="212" spans="1:12" ht="21" hidden="1" customHeight="1" x14ac:dyDescent="0.2">
      <c r="A212" s="1" t="s">
        <v>1178</v>
      </c>
      <c r="B212" s="1" t="s">
        <v>1224</v>
      </c>
      <c r="C212" s="1" t="s">
        <v>1225</v>
      </c>
      <c r="D212" s="1" t="s">
        <v>1226</v>
      </c>
      <c r="E212" s="1" t="s">
        <v>10</v>
      </c>
      <c r="F212" s="1" t="s">
        <v>1227</v>
      </c>
      <c r="G212" s="1" t="s">
        <v>291</v>
      </c>
      <c r="I212" s="1">
        <f t="shared" si="0"/>
        <v>0</v>
      </c>
      <c r="J212" s="1">
        <f t="shared" si="1"/>
        <v>0</v>
      </c>
      <c r="K212" s="1">
        <f t="shared" si="2"/>
        <v>1</v>
      </c>
      <c r="L212" s="1">
        <v>610006</v>
      </c>
    </row>
    <row r="213" spans="1:12" ht="21" customHeight="1" x14ac:dyDescent="0.2">
      <c r="A213" s="1" t="s">
        <v>415</v>
      </c>
      <c r="B213" s="1" t="s">
        <v>496</v>
      </c>
      <c r="C213" s="1" t="s">
        <v>497</v>
      </c>
      <c r="D213" s="1" t="s">
        <v>498</v>
      </c>
      <c r="E213" s="1" t="s">
        <v>8</v>
      </c>
      <c r="F213" s="1" t="s">
        <v>499</v>
      </c>
      <c r="G213" s="1" t="s">
        <v>500</v>
      </c>
      <c r="I213" s="1">
        <f t="shared" si="0"/>
        <v>1</v>
      </c>
      <c r="J213" s="1">
        <f t="shared" si="1"/>
        <v>0</v>
      </c>
      <c r="K213" s="1">
        <f t="shared" si="2"/>
        <v>0</v>
      </c>
      <c r="L213" s="1">
        <v>610229</v>
      </c>
    </row>
    <row r="214" spans="1:12" ht="21" customHeight="1" x14ac:dyDescent="0.2">
      <c r="A214" s="1" t="s">
        <v>11</v>
      </c>
      <c r="B214" s="1" t="s">
        <v>32</v>
      </c>
      <c r="C214" s="1" t="s">
        <v>33</v>
      </c>
      <c r="D214" s="1" t="s">
        <v>34</v>
      </c>
      <c r="E214" s="1" t="s">
        <v>8</v>
      </c>
      <c r="F214" s="1" t="s">
        <v>35</v>
      </c>
      <c r="G214" s="1" t="s">
        <v>36</v>
      </c>
      <c r="I214" s="1">
        <f t="shared" si="0"/>
        <v>1</v>
      </c>
      <c r="J214" s="1">
        <f t="shared" si="1"/>
        <v>0</v>
      </c>
      <c r="K214" s="1">
        <f t="shared" si="2"/>
        <v>0</v>
      </c>
      <c r="L214" s="1">
        <v>616192</v>
      </c>
    </row>
    <row r="215" spans="1:12" ht="21" customHeight="1" x14ac:dyDescent="0.2">
      <c r="A215" s="1" t="s">
        <v>1178</v>
      </c>
      <c r="B215" s="1" t="s">
        <v>1384</v>
      </c>
      <c r="C215" s="1" t="s">
        <v>1385</v>
      </c>
      <c r="D215" s="1" t="s">
        <v>1386</v>
      </c>
      <c r="E215" s="1" t="s">
        <v>8</v>
      </c>
      <c r="F215" s="1" t="s">
        <v>1387</v>
      </c>
      <c r="G215" s="1" t="s">
        <v>26</v>
      </c>
      <c r="I215" s="1">
        <f t="shared" si="0"/>
        <v>1</v>
      </c>
      <c r="J215" s="1">
        <f t="shared" si="1"/>
        <v>0</v>
      </c>
      <c r="K215" s="1">
        <f t="shared" si="2"/>
        <v>0</v>
      </c>
      <c r="L215" s="1">
        <v>618047</v>
      </c>
    </row>
    <row r="216" spans="1:12" ht="21" customHeight="1" x14ac:dyDescent="0.2">
      <c r="A216" s="1" t="s">
        <v>415</v>
      </c>
      <c r="B216" s="1" t="s">
        <v>623</v>
      </c>
      <c r="C216" s="1" t="s">
        <v>624</v>
      </c>
      <c r="D216" s="1" t="s">
        <v>625</v>
      </c>
      <c r="E216" s="1" t="s">
        <v>8</v>
      </c>
      <c r="F216" s="1" t="s">
        <v>626</v>
      </c>
      <c r="G216" s="1" t="s">
        <v>26</v>
      </c>
      <c r="I216" s="1">
        <f t="shared" si="0"/>
        <v>1</v>
      </c>
      <c r="J216" s="1">
        <f t="shared" si="1"/>
        <v>0</v>
      </c>
      <c r="K216" s="1">
        <f t="shared" si="2"/>
        <v>0</v>
      </c>
      <c r="L216" s="1">
        <v>620304</v>
      </c>
    </row>
    <row r="217" spans="1:12" ht="21" customHeight="1" x14ac:dyDescent="0.2">
      <c r="A217" s="1" t="s">
        <v>666</v>
      </c>
      <c r="B217" s="1" t="s">
        <v>859</v>
      </c>
      <c r="C217" s="1" t="s">
        <v>860</v>
      </c>
      <c r="D217" s="1" t="s">
        <v>861</v>
      </c>
      <c r="E217" s="1" t="s">
        <v>8</v>
      </c>
      <c r="F217" s="1" t="s">
        <v>862</v>
      </c>
      <c r="G217" s="1" t="s">
        <v>26</v>
      </c>
      <c r="I217" s="1">
        <f t="shared" si="0"/>
        <v>1</v>
      </c>
      <c r="J217" s="1">
        <f t="shared" si="1"/>
        <v>0</v>
      </c>
      <c r="K217" s="1">
        <f t="shared" si="2"/>
        <v>0</v>
      </c>
      <c r="L217" s="1">
        <v>623865</v>
      </c>
    </row>
    <row r="218" spans="1:12" ht="21" customHeight="1" x14ac:dyDescent="0.2">
      <c r="A218" s="1" t="s">
        <v>1178</v>
      </c>
      <c r="B218" s="1" t="s">
        <v>1299</v>
      </c>
      <c r="C218" s="1" t="s">
        <v>1300</v>
      </c>
      <c r="D218" s="1" t="s">
        <v>1301</v>
      </c>
      <c r="E218" s="1" t="s">
        <v>8</v>
      </c>
      <c r="F218" s="1" t="s">
        <v>1302</v>
      </c>
      <c r="G218" s="1" t="s">
        <v>75</v>
      </c>
      <c r="I218" s="1">
        <f t="shared" si="0"/>
        <v>1</v>
      </c>
      <c r="J218" s="1">
        <f t="shared" si="1"/>
        <v>0</v>
      </c>
      <c r="K218" s="1">
        <f t="shared" si="2"/>
        <v>0</v>
      </c>
      <c r="L218" s="1">
        <v>624110</v>
      </c>
    </row>
    <row r="219" spans="1:12" ht="21" hidden="1" customHeight="1" x14ac:dyDescent="0.2">
      <c r="A219" s="1" t="s">
        <v>1178</v>
      </c>
      <c r="B219" s="1" t="s">
        <v>1270</v>
      </c>
      <c r="C219" s="1" t="s">
        <v>1271</v>
      </c>
      <c r="D219" s="1" t="s">
        <v>1272</v>
      </c>
      <c r="E219" s="1" t="s">
        <v>10</v>
      </c>
      <c r="F219" s="1" t="s">
        <v>1273</v>
      </c>
      <c r="G219" s="1" t="s">
        <v>31</v>
      </c>
      <c r="I219" s="1">
        <f t="shared" si="0"/>
        <v>0</v>
      </c>
      <c r="J219" s="1">
        <f t="shared" si="1"/>
        <v>0</v>
      </c>
      <c r="K219" s="1">
        <f t="shared" si="2"/>
        <v>1</v>
      </c>
      <c r="L219" s="1">
        <v>626155</v>
      </c>
    </row>
    <row r="220" spans="1:12" ht="21" customHeight="1" x14ac:dyDescent="0.2">
      <c r="A220" s="1" t="s">
        <v>415</v>
      </c>
      <c r="B220" s="1" t="s">
        <v>535</v>
      </c>
      <c r="C220" s="1" t="s">
        <v>536</v>
      </c>
      <c r="D220" s="1" t="s">
        <v>537</v>
      </c>
      <c r="E220" s="1" t="s">
        <v>8</v>
      </c>
      <c r="F220" s="1" t="s">
        <v>538</v>
      </c>
      <c r="G220" s="1" t="s">
        <v>90</v>
      </c>
      <c r="I220" s="1">
        <f t="shared" si="0"/>
        <v>1</v>
      </c>
      <c r="J220" s="1">
        <f t="shared" si="1"/>
        <v>0</v>
      </c>
      <c r="K220" s="1">
        <f t="shared" si="2"/>
        <v>0</v>
      </c>
      <c r="L220" s="1">
        <v>631704</v>
      </c>
    </row>
    <row r="221" spans="1:12" ht="21" hidden="1" customHeight="1" x14ac:dyDescent="0.2">
      <c r="A221" s="1" t="s">
        <v>666</v>
      </c>
      <c r="B221" s="1" t="s">
        <v>1008</v>
      </c>
      <c r="C221" s="1" t="s">
        <v>1009</v>
      </c>
      <c r="D221" s="1" t="s">
        <v>1010</v>
      </c>
      <c r="E221" s="1" t="s">
        <v>10</v>
      </c>
      <c r="F221" s="1" t="s">
        <v>1011</v>
      </c>
      <c r="G221" s="1" t="s">
        <v>31</v>
      </c>
      <c r="I221" s="1">
        <f t="shared" si="0"/>
        <v>0</v>
      </c>
      <c r="J221" s="1">
        <f t="shared" si="1"/>
        <v>0</v>
      </c>
      <c r="K221" s="1">
        <f t="shared" si="2"/>
        <v>1</v>
      </c>
      <c r="L221" s="1">
        <v>633456</v>
      </c>
    </row>
    <row r="222" spans="1:12" ht="21" hidden="1" customHeight="1" x14ac:dyDescent="0.2">
      <c r="A222" s="1" t="s">
        <v>666</v>
      </c>
      <c r="B222" s="1" t="s">
        <v>1099</v>
      </c>
      <c r="C222" s="1" t="s">
        <v>1100</v>
      </c>
      <c r="D222" s="1" t="s">
        <v>1101</v>
      </c>
      <c r="E222" s="1" t="s">
        <v>10</v>
      </c>
      <c r="F222" s="1" t="s">
        <v>1102</v>
      </c>
      <c r="G222" s="1" t="s">
        <v>31</v>
      </c>
      <c r="I222" s="1">
        <f t="shared" si="0"/>
        <v>0</v>
      </c>
      <c r="J222" s="1">
        <f t="shared" si="1"/>
        <v>0</v>
      </c>
      <c r="K222" s="1">
        <f t="shared" si="2"/>
        <v>1</v>
      </c>
      <c r="L222" s="1">
        <v>634660</v>
      </c>
    </row>
    <row r="223" spans="1:12" ht="21" hidden="1" customHeight="1" x14ac:dyDescent="0.2">
      <c r="A223" s="1" t="s">
        <v>666</v>
      </c>
      <c r="B223" s="1" t="s">
        <v>908</v>
      </c>
      <c r="C223" s="1" t="s">
        <v>909</v>
      </c>
      <c r="D223" s="1" t="s">
        <v>910</v>
      </c>
      <c r="E223" s="1" t="s">
        <v>10</v>
      </c>
      <c r="F223" s="1" t="s">
        <v>911</v>
      </c>
      <c r="G223" s="1" t="s">
        <v>597</v>
      </c>
      <c r="I223" s="1">
        <f t="shared" si="0"/>
        <v>0</v>
      </c>
      <c r="J223" s="1">
        <f t="shared" si="1"/>
        <v>0</v>
      </c>
      <c r="K223" s="1">
        <f t="shared" si="2"/>
        <v>1</v>
      </c>
      <c r="L223" s="1">
        <v>635705</v>
      </c>
    </row>
    <row r="224" spans="1:12" ht="21" hidden="1" customHeight="1" x14ac:dyDescent="0.2">
      <c r="A224" s="1" t="s">
        <v>11</v>
      </c>
      <c r="B224" s="1" t="s">
        <v>305</v>
      </c>
      <c r="C224" s="1" t="s">
        <v>306</v>
      </c>
      <c r="D224" s="1" t="s">
        <v>307</v>
      </c>
      <c r="E224" s="1" t="s">
        <v>10</v>
      </c>
      <c r="F224" s="1" t="s">
        <v>308</v>
      </c>
      <c r="G224" s="1" t="s">
        <v>31</v>
      </c>
      <c r="I224" s="1">
        <f t="shared" si="0"/>
        <v>0</v>
      </c>
      <c r="J224" s="1">
        <f t="shared" si="1"/>
        <v>0</v>
      </c>
      <c r="K224" s="1">
        <f t="shared" si="2"/>
        <v>1</v>
      </c>
      <c r="L224" s="1">
        <v>636021</v>
      </c>
    </row>
    <row r="225" spans="1:12" ht="21" customHeight="1" x14ac:dyDescent="0.2">
      <c r="A225" s="1" t="s">
        <v>11</v>
      </c>
      <c r="B225" s="1" t="s">
        <v>200</v>
      </c>
      <c r="C225" s="1" t="s">
        <v>201</v>
      </c>
      <c r="D225" s="1" t="s">
        <v>202</v>
      </c>
      <c r="E225" s="1" t="s">
        <v>8</v>
      </c>
      <c r="F225" s="1" t="s">
        <v>203</v>
      </c>
      <c r="G225" s="1" t="s">
        <v>204</v>
      </c>
      <c r="I225" s="1">
        <f t="shared" si="0"/>
        <v>1</v>
      </c>
      <c r="J225" s="1">
        <f t="shared" si="1"/>
        <v>0</v>
      </c>
      <c r="K225" s="1">
        <f t="shared" si="2"/>
        <v>0</v>
      </c>
      <c r="L225" s="1">
        <v>636579</v>
      </c>
    </row>
    <row r="226" spans="1:12" ht="21" customHeight="1" x14ac:dyDescent="0.2">
      <c r="A226" s="1" t="s">
        <v>666</v>
      </c>
      <c r="B226" s="1" t="s">
        <v>675</v>
      </c>
      <c r="C226" s="1" t="s">
        <v>676</v>
      </c>
      <c r="D226" s="1" t="s">
        <v>677</v>
      </c>
      <c r="E226" s="1" t="s">
        <v>8</v>
      </c>
      <c r="F226" s="1" t="s">
        <v>678</v>
      </c>
      <c r="G226" s="1" t="s">
        <v>26</v>
      </c>
      <c r="I226" s="1">
        <f t="shared" si="0"/>
        <v>1</v>
      </c>
      <c r="J226" s="1">
        <f t="shared" si="1"/>
        <v>0</v>
      </c>
      <c r="K226" s="1">
        <f t="shared" si="2"/>
        <v>0</v>
      </c>
      <c r="L226" s="1">
        <v>645123</v>
      </c>
    </row>
    <row r="227" spans="1:12" ht="21" hidden="1" customHeight="1" x14ac:dyDescent="0.2">
      <c r="A227" s="1" t="s">
        <v>666</v>
      </c>
      <c r="B227" s="1" t="s">
        <v>900</v>
      </c>
      <c r="C227" s="1" t="s">
        <v>901</v>
      </c>
      <c r="D227" s="1" t="s">
        <v>902</v>
      </c>
      <c r="E227" s="1" t="s">
        <v>10</v>
      </c>
      <c r="F227" s="1" t="s">
        <v>903</v>
      </c>
      <c r="G227" s="1" t="s">
        <v>21</v>
      </c>
      <c r="I227" s="1">
        <f t="shared" si="0"/>
        <v>0</v>
      </c>
      <c r="J227" s="1">
        <f t="shared" si="1"/>
        <v>0</v>
      </c>
      <c r="K227" s="1">
        <f t="shared" si="2"/>
        <v>1</v>
      </c>
      <c r="L227" s="1">
        <v>649071</v>
      </c>
    </row>
    <row r="228" spans="1:12" ht="21" customHeight="1" x14ac:dyDescent="0.2">
      <c r="A228" s="1" t="s">
        <v>666</v>
      </c>
      <c r="B228" s="1" t="s">
        <v>798</v>
      </c>
      <c r="C228" s="1" t="s">
        <v>799</v>
      </c>
      <c r="D228" s="1" t="s">
        <v>800</v>
      </c>
      <c r="E228" s="1" t="s">
        <v>8</v>
      </c>
      <c r="F228" s="1" t="s">
        <v>801</v>
      </c>
      <c r="G228" s="1" t="s">
        <v>802</v>
      </c>
      <c r="I228" s="1">
        <f t="shared" si="0"/>
        <v>1</v>
      </c>
      <c r="J228" s="1">
        <f t="shared" si="1"/>
        <v>0</v>
      </c>
      <c r="K228" s="1">
        <f t="shared" si="2"/>
        <v>0</v>
      </c>
      <c r="L228" s="1">
        <v>650280</v>
      </c>
    </row>
    <row r="229" spans="1:12" ht="21" customHeight="1" x14ac:dyDescent="0.2">
      <c r="A229" s="1" t="s">
        <v>415</v>
      </c>
      <c r="B229" s="1" t="s">
        <v>420</v>
      </c>
      <c r="C229" s="1" t="s">
        <v>420</v>
      </c>
      <c r="D229" s="1" t="s">
        <v>421</v>
      </c>
      <c r="E229" s="1" t="s">
        <v>8</v>
      </c>
      <c r="F229" s="1" t="s">
        <v>422</v>
      </c>
      <c r="G229" s="1" t="s">
        <v>108</v>
      </c>
      <c r="I229" s="1">
        <f t="shared" si="0"/>
        <v>1</v>
      </c>
      <c r="J229" s="1">
        <f t="shared" si="1"/>
        <v>0</v>
      </c>
      <c r="K229" s="1">
        <f t="shared" si="2"/>
        <v>0</v>
      </c>
      <c r="L229" s="1">
        <v>654451</v>
      </c>
    </row>
    <row r="230" spans="1:12" ht="21" customHeight="1" x14ac:dyDescent="0.2">
      <c r="A230" s="1" t="s">
        <v>1178</v>
      </c>
      <c r="B230" s="1" t="s">
        <v>1354</v>
      </c>
      <c r="C230" s="1" t="s">
        <v>1355</v>
      </c>
      <c r="D230" s="1" t="s">
        <v>1356</v>
      </c>
      <c r="E230" s="1" t="s">
        <v>8</v>
      </c>
      <c r="F230" s="1" t="s">
        <v>1357</v>
      </c>
      <c r="G230" s="1" t="s">
        <v>1358</v>
      </c>
      <c r="I230" s="1">
        <f t="shared" si="0"/>
        <v>1</v>
      </c>
      <c r="J230" s="1">
        <f t="shared" si="1"/>
        <v>0</v>
      </c>
      <c r="K230" s="1">
        <f t="shared" si="2"/>
        <v>0</v>
      </c>
      <c r="L230" s="1">
        <v>660073</v>
      </c>
    </row>
    <row r="231" spans="1:12" ht="21" hidden="1" customHeight="1" x14ac:dyDescent="0.2">
      <c r="A231" s="1" t="s">
        <v>415</v>
      </c>
      <c r="B231" s="1" t="s">
        <v>531</v>
      </c>
      <c r="C231" s="1" t="s">
        <v>532</v>
      </c>
      <c r="D231" s="1" t="s">
        <v>533</v>
      </c>
      <c r="E231" s="1" t="s">
        <v>9</v>
      </c>
      <c r="F231" s="1" t="s">
        <v>534</v>
      </c>
      <c r="G231" s="1" t="s">
        <v>21</v>
      </c>
      <c r="I231" s="1">
        <f t="shared" si="0"/>
        <v>0</v>
      </c>
      <c r="J231" s="1">
        <f t="shared" si="1"/>
        <v>1</v>
      </c>
      <c r="K231" s="1">
        <f t="shared" si="2"/>
        <v>0</v>
      </c>
      <c r="L231" s="1">
        <v>661329</v>
      </c>
    </row>
    <row r="232" spans="1:12" ht="21" customHeight="1" x14ac:dyDescent="0.2">
      <c r="A232" s="1" t="s">
        <v>666</v>
      </c>
      <c r="B232" s="1" t="s">
        <v>970</v>
      </c>
      <c r="C232" s="1" t="s">
        <v>971</v>
      </c>
      <c r="D232" s="1" t="s">
        <v>972</v>
      </c>
      <c r="E232" s="1" t="s">
        <v>8</v>
      </c>
      <c r="F232" s="1" t="s">
        <v>973</v>
      </c>
      <c r="G232" s="1" t="s">
        <v>36</v>
      </c>
      <c r="I232" s="1">
        <f t="shared" si="0"/>
        <v>1</v>
      </c>
      <c r="J232" s="1">
        <f t="shared" si="1"/>
        <v>0</v>
      </c>
      <c r="K232" s="1">
        <f t="shared" si="2"/>
        <v>0</v>
      </c>
      <c r="L232" s="1">
        <v>661575</v>
      </c>
    </row>
    <row r="233" spans="1:12" ht="21" customHeight="1" x14ac:dyDescent="0.2">
      <c r="A233" s="1" t="s">
        <v>11</v>
      </c>
      <c r="B233" s="1" t="s">
        <v>236</v>
      </c>
      <c r="C233" s="1" t="s">
        <v>237</v>
      </c>
      <c r="D233" s="1" t="s">
        <v>238</v>
      </c>
      <c r="E233" s="1" t="s">
        <v>8</v>
      </c>
      <c r="F233" s="1" t="s">
        <v>239</v>
      </c>
      <c r="G233" s="1" t="s">
        <v>240</v>
      </c>
      <c r="I233" s="1">
        <f t="shared" si="0"/>
        <v>1</v>
      </c>
      <c r="J233" s="1">
        <f t="shared" si="1"/>
        <v>0</v>
      </c>
      <c r="K233" s="1">
        <f t="shared" si="2"/>
        <v>0</v>
      </c>
      <c r="L233" s="1">
        <v>665057</v>
      </c>
    </row>
    <row r="234" spans="1:12" ht="21" customHeight="1" x14ac:dyDescent="0.2">
      <c r="A234" s="1" t="s">
        <v>415</v>
      </c>
      <c r="B234" s="1" t="s">
        <v>606</v>
      </c>
      <c r="C234" s="1" t="s">
        <v>607</v>
      </c>
      <c r="D234" s="1" t="s">
        <v>608</v>
      </c>
      <c r="E234" s="1" t="s">
        <v>8</v>
      </c>
      <c r="F234" s="1" t="s">
        <v>609</v>
      </c>
      <c r="G234" s="1" t="s">
        <v>26</v>
      </c>
      <c r="I234" s="1">
        <f t="shared" si="0"/>
        <v>1</v>
      </c>
      <c r="J234" s="1">
        <f t="shared" si="1"/>
        <v>0</v>
      </c>
      <c r="K234" s="1">
        <f t="shared" si="2"/>
        <v>0</v>
      </c>
      <c r="L234" s="1">
        <v>669675</v>
      </c>
    </row>
    <row r="235" spans="1:12" ht="21" customHeight="1" x14ac:dyDescent="0.2">
      <c r="A235" s="1" t="s">
        <v>11</v>
      </c>
      <c r="B235" s="1" t="s">
        <v>132</v>
      </c>
      <c r="C235" s="1" t="s">
        <v>133</v>
      </c>
      <c r="D235" s="1" t="s">
        <v>134</v>
      </c>
      <c r="E235" s="1" t="s">
        <v>8</v>
      </c>
      <c r="F235" s="1" t="s">
        <v>135</v>
      </c>
      <c r="G235" s="1" t="s">
        <v>80</v>
      </c>
      <c r="I235" s="1">
        <f t="shared" si="0"/>
        <v>1</v>
      </c>
      <c r="J235" s="1">
        <f t="shared" si="1"/>
        <v>0</v>
      </c>
      <c r="K235" s="1">
        <f t="shared" si="2"/>
        <v>0</v>
      </c>
      <c r="L235" s="1">
        <v>671864</v>
      </c>
    </row>
    <row r="236" spans="1:12" ht="21" customHeight="1" x14ac:dyDescent="0.2">
      <c r="A236" s="1" t="s">
        <v>415</v>
      </c>
      <c r="B236" s="1" t="s">
        <v>560</v>
      </c>
      <c r="C236" s="1" t="s">
        <v>561</v>
      </c>
      <c r="D236" s="1" t="s">
        <v>562</v>
      </c>
      <c r="E236" s="1" t="s">
        <v>8</v>
      </c>
      <c r="F236" s="1" t="s">
        <v>563</v>
      </c>
      <c r="G236" s="1" t="s">
        <v>564</v>
      </c>
      <c r="I236" s="1">
        <f t="shared" si="0"/>
        <v>1</v>
      </c>
      <c r="J236" s="1">
        <f t="shared" si="1"/>
        <v>0</v>
      </c>
      <c r="K236" s="1">
        <f t="shared" si="2"/>
        <v>0</v>
      </c>
      <c r="L236" s="1">
        <v>672174</v>
      </c>
    </row>
    <row r="237" spans="1:12" ht="21" customHeight="1" x14ac:dyDescent="0.2">
      <c r="A237" s="1" t="s">
        <v>11</v>
      </c>
      <c r="B237" s="1" t="s">
        <v>173</v>
      </c>
      <c r="C237" s="1" t="s">
        <v>174</v>
      </c>
      <c r="D237" s="1" t="s">
        <v>175</v>
      </c>
      <c r="E237" s="1" t="s">
        <v>8</v>
      </c>
      <c r="F237" s="1" t="s">
        <v>176</v>
      </c>
      <c r="G237" s="1" t="s">
        <v>177</v>
      </c>
      <c r="I237" s="1">
        <f t="shared" si="0"/>
        <v>1</v>
      </c>
      <c r="J237" s="1">
        <f t="shared" si="1"/>
        <v>0</v>
      </c>
      <c r="K237" s="1">
        <f t="shared" si="2"/>
        <v>0</v>
      </c>
      <c r="L237" s="1">
        <v>675951</v>
      </c>
    </row>
    <row r="238" spans="1:12" ht="21" hidden="1" customHeight="1" x14ac:dyDescent="0.2">
      <c r="A238" s="1" t="s">
        <v>666</v>
      </c>
      <c r="B238" s="1" t="s">
        <v>962</v>
      </c>
      <c r="C238" s="1" t="s">
        <v>963</v>
      </c>
      <c r="D238" s="1" t="s">
        <v>964</v>
      </c>
      <c r="E238" s="1" t="s">
        <v>10</v>
      </c>
      <c r="F238" s="1" t="s">
        <v>965</v>
      </c>
      <c r="G238" s="1" t="s">
        <v>920</v>
      </c>
      <c r="I238" s="1">
        <f t="shared" si="0"/>
        <v>0</v>
      </c>
      <c r="J238" s="1">
        <f t="shared" si="1"/>
        <v>0</v>
      </c>
      <c r="K238" s="1">
        <f t="shared" si="2"/>
        <v>1</v>
      </c>
      <c r="L238" s="1">
        <v>677232</v>
      </c>
    </row>
    <row r="239" spans="1:12" ht="21" customHeight="1" x14ac:dyDescent="0.2">
      <c r="A239" s="1" t="s">
        <v>1178</v>
      </c>
      <c r="B239" s="1" t="s">
        <v>1203</v>
      </c>
      <c r="C239" s="1" t="s">
        <v>1204</v>
      </c>
      <c r="D239" s="1" t="s">
        <v>1205</v>
      </c>
      <c r="E239" s="1" t="s">
        <v>8</v>
      </c>
      <c r="F239" s="1" t="s">
        <v>1206</v>
      </c>
      <c r="G239" s="1" t="s">
        <v>1207</v>
      </c>
      <c r="I239" s="1">
        <f t="shared" si="0"/>
        <v>1</v>
      </c>
      <c r="J239" s="1">
        <f t="shared" si="1"/>
        <v>0</v>
      </c>
      <c r="K239" s="1">
        <f t="shared" si="2"/>
        <v>0</v>
      </c>
      <c r="L239" s="1">
        <v>679145</v>
      </c>
    </row>
    <row r="240" spans="1:12" ht="21" customHeight="1" x14ac:dyDescent="0.2">
      <c r="A240" s="1" t="s">
        <v>666</v>
      </c>
      <c r="B240" s="1" t="s">
        <v>803</v>
      </c>
      <c r="C240" s="1" t="s">
        <v>804</v>
      </c>
      <c r="D240" s="1" t="s">
        <v>805</v>
      </c>
      <c r="E240" s="1" t="s">
        <v>8</v>
      </c>
      <c r="F240" s="1" t="s">
        <v>833</v>
      </c>
      <c r="G240" s="1" t="s">
        <v>807</v>
      </c>
      <c r="I240" s="1">
        <f t="shared" si="0"/>
        <v>1</v>
      </c>
      <c r="J240" s="1">
        <f t="shared" si="1"/>
        <v>0</v>
      </c>
      <c r="K240" s="1">
        <f t="shared" si="2"/>
        <v>0</v>
      </c>
      <c r="L240" s="1">
        <v>679878</v>
      </c>
    </row>
    <row r="241" spans="1:12" ht="21" hidden="1" customHeight="1" x14ac:dyDescent="0.2">
      <c r="A241" s="1" t="s">
        <v>11</v>
      </c>
      <c r="B241" s="1" t="s">
        <v>99</v>
      </c>
      <c r="C241" s="1" t="s">
        <v>100</v>
      </c>
      <c r="D241" s="1" t="s">
        <v>101</v>
      </c>
      <c r="E241" s="1" t="s">
        <v>10</v>
      </c>
      <c r="F241" s="1" t="s">
        <v>102</v>
      </c>
      <c r="G241" s="1" t="s">
        <v>103</v>
      </c>
      <c r="I241" s="1">
        <f t="shared" si="0"/>
        <v>0</v>
      </c>
      <c r="J241" s="1">
        <f t="shared" si="1"/>
        <v>0</v>
      </c>
      <c r="K241" s="1">
        <f t="shared" si="2"/>
        <v>1</v>
      </c>
      <c r="L241" s="1">
        <v>690936</v>
      </c>
    </row>
    <row r="242" spans="1:12" ht="21" customHeight="1" x14ac:dyDescent="0.2">
      <c r="A242" s="1" t="s">
        <v>666</v>
      </c>
      <c r="B242" s="1" t="s">
        <v>978</v>
      </c>
      <c r="C242" s="1" t="s">
        <v>979</v>
      </c>
      <c r="D242" s="1" t="s">
        <v>980</v>
      </c>
      <c r="E242" s="1" t="s">
        <v>8</v>
      </c>
      <c r="F242" s="1" t="s">
        <v>981</v>
      </c>
      <c r="G242" s="1" t="s">
        <v>80</v>
      </c>
      <c r="I242" s="1">
        <f t="shared" si="0"/>
        <v>1</v>
      </c>
      <c r="J242" s="1">
        <f t="shared" si="1"/>
        <v>0</v>
      </c>
      <c r="K242" s="1">
        <f t="shared" si="2"/>
        <v>0</v>
      </c>
      <c r="L242" s="1">
        <v>692936</v>
      </c>
    </row>
    <row r="243" spans="1:12" ht="21" customHeight="1" x14ac:dyDescent="0.2">
      <c r="A243" s="1" t="s">
        <v>666</v>
      </c>
      <c r="B243" s="1" t="s">
        <v>995</v>
      </c>
      <c r="C243" s="1" t="s">
        <v>996</v>
      </c>
      <c r="D243" s="1" t="s">
        <v>997</v>
      </c>
      <c r="E243" s="1" t="s">
        <v>8</v>
      </c>
      <c r="F243" s="1" t="s">
        <v>998</v>
      </c>
      <c r="G243" s="1" t="s">
        <v>999</v>
      </c>
      <c r="I243" s="1">
        <f t="shared" si="0"/>
        <v>1</v>
      </c>
      <c r="J243" s="1">
        <f t="shared" si="1"/>
        <v>0</v>
      </c>
      <c r="K243" s="1">
        <f t="shared" si="2"/>
        <v>0</v>
      </c>
      <c r="L243" s="1">
        <v>693721</v>
      </c>
    </row>
    <row r="244" spans="1:12" ht="21" customHeight="1" x14ac:dyDescent="0.2">
      <c r="A244" s="1" t="s">
        <v>666</v>
      </c>
      <c r="B244" s="1" t="s">
        <v>1123</v>
      </c>
      <c r="C244" s="1" t="s">
        <v>1124</v>
      </c>
      <c r="D244" s="1" t="s">
        <v>1125</v>
      </c>
      <c r="E244" s="1" t="s">
        <v>8</v>
      </c>
      <c r="F244" s="1" t="s">
        <v>1126</v>
      </c>
      <c r="G244" s="1" t="s">
        <v>276</v>
      </c>
      <c r="I244" s="1">
        <f t="shared" si="0"/>
        <v>1</v>
      </c>
      <c r="J244" s="1">
        <f t="shared" si="1"/>
        <v>0</v>
      </c>
      <c r="K244" s="1">
        <f t="shared" si="2"/>
        <v>0</v>
      </c>
      <c r="L244" s="1">
        <v>697746</v>
      </c>
    </row>
    <row r="245" spans="1:12" ht="21" hidden="1" customHeight="1" x14ac:dyDescent="0.2">
      <c r="A245" s="1" t="s">
        <v>666</v>
      </c>
      <c r="B245" s="1" t="s">
        <v>761</v>
      </c>
      <c r="C245" s="1" t="s">
        <v>762</v>
      </c>
      <c r="D245" s="1" t="s">
        <v>763</v>
      </c>
      <c r="E245" s="1" t="s">
        <v>10</v>
      </c>
      <c r="F245" s="1" t="s">
        <v>764</v>
      </c>
      <c r="G245" s="1" t="s">
        <v>31</v>
      </c>
      <c r="I245" s="1">
        <f t="shared" si="0"/>
        <v>0</v>
      </c>
      <c r="J245" s="1">
        <f t="shared" si="1"/>
        <v>0</v>
      </c>
      <c r="K245" s="1">
        <f t="shared" si="2"/>
        <v>1</v>
      </c>
      <c r="L245" s="1">
        <v>701039</v>
      </c>
    </row>
    <row r="246" spans="1:12" ht="21" customHeight="1" x14ac:dyDescent="0.2">
      <c r="A246" s="1" t="s">
        <v>666</v>
      </c>
      <c r="B246" s="1" t="s">
        <v>1016</v>
      </c>
      <c r="C246" s="1" t="s">
        <v>1017</v>
      </c>
      <c r="D246" s="1" t="s">
        <v>1018</v>
      </c>
      <c r="E246" s="1" t="s">
        <v>8</v>
      </c>
      <c r="F246" s="1" t="s">
        <v>1019</v>
      </c>
      <c r="G246" s="1" t="s">
        <v>453</v>
      </c>
      <c r="I246" s="1">
        <f t="shared" si="0"/>
        <v>1</v>
      </c>
      <c r="J246" s="1">
        <f t="shared" si="1"/>
        <v>0</v>
      </c>
      <c r="K246" s="1">
        <f t="shared" si="2"/>
        <v>0</v>
      </c>
      <c r="L246" s="1">
        <v>703353</v>
      </c>
    </row>
    <row r="247" spans="1:12" ht="21" hidden="1" customHeight="1" x14ac:dyDescent="0.2">
      <c r="A247" s="1" t="s">
        <v>1178</v>
      </c>
      <c r="B247" s="1" t="s">
        <v>1287</v>
      </c>
      <c r="C247" s="1" t="s">
        <v>1288</v>
      </c>
      <c r="D247" s="1" t="s">
        <v>1289</v>
      </c>
      <c r="E247" s="1" t="s">
        <v>10</v>
      </c>
      <c r="F247" s="1" t="s">
        <v>1290</v>
      </c>
      <c r="G247" s="1" t="s">
        <v>21</v>
      </c>
      <c r="I247" s="1">
        <f t="shared" si="0"/>
        <v>0</v>
      </c>
      <c r="J247" s="1">
        <f t="shared" si="1"/>
        <v>0</v>
      </c>
      <c r="K247" s="1">
        <f t="shared" si="2"/>
        <v>1</v>
      </c>
      <c r="L247" s="1">
        <v>704882</v>
      </c>
    </row>
    <row r="248" spans="1:12" ht="21" hidden="1" customHeight="1" x14ac:dyDescent="0.2">
      <c r="A248" s="1" t="s">
        <v>415</v>
      </c>
      <c r="B248" s="1" t="s">
        <v>593</v>
      </c>
      <c r="C248" s="1" t="s">
        <v>594</v>
      </c>
      <c r="D248" s="1" t="s">
        <v>595</v>
      </c>
      <c r="E248" s="1" t="s">
        <v>10</v>
      </c>
      <c r="F248" s="1" t="s">
        <v>596</v>
      </c>
      <c r="G248" s="1" t="s">
        <v>597</v>
      </c>
      <c r="I248" s="1">
        <f t="shared" si="0"/>
        <v>0</v>
      </c>
      <c r="J248" s="1">
        <f t="shared" si="1"/>
        <v>0</v>
      </c>
      <c r="K248" s="1">
        <f t="shared" si="2"/>
        <v>1</v>
      </c>
      <c r="L248" s="1">
        <v>708573</v>
      </c>
    </row>
    <row r="249" spans="1:12" ht="21" hidden="1" customHeight="1" x14ac:dyDescent="0.2">
      <c r="A249" s="1" t="s">
        <v>11</v>
      </c>
      <c r="B249" s="1" t="s">
        <v>183</v>
      </c>
      <c r="C249" s="1" t="s">
        <v>184</v>
      </c>
      <c r="D249" s="1" t="s">
        <v>185</v>
      </c>
      <c r="E249" s="1" t="s">
        <v>10</v>
      </c>
      <c r="F249" s="1" t="s">
        <v>186</v>
      </c>
      <c r="G249" s="1" t="s">
        <v>103</v>
      </c>
      <c r="I249" s="1">
        <f t="shared" si="0"/>
        <v>0</v>
      </c>
      <c r="J249" s="1">
        <f t="shared" si="1"/>
        <v>0</v>
      </c>
      <c r="K249" s="1">
        <f t="shared" si="2"/>
        <v>1</v>
      </c>
      <c r="L249" s="1">
        <v>711879</v>
      </c>
    </row>
    <row r="250" spans="1:12" ht="21" customHeight="1" x14ac:dyDescent="0.2">
      <c r="A250" s="1" t="s">
        <v>11</v>
      </c>
      <c r="B250" s="1" t="s">
        <v>47</v>
      </c>
      <c r="C250" s="1" t="s">
        <v>48</v>
      </c>
      <c r="D250" s="1" t="s">
        <v>49</v>
      </c>
      <c r="E250" s="1" t="s">
        <v>8</v>
      </c>
      <c r="F250" s="1" t="s">
        <v>50</v>
      </c>
      <c r="G250" s="1" t="s">
        <v>51</v>
      </c>
      <c r="I250" s="1">
        <f t="shared" si="0"/>
        <v>1</v>
      </c>
      <c r="J250" s="1">
        <f t="shared" si="1"/>
        <v>0</v>
      </c>
      <c r="K250" s="1">
        <f t="shared" si="2"/>
        <v>0</v>
      </c>
      <c r="L250" s="1">
        <v>711960</v>
      </c>
    </row>
    <row r="251" spans="1:12" ht="21" customHeight="1" x14ac:dyDescent="0.2">
      <c r="A251" s="1" t="s">
        <v>415</v>
      </c>
      <c r="B251" s="1" t="s">
        <v>527</v>
      </c>
      <c r="C251" s="1" t="s">
        <v>528</v>
      </c>
      <c r="D251" s="1" t="s">
        <v>529</v>
      </c>
      <c r="E251" s="1" t="s">
        <v>8</v>
      </c>
      <c r="F251" s="1" t="s">
        <v>530</v>
      </c>
      <c r="G251" s="1" t="s">
        <v>108</v>
      </c>
      <c r="I251" s="1">
        <f t="shared" si="0"/>
        <v>1</v>
      </c>
      <c r="J251" s="1">
        <f t="shared" si="1"/>
        <v>0</v>
      </c>
      <c r="K251" s="1">
        <f t="shared" si="2"/>
        <v>0</v>
      </c>
      <c r="L251" s="1">
        <v>713539</v>
      </c>
    </row>
    <row r="252" spans="1:12" ht="21" customHeight="1" x14ac:dyDescent="0.2">
      <c r="A252" s="1" t="s">
        <v>415</v>
      </c>
      <c r="B252" s="1" t="s">
        <v>454</v>
      </c>
      <c r="C252" s="1" t="s">
        <v>455</v>
      </c>
      <c r="D252" s="1" t="s">
        <v>456</v>
      </c>
      <c r="E252" s="1" t="s">
        <v>8</v>
      </c>
      <c r="F252" s="1" t="s">
        <v>457</v>
      </c>
      <c r="G252" s="1" t="s">
        <v>276</v>
      </c>
      <c r="I252" s="1">
        <f t="shared" si="0"/>
        <v>1</v>
      </c>
      <c r="J252" s="1">
        <f t="shared" si="1"/>
        <v>0</v>
      </c>
      <c r="K252" s="1">
        <f t="shared" si="2"/>
        <v>0</v>
      </c>
      <c r="L252" s="1">
        <v>719693</v>
      </c>
    </row>
    <row r="253" spans="1:12" ht="21" customHeight="1" x14ac:dyDescent="0.2">
      <c r="A253" s="1" t="s">
        <v>11</v>
      </c>
      <c r="B253" s="1" t="s">
        <v>323</v>
      </c>
      <c r="C253" s="1" t="s">
        <v>324</v>
      </c>
      <c r="D253" s="1" t="s">
        <v>325</v>
      </c>
      <c r="E253" s="1" t="s">
        <v>8</v>
      </c>
      <c r="F253" s="1" t="s">
        <v>326</v>
      </c>
      <c r="G253" s="1" t="s">
        <v>75</v>
      </c>
      <c r="I253" s="1">
        <f t="shared" si="0"/>
        <v>1</v>
      </c>
      <c r="J253" s="1">
        <f t="shared" si="1"/>
        <v>0</v>
      </c>
      <c r="K253" s="1">
        <f t="shared" si="2"/>
        <v>0</v>
      </c>
      <c r="L253" s="1">
        <v>722270</v>
      </c>
    </row>
    <row r="254" spans="1:12" ht="21" hidden="1" customHeight="1" x14ac:dyDescent="0.2">
      <c r="A254" s="1" t="s">
        <v>666</v>
      </c>
      <c r="B254" s="1" t="s">
        <v>1024</v>
      </c>
      <c r="C254" s="1" t="s">
        <v>1025</v>
      </c>
      <c r="D254" s="1" t="s">
        <v>1026</v>
      </c>
      <c r="E254" s="1" t="s">
        <v>10</v>
      </c>
      <c r="F254" s="1" t="s">
        <v>1027</v>
      </c>
      <c r="G254" s="1" t="s">
        <v>21</v>
      </c>
      <c r="I254" s="1">
        <f t="shared" si="0"/>
        <v>0</v>
      </c>
      <c r="J254" s="1">
        <f t="shared" si="1"/>
        <v>0</v>
      </c>
      <c r="K254" s="1">
        <f t="shared" si="2"/>
        <v>1</v>
      </c>
      <c r="L254" s="1">
        <v>733376</v>
      </c>
    </row>
    <row r="255" spans="1:12" ht="21" hidden="1" customHeight="1" x14ac:dyDescent="0.2">
      <c r="A255" s="1" t="s">
        <v>1178</v>
      </c>
      <c r="B255" s="1" t="s">
        <v>1367</v>
      </c>
      <c r="C255" s="1" t="s">
        <v>1368</v>
      </c>
      <c r="D255" s="1" t="s">
        <v>1369</v>
      </c>
      <c r="E255" s="1" t="s">
        <v>10</v>
      </c>
      <c r="F255" s="1" t="s">
        <v>1370</v>
      </c>
      <c r="G255" s="1" t="s">
        <v>1371</v>
      </c>
      <c r="I255" s="1">
        <f t="shared" si="0"/>
        <v>0</v>
      </c>
      <c r="J255" s="1">
        <f t="shared" si="1"/>
        <v>0</v>
      </c>
      <c r="K255" s="1">
        <f t="shared" si="2"/>
        <v>1</v>
      </c>
      <c r="L255" s="1">
        <v>733480</v>
      </c>
    </row>
    <row r="256" spans="1:12" ht="21" hidden="1" customHeight="1" x14ac:dyDescent="0.2">
      <c r="A256" s="1" t="s">
        <v>666</v>
      </c>
      <c r="B256" s="1" t="s">
        <v>1161</v>
      </c>
      <c r="C256" s="1" t="s">
        <v>1162</v>
      </c>
      <c r="D256" s="1" t="s">
        <v>1163</v>
      </c>
      <c r="E256" s="1" t="s">
        <v>9</v>
      </c>
      <c r="F256" s="1" t="s">
        <v>1164</v>
      </c>
      <c r="G256" s="1" t="s">
        <v>126</v>
      </c>
      <c r="I256" s="1">
        <f t="shared" si="0"/>
        <v>0</v>
      </c>
      <c r="J256" s="1">
        <f t="shared" si="1"/>
        <v>1</v>
      </c>
      <c r="K256" s="1">
        <f t="shared" si="2"/>
        <v>0</v>
      </c>
      <c r="L256" s="1">
        <v>740458</v>
      </c>
    </row>
    <row r="257" spans="1:12" ht="21" hidden="1" customHeight="1" x14ac:dyDescent="0.2">
      <c r="A257" s="1" t="s">
        <v>666</v>
      </c>
      <c r="B257" s="1" t="s">
        <v>707</v>
      </c>
      <c r="C257" s="1" t="s">
        <v>708</v>
      </c>
      <c r="D257" s="1" t="s">
        <v>709</v>
      </c>
      <c r="E257" s="1" t="s">
        <v>9</v>
      </c>
      <c r="F257" s="1" t="s">
        <v>710</v>
      </c>
      <c r="G257" s="1" t="s">
        <v>126</v>
      </c>
      <c r="I257" s="1">
        <f t="shared" ref="I257:I333" si="3">IF(E257="include",1,0)</f>
        <v>0</v>
      </c>
      <c r="J257" s="1">
        <f t="shared" ref="J257:J333" si="4">IF(E257="exclude",1,0)</f>
        <v>1</v>
      </c>
      <c r="K257" s="1">
        <f t="shared" ref="K257:K333" si="5">IF(E257="uncertain",1,0)</f>
        <v>0</v>
      </c>
      <c r="L257" s="1">
        <v>741173</v>
      </c>
    </row>
    <row r="258" spans="1:12" ht="21" customHeight="1" x14ac:dyDescent="0.2">
      <c r="A258" s="1" t="s">
        <v>1178</v>
      </c>
      <c r="B258" s="1" t="s">
        <v>1388</v>
      </c>
      <c r="C258" s="1" t="s">
        <v>1389</v>
      </c>
      <c r="D258" s="1" t="s">
        <v>1390</v>
      </c>
      <c r="E258" s="1" t="s">
        <v>8</v>
      </c>
      <c r="F258" s="1" t="s">
        <v>1391</v>
      </c>
      <c r="G258" s="1" t="s">
        <v>36</v>
      </c>
      <c r="I258" s="1">
        <f t="shared" si="3"/>
        <v>1</v>
      </c>
      <c r="J258" s="1">
        <f t="shared" si="4"/>
        <v>0</v>
      </c>
      <c r="K258" s="1">
        <f t="shared" si="5"/>
        <v>0</v>
      </c>
      <c r="L258" s="1">
        <v>742099</v>
      </c>
    </row>
    <row r="259" spans="1:12" ht="21" hidden="1" customHeight="1" x14ac:dyDescent="0.2">
      <c r="A259" s="1" t="s">
        <v>11</v>
      </c>
      <c r="B259" s="1" t="s">
        <v>259</v>
      </c>
      <c r="C259" s="1" t="s">
        <v>260</v>
      </c>
      <c r="D259" s="1" t="s">
        <v>261</v>
      </c>
      <c r="E259" s="1" t="s">
        <v>9</v>
      </c>
      <c r="F259" s="1" t="s">
        <v>262</v>
      </c>
      <c r="G259" s="1" t="s">
        <v>21</v>
      </c>
      <c r="I259" s="1">
        <f t="shared" si="3"/>
        <v>0</v>
      </c>
      <c r="J259" s="1">
        <f t="shared" si="4"/>
        <v>1</v>
      </c>
      <c r="K259" s="1">
        <f t="shared" si="5"/>
        <v>0</v>
      </c>
      <c r="L259" s="1">
        <v>743551</v>
      </c>
    </row>
    <row r="260" spans="1:12" ht="21" customHeight="1" x14ac:dyDescent="0.2">
      <c r="A260" s="1" t="s">
        <v>415</v>
      </c>
      <c r="B260" s="1" t="s">
        <v>640</v>
      </c>
      <c r="C260" s="1" t="s">
        <v>641</v>
      </c>
      <c r="D260" s="1" t="s">
        <v>642</v>
      </c>
      <c r="E260" s="1" t="s">
        <v>8</v>
      </c>
      <c r="F260" s="1" t="s">
        <v>643</v>
      </c>
      <c r="G260" s="1" t="s">
        <v>26</v>
      </c>
      <c r="I260" s="1">
        <f t="shared" si="3"/>
        <v>1</v>
      </c>
      <c r="J260" s="1">
        <f t="shared" si="4"/>
        <v>0</v>
      </c>
      <c r="K260" s="1">
        <f t="shared" si="5"/>
        <v>0</v>
      </c>
      <c r="L260" s="1">
        <v>751107</v>
      </c>
    </row>
    <row r="261" spans="1:12" ht="21" hidden="1" customHeight="1" x14ac:dyDescent="0.2">
      <c r="A261" s="1" t="s">
        <v>666</v>
      </c>
      <c r="B261" s="1" t="s">
        <v>847</v>
      </c>
      <c r="C261" s="1" t="s">
        <v>848</v>
      </c>
      <c r="D261" s="1" t="s">
        <v>849</v>
      </c>
      <c r="E261" s="1" t="s">
        <v>10</v>
      </c>
      <c r="F261" s="1" t="s">
        <v>850</v>
      </c>
      <c r="G261" s="1" t="s">
        <v>31</v>
      </c>
      <c r="I261" s="1">
        <f t="shared" si="3"/>
        <v>0</v>
      </c>
      <c r="J261" s="1">
        <f t="shared" si="4"/>
        <v>0</v>
      </c>
      <c r="K261" s="1">
        <f t="shared" si="5"/>
        <v>1</v>
      </c>
      <c r="L261" s="1">
        <v>752693</v>
      </c>
    </row>
    <row r="262" spans="1:12" ht="21" customHeight="1" x14ac:dyDescent="0.2">
      <c r="A262" s="1" t="s">
        <v>11</v>
      </c>
      <c r="B262" s="1" t="s">
        <v>344</v>
      </c>
      <c r="C262" s="1" t="s">
        <v>345</v>
      </c>
      <c r="D262" s="1" t="s">
        <v>346</v>
      </c>
      <c r="E262" s="1" t="s">
        <v>8</v>
      </c>
      <c r="F262" s="1" t="s">
        <v>347</v>
      </c>
      <c r="G262" s="1" t="s">
        <v>26</v>
      </c>
      <c r="I262" s="1">
        <f t="shared" si="3"/>
        <v>1</v>
      </c>
      <c r="J262" s="1">
        <f t="shared" si="4"/>
        <v>0</v>
      </c>
      <c r="K262" s="1">
        <f t="shared" si="5"/>
        <v>0</v>
      </c>
      <c r="L262" s="1">
        <v>758194</v>
      </c>
    </row>
    <row r="263" spans="1:12" ht="21" hidden="1" customHeight="1" x14ac:dyDescent="0.2">
      <c r="A263" s="1" t="s">
        <v>666</v>
      </c>
      <c r="B263" s="1" t="s">
        <v>757</v>
      </c>
      <c r="C263" s="1" t="s">
        <v>758</v>
      </c>
      <c r="D263" s="1" t="s">
        <v>759</v>
      </c>
      <c r="E263" s="1" t="s">
        <v>9</v>
      </c>
      <c r="F263" s="1" t="s">
        <v>760</v>
      </c>
      <c r="G263" s="1" t="s">
        <v>21</v>
      </c>
      <c r="I263" s="1">
        <f t="shared" si="3"/>
        <v>0</v>
      </c>
      <c r="J263" s="1">
        <f t="shared" si="4"/>
        <v>1</v>
      </c>
      <c r="K263" s="1">
        <f t="shared" si="5"/>
        <v>0</v>
      </c>
      <c r="L263" s="1">
        <v>759779</v>
      </c>
    </row>
    <row r="264" spans="1:12" ht="21" hidden="1" customHeight="1" x14ac:dyDescent="0.2">
      <c r="A264" s="1" t="s">
        <v>1178</v>
      </c>
      <c r="B264" s="1" t="s">
        <v>1199</v>
      </c>
      <c r="C264" s="1" t="s">
        <v>1200</v>
      </c>
      <c r="D264" s="1" t="s">
        <v>1201</v>
      </c>
      <c r="E264" s="1" t="s">
        <v>9</v>
      </c>
      <c r="F264" s="1" t="s">
        <v>1202</v>
      </c>
      <c r="G264" s="1" t="s">
        <v>21</v>
      </c>
      <c r="I264" s="1">
        <f t="shared" si="3"/>
        <v>0</v>
      </c>
      <c r="J264" s="1">
        <f t="shared" si="4"/>
        <v>1</v>
      </c>
      <c r="K264" s="1">
        <f t="shared" si="5"/>
        <v>0</v>
      </c>
      <c r="L264" s="1">
        <v>769127</v>
      </c>
    </row>
    <row r="265" spans="1:12" ht="21" customHeight="1" x14ac:dyDescent="0.2">
      <c r="A265" s="1" t="s">
        <v>11</v>
      </c>
      <c r="B265" s="1" t="s">
        <v>76</v>
      </c>
      <c r="C265" s="1" t="s">
        <v>77</v>
      </c>
      <c r="D265" s="1" t="s">
        <v>78</v>
      </c>
      <c r="E265" s="1" t="s">
        <v>8</v>
      </c>
      <c r="F265" s="1" t="s">
        <v>79</v>
      </c>
      <c r="G265" s="1" t="s">
        <v>80</v>
      </c>
      <c r="I265" s="1">
        <f t="shared" si="3"/>
        <v>1</v>
      </c>
      <c r="J265" s="1">
        <f t="shared" si="4"/>
        <v>0</v>
      </c>
      <c r="K265" s="1">
        <f t="shared" si="5"/>
        <v>0</v>
      </c>
      <c r="L265" s="1">
        <v>772451</v>
      </c>
    </row>
    <row r="266" spans="1:12" ht="21" customHeight="1" x14ac:dyDescent="0.2">
      <c r="A266" s="1" t="s">
        <v>415</v>
      </c>
      <c r="B266" s="1" t="s">
        <v>432</v>
      </c>
      <c r="C266" s="1" t="s">
        <v>433</v>
      </c>
      <c r="D266" s="1" t="s">
        <v>434</v>
      </c>
      <c r="E266" s="1" t="s">
        <v>8</v>
      </c>
      <c r="F266" s="1" t="s">
        <v>435</v>
      </c>
      <c r="G266" s="1" t="s">
        <v>436</v>
      </c>
      <c r="I266" s="1">
        <f t="shared" si="3"/>
        <v>1</v>
      </c>
      <c r="J266" s="1">
        <f t="shared" si="4"/>
        <v>0</v>
      </c>
      <c r="K266" s="1">
        <f t="shared" si="5"/>
        <v>0</v>
      </c>
      <c r="L266" s="1">
        <v>776670</v>
      </c>
    </row>
    <row r="267" spans="1:12" ht="21" hidden="1" customHeight="1" x14ac:dyDescent="0.2">
      <c r="A267" s="1" t="s">
        <v>666</v>
      </c>
      <c r="B267" s="1" t="s">
        <v>719</v>
      </c>
      <c r="C267" s="1" t="s">
        <v>720</v>
      </c>
      <c r="D267" s="1" t="s">
        <v>721</v>
      </c>
      <c r="E267" s="1" t="s">
        <v>10</v>
      </c>
      <c r="F267" s="1" t="s">
        <v>722</v>
      </c>
      <c r="G267" s="1" t="s">
        <v>31</v>
      </c>
      <c r="I267" s="1">
        <f t="shared" si="3"/>
        <v>0</v>
      </c>
      <c r="J267" s="1">
        <f t="shared" si="4"/>
        <v>0</v>
      </c>
      <c r="K267" s="1">
        <f t="shared" si="5"/>
        <v>1</v>
      </c>
      <c r="L267" s="1">
        <v>783916</v>
      </c>
    </row>
    <row r="268" spans="1:12" ht="21" hidden="1" customHeight="1" x14ac:dyDescent="0.2">
      <c r="A268" s="1" t="s">
        <v>666</v>
      </c>
      <c r="B268" s="1" t="s">
        <v>1036</v>
      </c>
      <c r="C268" s="1" t="s">
        <v>1037</v>
      </c>
      <c r="D268" s="1" t="s">
        <v>1038</v>
      </c>
      <c r="E268" s="1" t="s">
        <v>10</v>
      </c>
      <c r="F268" s="1" t="s">
        <v>1039</v>
      </c>
      <c r="G268" s="1" t="s">
        <v>31</v>
      </c>
      <c r="I268" s="1">
        <f t="shared" si="3"/>
        <v>0</v>
      </c>
      <c r="J268" s="1">
        <f t="shared" si="4"/>
        <v>0</v>
      </c>
      <c r="K268" s="1">
        <f t="shared" si="5"/>
        <v>1</v>
      </c>
      <c r="L268" s="1">
        <v>784829</v>
      </c>
    </row>
    <row r="269" spans="1:12" ht="21" hidden="1" customHeight="1" x14ac:dyDescent="0.2">
      <c r="A269" s="1" t="s">
        <v>11</v>
      </c>
      <c r="B269" s="1" t="s">
        <v>268</v>
      </c>
      <c r="C269" s="1" t="s">
        <v>269</v>
      </c>
      <c r="D269" s="1" t="s">
        <v>270</v>
      </c>
      <c r="E269" s="1" t="s">
        <v>10</v>
      </c>
      <c r="F269" s="1" t="s">
        <v>271</v>
      </c>
      <c r="G269" s="1" t="s">
        <v>31</v>
      </c>
      <c r="I269" s="1">
        <f t="shared" si="3"/>
        <v>0</v>
      </c>
      <c r="J269" s="1">
        <f t="shared" si="4"/>
        <v>0</v>
      </c>
      <c r="K269" s="1">
        <f t="shared" si="5"/>
        <v>1</v>
      </c>
      <c r="L269" s="1">
        <v>787329</v>
      </c>
    </row>
    <row r="270" spans="1:12" ht="21" customHeight="1" x14ac:dyDescent="0.2">
      <c r="A270" s="1" t="s">
        <v>11</v>
      </c>
      <c r="B270" s="1" t="s">
        <v>232</v>
      </c>
      <c r="C270" s="1" t="s">
        <v>233</v>
      </c>
      <c r="D270" s="1" t="s">
        <v>234</v>
      </c>
      <c r="E270" s="1" t="s">
        <v>8</v>
      </c>
      <c r="F270" s="1" t="s">
        <v>235</v>
      </c>
      <c r="G270" s="1" t="s">
        <v>26</v>
      </c>
      <c r="I270" s="1">
        <f t="shared" si="3"/>
        <v>1</v>
      </c>
      <c r="J270" s="1">
        <f t="shared" si="4"/>
        <v>0</v>
      </c>
      <c r="K270" s="1">
        <f t="shared" si="5"/>
        <v>0</v>
      </c>
      <c r="L270" s="1">
        <v>795033</v>
      </c>
    </row>
    <row r="271" spans="1:12" ht="21" hidden="1" customHeight="1" x14ac:dyDescent="0.2">
      <c r="A271" s="1" t="s">
        <v>11</v>
      </c>
      <c r="B271" s="1" t="s">
        <v>297</v>
      </c>
      <c r="C271" s="1" t="s">
        <v>298</v>
      </c>
      <c r="D271" s="1" t="s">
        <v>299</v>
      </c>
      <c r="E271" s="1" t="s">
        <v>10</v>
      </c>
      <c r="F271" s="1" t="s">
        <v>300</v>
      </c>
      <c r="G271" s="1" t="s">
        <v>31</v>
      </c>
      <c r="I271" s="1">
        <f t="shared" si="3"/>
        <v>0</v>
      </c>
      <c r="J271" s="1">
        <f t="shared" si="4"/>
        <v>0</v>
      </c>
      <c r="K271" s="1">
        <f t="shared" si="5"/>
        <v>1</v>
      </c>
      <c r="L271" s="1">
        <v>799877</v>
      </c>
    </row>
    <row r="272" spans="1:12" ht="21" customHeight="1" x14ac:dyDescent="0.2">
      <c r="A272" s="1" t="s">
        <v>415</v>
      </c>
      <c r="B272" s="1" t="s">
        <v>653</v>
      </c>
      <c r="C272" s="1" t="s">
        <v>654</v>
      </c>
      <c r="D272" s="1" t="s">
        <v>655</v>
      </c>
      <c r="E272" s="1" t="s">
        <v>8</v>
      </c>
      <c r="F272" s="1" t="s">
        <v>656</v>
      </c>
      <c r="G272" s="1" t="s">
        <v>80</v>
      </c>
      <c r="I272" s="1">
        <f t="shared" si="3"/>
        <v>1</v>
      </c>
      <c r="J272" s="1">
        <f t="shared" si="4"/>
        <v>0</v>
      </c>
      <c r="K272" s="1">
        <f t="shared" si="5"/>
        <v>0</v>
      </c>
      <c r="L272" s="1">
        <v>803330</v>
      </c>
    </row>
    <row r="273" spans="1:12" ht="21" hidden="1" customHeight="1" x14ac:dyDescent="0.2">
      <c r="A273" s="1" t="s">
        <v>415</v>
      </c>
      <c r="B273" s="1" t="s">
        <v>466</v>
      </c>
      <c r="C273" s="1" t="s">
        <v>467</v>
      </c>
      <c r="D273" s="1" t="s">
        <v>468</v>
      </c>
      <c r="E273" s="1" t="s">
        <v>9</v>
      </c>
      <c r="F273" s="1" t="s">
        <v>469</v>
      </c>
      <c r="G273" s="1" t="s">
        <v>21</v>
      </c>
      <c r="I273" s="1">
        <f t="shared" si="3"/>
        <v>0</v>
      </c>
      <c r="J273" s="1">
        <f t="shared" si="4"/>
        <v>1</v>
      </c>
      <c r="K273" s="1">
        <f t="shared" si="5"/>
        <v>0</v>
      </c>
      <c r="L273" s="1">
        <v>803638</v>
      </c>
    </row>
    <row r="274" spans="1:12" ht="21" customHeight="1" x14ac:dyDescent="0.2">
      <c r="A274" s="1" t="s">
        <v>415</v>
      </c>
      <c r="B274" s="1" t="s">
        <v>544</v>
      </c>
      <c r="C274" s="1" t="s">
        <v>545</v>
      </c>
      <c r="D274" s="1" t="s">
        <v>546</v>
      </c>
      <c r="E274" s="1" t="s">
        <v>8</v>
      </c>
      <c r="F274" s="1" t="s">
        <v>547</v>
      </c>
      <c r="G274" s="1" t="s">
        <v>56</v>
      </c>
      <c r="I274" s="1">
        <f t="shared" si="3"/>
        <v>1</v>
      </c>
      <c r="J274" s="1">
        <f t="shared" si="4"/>
        <v>0</v>
      </c>
      <c r="K274" s="1">
        <f t="shared" si="5"/>
        <v>0</v>
      </c>
      <c r="L274" s="1">
        <v>803964</v>
      </c>
    </row>
    <row r="275" spans="1:12" ht="21" hidden="1" customHeight="1" x14ac:dyDescent="0.2">
      <c r="A275" s="1" t="s">
        <v>1178</v>
      </c>
      <c r="B275" s="1" t="s">
        <v>1303</v>
      </c>
      <c r="C275" s="1" t="s">
        <v>1304</v>
      </c>
      <c r="D275" s="1" t="s">
        <v>1305</v>
      </c>
      <c r="E275" s="1" t="s">
        <v>9</v>
      </c>
      <c r="F275" s="1" t="s">
        <v>1306</v>
      </c>
      <c r="G275" s="1" t="s">
        <v>21</v>
      </c>
      <c r="I275" s="1">
        <f t="shared" si="3"/>
        <v>0</v>
      </c>
      <c r="J275" s="1">
        <f t="shared" si="4"/>
        <v>1</v>
      </c>
      <c r="K275" s="1">
        <f t="shared" si="5"/>
        <v>0</v>
      </c>
      <c r="L275" s="1">
        <v>818945</v>
      </c>
    </row>
    <row r="276" spans="1:12" ht="21" customHeight="1" x14ac:dyDescent="0.2">
      <c r="A276" s="1" t="s">
        <v>666</v>
      </c>
      <c r="B276" s="1" t="s">
        <v>739</v>
      </c>
      <c r="C276" s="1" t="s">
        <v>740</v>
      </c>
      <c r="D276" s="1" t="s">
        <v>741</v>
      </c>
      <c r="E276" s="1" t="s">
        <v>8</v>
      </c>
      <c r="F276" s="1" t="s">
        <v>742</v>
      </c>
      <c r="G276" s="1" t="s">
        <v>743</v>
      </c>
      <c r="I276" s="1">
        <f t="shared" si="3"/>
        <v>1</v>
      </c>
      <c r="J276" s="1">
        <f t="shared" si="4"/>
        <v>0</v>
      </c>
      <c r="K276" s="1">
        <f t="shared" si="5"/>
        <v>0</v>
      </c>
      <c r="L276" s="1">
        <v>820481</v>
      </c>
    </row>
    <row r="277" spans="1:12" ht="21" hidden="1" customHeight="1" x14ac:dyDescent="0.2">
      <c r="A277" s="1" t="s">
        <v>415</v>
      </c>
      <c r="B277" s="1" t="s">
        <v>577</v>
      </c>
      <c r="C277" s="1" t="s">
        <v>578</v>
      </c>
      <c r="D277" s="1" t="s">
        <v>579</v>
      </c>
      <c r="E277" s="1" t="s">
        <v>10</v>
      </c>
      <c r="F277" s="1" t="s">
        <v>580</v>
      </c>
      <c r="G277" s="1" t="s">
        <v>31</v>
      </c>
      <c r="I277" s="1">
        <f t="shared" si="3"/>
        <v>0</v>
      </c>
      <c r="J277" s="1">
        <f t="shared" si="4"/>
        <v>0</v>
      </c>
      <c r="K277" s="1">
        <f t="shared" si="5"/>
        <v>1</v>
      </c>
      <c r="L277" s="1">
        <v>820790</v>
      </c>
    </row>
    <row r="278" spans="1:12" ht="21" customHeight="1" x14ac:dyDescent="0.2">
      <c r="A278" s="1" t="s">
        <v>1178</v>
      </c>
      <c r="B278" s="1" t="s">
        <v>1363</v>
      </c>
      <c r="C278" s="1" t="s">
        <v>1364</v>
      </c>
      <c r="D278" s="1" t="s">
        <v>1365</v>
      </c>
      <c r="E278" s="1" t="s">
        <v>8</v>
      </c>
      <c r="F278" s="1" t="s">
        <v>1366</v>
      </c>
      <c r="G278" s="1" t="s">
        <v>564</v>
      </c>
      <c r="I278" s="1">
        <f t="shared" si="3"/>
        <v>1</v>
      </c>
      <c r="J278" s="1">
        <f t="shared" si="4"/>
        <v>0</v>
      </c>
      <c r="K278" s="1">
        <f t="shared" si="5"/>
        <v>0</v>
      </c>
      <c r="L278" s="1">
        <v>820943</v>
      </c>
    </row>
    <row r="279" spans="1:12" ht="21" customHeight="1" x14ac:dyDescent="0.2">
      <c r="A279" s="1" t="s">
        <v>11</v>
      </c>
      <c r="B279" s="1" t="s">
        <v>136</v>
      </c>
      <c r="C279" s="1" t="s">
        <v>137</v>
      </c>
      <c r="D279" s="1" t="s">
        <v>138</v>
      </c>
      <c r="E279" s="1" t="s">
        <v>8</v>
      </c>
      <c r="F279" s="1" t="s">
        <v>139</v>
      </c>
      <c r="G279" s="1" t="s">
        <v>140</v>
      </c>
      <c r="I279" s="1">
        <f t="shared" si="3"/>
        <v>1</v>
      </c>
      <c r="J279" s="1">
        <f t="shared" si="4"/>
        <v>0</v>
      </c>
      <c r="K279" s="1">
        <f t="shared" si="5"/>
        <v>0</v>
      </c>
      <c r="L279" s="1">
        <v>830663</v>
      </c>
    </row>
    <row r="280" spans="1:12" ht="21" customHeight="1" x14ac:dyDescent="0.2">
      <c r="A280" s="1" t="s">
        <v>666</v>
      </c>
      <c r="B280" s="1" t="s">
        <v>1107</v>
      </c>
      <c r="C280" s="1" t="s">
        <v>1108</v>
      </c>
      <c r="D280" s="1" t="s">
        <v>1109</v>
      </c>
      <c r="E280" s="1" t="s">
        <v>8</v>
      </c>
      <c r="F280" s="1" t="s">
        <v>1110</v>
      </c>
      <c r="G280" s="1" t="s">
        <v>427</v>
      </c>
      <c r="I280" s="1">
        <f t="shared" si="3"/>
        <v>1</v>
      </c>
      <c r="J280" s="1">
        <f t="shared" si="4"/>
        <v>0</v>
      </c>
      <c r="K280" s="1">
        <f t="shared" si="5"/>
        <v>0</v>
      </c>
      <c r="L280" s="1">
        <v>830950</v>
      </c>
    </row>
    <row r="281" spans="1:12" ht="21" customHeight="1" x14ac:dyDescent="0.2">
      <c r="A281" s="1" t="s">
        <v>666</v>
      </c>
      <c r="B281" s="1" t="s">
        <v>723</v>
      </c>
      <c r="C281" s="1" t="s">
        <v>724</v>
      </c>
      <c r="D281" s="1" t="s">
        <v>725</v>
      </c>
      <c r="E281" s="1" t="s">
        <v>8</v>
      </c>
      <c r="F281" s="1" t="s">
        <v>726</v>
      </c>
      <c r="G281" s="1" t="s">
        <v>108</v>
      </c>
      <c r="I281" s="1">
        <f t="shared" si="3"/>
        <v>1</v>
      </c>
      <c r="J281" s="1">
        <f t="shared" si="4"/>
        <v>0</v>
      </c>
      <c r="K281" s="1">
        <f t="shared" si="5"/>
        <v>0</v>
      </c>
      <c r="L281" s="1">
        <v>833680</v>
      </c>
    </row>
    <row r="282" spans="1:12" ht="21" hidden="1" customHeight="1" x14ac:dyDescent="0.2">
      <c r="A282" s="1" t="s">
        <v>11</v>
      </c>
      <c r="B282" s="1" t="s">
        <v>255</v>
      </c>
      <c r="C282" s="1" t="s">
        <v>256</v>
      </c>
      <c r="D282" s="1" t="s">
        <v>257</v>
      </c>
      <c r="E282" s="1" t="s">
        <v>9</v>
      </c>
      <c r="F282" s="1" t="s">
        <v>258</v>
      </c>
      <c r="G282" s="1" t="s">
        <v>21</v>
      </c>
      <c r="I282" s="1">
        <f t="shared" si="3"/>
        <v>0</v>
      </c>
      <c r="J282" s="1">
        <f t="shared" si="4"/>
        <v>1</v>
      </c>
      <c r="K282" s="1">
        <f t="shared" si="5"/>
        <v>0</v>
      </c>
      <c r="L282" s="1">
        <v>837581</v>
      </c>
    </row>
    <row r="283" spans="1:12" ht="21" hidden="1" customHeight="1" x14ac:dyDescent="0.2">
      <c r="A283" s="1" t="s">
        <v>11</v>
      </c>
      <c r="B283" s="1" t="s">
        <v>348</v>
      </c>
      <c r="C283" s="1" t="s">
        <v>349</v>
      </c>
      <c r="D283" s="1" t="s">
        <v>350</v>
      </c>
      <c r="E283" s="1" t="s">
        <v>10</v>
      </c>
      <c r="F283" s="1" t="s">
        <v>351</v>
      </c>
      <c r="G283" s="1" t="s">
        <v>31</v>
      </c>
      <c r="I283" s="1">
        <f t="shared" si="3"/>
        <v>0</v>
      </c>
      <c r="J283" s="1">
        <f t="shared" si="4"/>
        <v>0</v>
      </c>
      <c r="K283" s="1">
        <f t="shared" si="5"/>
        <v>1</v>
      </c>
      <c r="L283" s="1">
        <v>841552</v>
      </c>
    </row>
    <row r="284" spans="1:12" ht="21" customHeight="1" x14ac:dyDescent="0.2">
      <c r="A284" s="1" t="s">
        <v>415</v>
      </c>
      <c r="B284" s="1" t="s">
        <v>458</v>
      </c>
      <c r="C284" s="1" t="s">
        <v>459</v>
      </c>
      <c r="D284" s="1" t="s">
        <v>460</v>
      </c>
      <c r="E284" s="1" t="s">
        <v>8</v>
      </c>
      <c r="F284" s="1" t="s">
        <v>461</v>
      </c>
      <c r="G284" s="1" t="s">
        <v>276</v>
      </c>
      <c r="I284" s="1">
        <f t="shared" si="3"/>
        <v>1</v>
      </c>
      <c r="J284" s="1">
        <f t="shared" si="4"/>
        <v>0</v>
      </c>
      <c r="K284" s="1">
        <f t="shared" si="5"/>
        <v>0</v>
      </c>
      <c r="L284" s="1">
        <v>845922</v>
      </c>
    </row>
    <row r="285" spans="1:12" ht="21" customHeight="1" x14ac:dyDescent="0.2">
      <c r="A285" s="1" t="s">
        <v>1178</v>
      </c>
      <c r="B285" s="1" t="s">
        <v>1404</v>
      </c>
      <c r="C285" s="1" t="s">
        <v>1405</v>
      </c>
      <c r="D285" s="1" t="s">
        <v>1406</v>
      </c>
      <c r="E285" s="1" t="s">
        <v>8</v>
      </c>
      <c r="F285" s="1" t="s">
        <v>1407</v>
      </c>
      <c r="G285" s="1" t="s">
        <v>26</v>
      </c>
      <c r="I285" s="1">
        <f t="shared" si="3"/>
        <v>1</v>
      </c>
      <c r="J285" s="1">
        <f t="shared" si="4"/>
        <v>0</v>
      </c>
      <c r="K285" s="1">
        <f t="shared" si="5"/>
        <v>0</v>
      </c>
      <c r="L285" s="1">
        <v>850087</v>
      </c>
    </row>
    <row r="286" spans="1:12" ht="21" customHeight="1" x14ac:dyDescent="0.2">
      <c r="A286" s="1" t="s">
        <v>1178</v>
      </c>
      <c r="B286" s="1" t="s">
        <v>1316</v>
      </c>
      <c r="C286" s="1" t="s">
        <v>1317</v>
      </c>
      <c r="D286" s="1" t="s">
        <v>1318</v>
      </c>
      <c r="E286" s="1" t="s">
        <v>8</v>
      </c>
      <c r="F286" s="1" t="s">
        <v>1319</v>
      </c>
      <c r="G286" s="1" t="s">
        <v>564</v>
      </c>
      <c r="I286" s="1">
        <f t="shared" si="3"/>
        <v>1</v>
      </c>
      <c r="J286" s="1">
        <f t="shared" si="4"/>
        <v>0</v>
      </c>
      <c r="K286" s="1">
        <f t="shared" si="5"/>
        <v>0</v>
      </c>
      <c r="L286" s="1">
        <v>850176</v>
      </c>
    </row>
    <row r="287" spans="1:12" ht="21" customHeight="1" x14ac:dyDescent="0.2">
      <c r="A287" s="1" t="s">
        <v>666</v>
      </c>
      <c r="B287" s="1" t="s">
        <v>933</v>
      </c>
      <c r="C287" s="1" t="s">
        <v>934</v>
      </c>
      <c r="D287" s="1" t="s">
        <v>935</v>
      </c>
      <c r="E287" s="1" t="s">
        <v>8</v>
      </c>
      <c r="F287" s="1" t="s">
        <v>936</v>
      </c>
      <c r="G287" s="1" t="s">
        <v>26</v>
      </c>
      <c r="I287" s="1">
        <f t="shared" si="3"/>
        <v>1</v>
      </c>
      <c r="J287" s="1">
        <f t="shared" si="4"/>
        <v>0</v>
      </c>
      <c r="K287" s="1">
        <f t="shared" si="5"/>
        <v>0</v>
      </c>
      <c r="L287" s="1">
        <v>850286</v>
      </c>
    </row>
    <row r="288" spans="1:12" ht="21" hidden="1" customHeight="1" x14ac:dyDescent="0.2">
      <c r="A288" s="1" t="s">
        <v>666</v>
      </c>
      <c r="B288" s="1" t="s">
        <v>667</v>
      </c>
      <c r="C288" s="1" t="s">
        <v>668</v>
      </c>
      <c r="D288" s="1" t="s">
        <v>669</v>
      </c>
      <c r="E288" s="1" t="s">
        <v>10</v>
      </c>
      <c r="F288" s="1" t="s">
        <v>670</v>
      </c>
      <c r="G288" s="1" t="s">
        <v>597</v>
      </c>
      <c r="I288" s="1">
        <f t="shared" si="3"/>
        <v>0</v>
      </c>
      <c r="J288" s="1">
        <f t="shared" si="4"/>
        <v>0</v>
      </c>
      <c r="K288" s="1">
        <f t="shared" si="5"/>
        <v>1</v>
      </c>
      <c r="L288" s="1">
        <v>856848</v>
      </c>
    </row>
    <row r="289" spans="1:12" ht="21" hidden="1" customHeight="1" x14ac:dyDescent="0.2">
      <c r="A289" s="1" t="s">
        <v>666</v>
      </c>
      <c r="B289" s="1" t="s">
        <v>912</v>
      </c>
      <c r="C289" s="1" t="s">
        <v>913</v>
      </c>
      <c r="D289" s="1" t="s">
        <v>914</v>
      </c>
      <c r="E289" s="1" t="s">
        <v>10</v>
      </c>
      <c r="F289" s="1" t="s">
        <v>915</v>
      </c>
      <c r="G289" s="1" t="s">
        <v>31</v>
      </c>
      <c r="I289" s="1">
        <f t="shared" si="3"/>
        <v>0</v>
      </c>
      <c r="J289" s="1">
        <f t="shared" si="4"/>
        <v>0</v>
      </c>
      <c r="K289" s="1">
        <f t="shared" si="5"/>
        <v>1</v>
      </c>
      <c r="L289" s="1">
        <v>861876</v>
      </c>
    </row>
    <row r="290" spans="1:12" ht="21" hidden="1" customHeight="1" x14ac:dyDescent="0.2">
      <c r="A290" s="1" t="s">
        <v>1178</v>
      </c>
      <c r="B290" s="1" t="s">
        <v>1312</v>
      </c>
      <c r="C290" s="1" t="s">
        <v>1313</v>
      </c>
      <c r="D290" s="1" t="s">
        <v>1314</v>
      </c>
      <c r="E290" s="1" t="s">
        <v>9</v>
      </c>
      <c r="F290" s="1" t="s">
        <v>1315</v>
      </c>
      <c r="G290" s="1" t="s">
        <v>21</v>
      </c>
      <c r="I290" s="1">
        <f t="shared" si="3"/>
        <v>0</v>
      </c>
      <c r="J290" s="1">
        <f t="shared" si="4"/>
        <v>1</v>
      </c>
      <c r="K290" s="1">
        <f t="shared" si="5"/>
        <v>0</v>
      </c>
      <c r="L290" s="1">
        <v>863833</v>
      </c>
    </row>
    <row r="291" spans="1:12" ht="21" customHeight="1" x14ac:dyDescent="0.2">
      <c r="A291" s="1" t="s">
        <v>666</v>
      </c>
      <c r="B291" s="1" t="s">
        <v>808</v>
      </c>
      <c r="C291" s="1" t="s">
        <v>809</v>
      </c>
      <c r="D291" s="1" t="s">
        <v>810</v>
      </c>
      <c r="E291" s="1" t="s">
        <v>8</v>
      </c>
      <c r="F291" s="1" t="s">
        <v>811</v>
      </c>
      <c r="G291" s="1" t="s">
        <v>281</v>
      </c>
      <c r="I291" s="1">
        <f t="shared" si="3"/>
        <v>1</v>
      </c>
      <c r="J291" s="1">
        <f t="shared" si="4"/>
        <v>0</v>
      </c>
      <c r="K291" s="1">
        <f t="shared" si="5"/>
        <v>0</v>
      </c>
      <c r="L291" s="1">
        <v>864452</v>
      </c>
    </row>
    <row r="292" spans="1:12" ht="21" customHeight="1" x14ac:dyDescent="0.2">
      <c r="A292" s="1" t="s">
        <v>11</v>
      </c>
      <c r="B292" s="1" t="s">
        <v>52</v>
      </c>
      <c r="C292" s="1" t="s">
        <v>53</v>
      </c>
      <c r="D292" s="1" t="s">
        <v>54</v>
      </c>
      <c r="E292" s="1" t="s">
        <v>8</v>
      </c>
      <c r="F292" s="1" t="s">
        <v>55</v>
      </c>
      <c r="G292" s="1" t="s">
        <v>56</v>
      </c>
      <c r="I292" s="1">
        <f t="shared" si="3"/>
        <v>1</v>
      </c>
      <c r="J292" s="1">
        <f t="shared" si="4"/>
        <v>0</v>
      </c>
      <c r="K292" s="1">
        <f t="shared" si="5"/>
        <v>0</v>
      </c>
      <c r="L292" s="1">
        <v>866797</v>
      </c>
    </row>
    <row r="293" spans="1:12" ht="21" customHeight="1" x14ac:dyDescent="0.2">
      <c r="A293" s="1" t="s">
        <v>666</v>
      </c>
      <c r="B293" s="1" t="s">
        <v>735</v>
      </c>
      <c r="C293" s="1" t="s">
        <v>736</v>
      </c>
      <c r="D293" s="1" t="s">
        <v>737</v>
      </c>
      <c r="E293" s="1" t="s">
        <v>8</v>
      </c>
      <c r="F293" s="1" t="s">
        <v>738</v>
      </c>
      <c r="G293" s="1" t="s">
        <v>26</v>
      </c>
      <c r="I293" s="1">
        <f t="shared" si="3"/>
        <v>1</v>
      </c>
      <c r="J293" s="1">
        <f t="shared" si="4"/>
        <v>0</v>
      </c>
      <c r="K293" s="1">
        <f t="shared" si="5"/>
        <v>0</v>
      </c>
      <c r="L293" s="1">
        <v>871316</v>
      </c>
    </row>
    <row r="294" spans="1:12" ht="21" customHeight="1" x14ac:dyDescent="0.2">
      <c r="A294" s="1" t="s">
        <v>1178</v>
      </c>
      <c r="B294" s="1" t="s">
        <v>1349</v>
      </c>
      <c r="C294" s="1" t="s">
        <v>1350</v>
      </c>
      <c r="D294" s="1" t="s">
        <v>1351</v>
      </c>
      <c r="E294" s="1" t="s">
        <v>8</v>
      </c>
      <c r="F294" s="1" t="s">
        <v>1352</v>
      </c>
      <c r="G294" s="1" t="s">
        <v>1353</v>
      </c>
      <c r="I294" s="1">
        <f t="shared" si="3"/>
        <v>1</v>
      </c>
      <c r="J294" s="1">
        <f t="shared" si="4"/>
        <v>0</v>
      </c>
      <c r="K294" s="1">
        <f t="shared" si="5"/>
        <v>0</v>
      </c>
      <c r="L294" s="1">
        <v>873729</v>
      </c>
    </row>
    <row r="295" spans="1:12" ht="21" hidden="1" customHeight="1" x14ac:dyDescent="0.2">
      <c r="A295" s="1" t="s">
        <v>415</v>
      </c>
      <c r="B295" s="1" t="s">
        <v>437</v>
      </c>
      <c r="C295" s="1" t="s">
        <v>438</v>
      </c>
      <c r="D295" s="1" t="s">
        <v>439</v>
      </c>
      <c r="E295" s="1" t="s">
        <v>10</v>
      </c>
      <c r="F295" s="1" t="s">
        <v>440</v>
      </c>
      <c r="G295" s="1" t="s">
        <v>31</v>
      </c>
      <c r="I295" s="1">
        <f t="shared" si="3"/>
        <v>0</v>
      </c>
      <c r="J295" s="1">
        <f t="shared" si="4"/>
        <v>0</v>
      </c>
      <c r="K295" s="1">
        <f t="shared" si="5"/>
        <v>1</v>
      </c>
      <c r="L295" s="1">
        <v>873958</v>
      </c>
    </row>
    <row r="296" spans="1:12" ht="21" customHeight="1" x14ac:dyDescent="0.2">
      <c r="A296" s="1" t="s">
        <v>11</v>
      </c>
      <c r="B296" s="1" t="s">
        <v>71</v>
      </c>
      <c r="C296" s="1" t="s">
        <v>72</v>
      </c>
      <c r="D296" s="1" t="s">
        <v>73</v>
      </c>
      <c r="E296" s="1" t="s">
        <v>8</v>
      </c>
      <c r="F296" s="1" t="s">
        <v>74</v>
      </c>
      <c r="G296" s="1" t="s">
        <v>75</v>
      </c>
      <c r="I296" s="1">
        <f t="shared" si="3"/>
        <v>1</v>
      </c>
      <c r="J296" s="1">
        <f t="shared" si="4"/>
        <v>0</v>
      </c>
      <c r="K296" s="1">
        <f t="shared" si="5"/>
        <v>0</v>
      </c>
      <c r="L296" s="1">
        <v>874463</v>
      </c>
    </row>
    <row r="297" spans="1:12" ht="21" customHeight="1" x14ac:dyDescent="0.2">
      <c r="A297" s="1" t="s">
        <v>11</v>
      </c>
      <c r="B297" s="1" t="s">
        <v>301</v>
      </c>
      <c r="C297" s="1" t="s">
        <v>302</v>
      </c>
      <c r="D297" s="1" t="s">
        <v>303</v>
      </c>
      <c r="E297" s="1" t="s">
        <v>8</v>
      </c>
      <c r="F297" s="1" t="s">
        <v>304</v>
      </c>
      <c r="G297" s="1" t="s">
        <v>250</v>
      </c>
      <c r="I297" s="1">
        <f t="shared" si="3"/>
        <v>1</v>
      </c>
      <c r="J297" s="1">
        <f t="shared" si="4"/>
        <v>0</v>
      </c>
      <c r="K297" s="1">
        <f t="shared" si="5"/>
        <v>0</v>
      </c>
      <c r="L297" s="1">
        <v>878578</v>
      </c>
    </row>
    <row r="298" spans="1:12" ht="21" hidden="1" customHeight="1" x14ac:dyDescent="0.2">
      <c r="A298" s="1" t="s">
        <v>11</v>
      </c>
      <c r="B298" s="1" t="s">
        <v>141</v>
      </c>
      <c r="C298" s="1" t="s">
        <v>142</v>
      </c>
      <c r="D298" s="1" t="s">
        <v>143</v>
      </c>
      <c r="E298" s="1" t="s">
        <v>10</v>
      </c>
      <c r="F298" s="1" t="s">
        <v>144</v>
      </c>
      <c r="G298" s="1" t="s">
        <v>145</v>
      </c>
      <c r="I298" s="1">
        <f t="shared" si="3"/>
        <v>0</v>
      </c>
      <c r="J298" s="1">
        <f t="shared" si="4"/>
        <v>0</v>
      </c>
      <c r="K298" s="1">
        <f t="shared" si="5"/>
        <v>1</v>
      </c>
      <c r="L298" s="1">
        <v>878954</v>
      </c>
    </row>
    <row r="299" spans="1:12" ht="21" hidden="1" customHeight="1" x14ac:dyDescent="0.2">
      <c r="A299" s="1" t="s">
        <v>11</v>
      </c>
      <c r="B299" s="1" t="s">
        <v>385</v>
      </c>
      <c r="C299" s="1" t="s">
        <v>386</v>
      </c>
      <c r="D299" s="1" t="s">
        <v>387</v>
      </c>
      <c r="E299" s="1" t="s">
        <v>10</v>
      </c>
      <c r="F299" s="1" t="s">
        <v>388</v>
      </c>
      <c r="G299" s="1" t="s">
        <v>21</v>
      </c>
      <c r="I299" s="1">
        <f t="shared" si="3"/>
        <v>0</v>
      </c>
      <c r="J299" s="1">
        <f t="shared" si="4"/>
        <v>0</v>
      </c>
      <c r="K299" s="1">
        <f t="shared" si="5"/>
        <v>1</v>
      </c>
      <c r="L299" s="1">
        <v>881853</v>
      </c>
    </row>
    <row r="300" spans="1:12" ht="21" hidden="1" customHeight="1" x14ac:dyDescent="0.2">
      <c r="A300" s="1" t="s">
        <v>415</v>
      </c>
      <c r="B300" s="1" t="s">
        <v>441</v>
      </c>
      <c r="C300" s="1" t="s">
        <v>442</v>
      </c>
      <c r="D300" s="1" t="s">
        <v>443</v>
      </c>
      <c r="E300" s="1" t="s">
        <v>10</v>
      </c>
      <c r="F300" s="1" t="s">
        <v>444</v>
      </c>
      <c r="G300" s="1" t="s">
        <v>31</v>
      </c>
      <c r="I300" s="1">
        <f t="shared" si="3"/>
        <v>0</v>
      </c>
      <c r="J300" s="1">
        <f t="shared" si="4"/>
        <v>0</v>
      </c>
      <c r="K300" s="1">
        <f t="shared" si="5"/>
        <v>1</v>
      </c>
      <c r="L300" s="1">
        <v>884683</v>
      </c>
    </row>
    <row r="301" spans="1:12" ht="21" customHeight="1" x14ac:dyDescent="0.2">
      <c r="A301" s="1" t="s">
        <v>666</v>
      </c>
      <c r="B301" s="1" t="s">
        <v>1000</v>
      </c>
      <c r="C301" s="1" t="s">
        <v>1001</v>
      </c>
      <c r="D301" s="1" t="s">
        <v>1002</v>
      </c>
      <c r="E301" s="1" t="s">
        <v>8</v>
      </c>
      <c r="F301" s="1" t="s">
        <v>1003</v>
      </c>
      <c r="G301" s="1" t="s">
        <v>108</v>
      </c>
      <c r="I301" s="1">
        <f t="shared" si="3"/>
        <v>1</v>
      </c>
      <c r="J301" s="1">
        <f t="shared" si="4"/>
        <v>0</v>
      </c>
      <c r="K301" s="1">
        <f t="shared" si="5"/>
        <v>0</v>
      </c>
      <c r="L301" s="1">
        <v>885955</v>
      </c>
    </row>
    <row r="302" spans="1:12" ht="21" customHeight="1" x14ac:dyDescent="0.2">
      <c r="A302" s="1" t="s">
        <v>1178</v>
      </c>
      <c r="B302" s="1" t="s">
        <v>1195</v>
      </c>
      <c r="C302" s="1" t="s">
        <v>1196</v>
      </c>
      <c r="D302" s="1" t="s">
        <v>1197</v>
      </c>
      <c r="E302" s="1" t="s">
        <v>8</v>
      </c>
      <c r="F302" s="1" t="s">
        <v>1198</v>
      </c>
      <c r="G302" s="1" t="s">
        <v>291</v>
      </c>
      <c r="I302" s="1">
        <f t="shared" si="3"/>
        <v>1</v>
      </c>
      <c r="J302" s="1">
        <f t="shared" si="4"/>
        <v>0</v>
      </c>
      <c r="K302" s="1">
        <f t="shared" si="5"/>
        <v>0</v>
      </c>
      <c r="L302" s="1">
        <v>893454</v>
      </c>
    </row>
    <row r="303" spans="1:12" ht="21" hidden="1" customHeight="1" x14ac:dyDescent="0.2">
      <c r="A303" s="1" t="s">
        <v>415</v>
      </c>
      <c r="B303" s="1" t="s">
        <v>462</v>
      </c>
      <c r="C303" s="1" t="s">
        <v>463</v>
      </c>
      <c r="D303" s="1" t="s">
        <v>464</v>
      </c>
      <c r="E303" s="1" t="s">
        <v>9</v>
      </c>
      <c r="F303" s="1" t="s">
        <v>465</v>
      </c>
      <c r="G303" s="1" t="s">
        <v>21</v>
      </c>
      <c r="I303" s="1">
        <f t="shared" si="3"/>
        <v>0</v>
      </c>
      <c r="J303" s="1">
        <f t="shared" si="4"/>
        <v>1</v>
      </c>
      <c r="K303" s="1">
        <f t="shared" si="5"/>
        <v>0</v>
      </c>
      <c r="L303" s="1">
        <v>893727</v>
      </c>
    </row>
    <row r="304" spans="1:12" ht="21" hidden="1" customHeight="1" x14ac:dyDescent="0.2">
      <c r="A304" s="1" t="s">
        <v>415</v>
      </c>
      <c r="B304" s="1" t="s">
        <v>556</v>
      </c>
      <c r="C304" s="1" t="s">
        <v>557</v>
      </c>
      <c r="D304" s="1" t="s">
        <v>558</v>
      </c>
      <c r="E304" s="1" t="s">
        <v>10</v>
      </c>
      <c r="F304" s="1" t="s">
        <v>559</v>
      </c>
      <c r="G304" s="1" t="s">
        <v>31</v>
      </c>
      <c r="I304" s="1">
        <f t="shared" si="3"/>
        <v>0</v>
      </c>
      <c r="J304" s="1">
        <f t="shared" si="4"/>
        <v>0</v>
      </c>
      <c r="K304" s="1">
        <f t="shared" si="5"/>
        <v>1</v>
      </c>
      <c r="L304" s="1">
        <v>907473</v>
      </c>
    </row>
    <row r="305" spans="1:12" ht="21" hidden="1" customHeight="1" x14ac:dyDescent="0.2">
      <c r="A305" s="1" t="s">
        <v>11</v>
      </c>
      <c r="B305" s="1" t="s">
        <v>228</v>
      </c>
      <c r="C305" s="1" t="s">
        <v>229</v>
      </c>
      <c r="D305" s="1" t="s">
        <v>230</v>
      </c>
      <c r="E305" s="1" t="s">
        <v>10</v>
      </c>
      <c r="F305" s="1" t="s">
        <v>231</v>
      </c>
      <c r="G305" s="1" t="s">
        <v>31</v>
      </c>
      <c r="I305" s="1">
        <f t="shared" si="3"/>
        <v>0</v>
      </c>
      <c r="J305" s="1">
        <f t="shared" si="4"/>
        <v>0</v>
      </c>
      <c r="K305" s="1">
        <f t="shared" si="5"/>
        <v>1</v>
      </c>
      <c r="L305" s="1">
        <v>910399</v>
      </c>
    </row>
    <row r="306" spans="1:12" ht="21" hidden="1" customHeight="1" x14ac:dyDescent="0.2">
      <c r="A306" s="1" t="s">
        <v>666</v>
      </c>
      <c r="B306" s="1" t="s">
        <v>1157</v>
      </c>
      <c r="C306" s="1" t="s">
        <v>1158</v>
      </c>
      <c r="D306" s="1" t="s">
        <v>1159</v>
      </c>
      <c r="E306" s="1" t="s">
        <v>9</v>
      </c>
      <c r="F306" s="1" t="s">
        <v>1160</v>
      </c>
      <c r="G306" s="1" t="s">
        <v>21</v>
      </c>
      <c r="I306" s="1">
        <f t="shared" si="3"/>
        <v>0</v>
      </c>
      <c r="J306" s="1">
        <f t="shared" si="4"/>
        <v>1</v>
      </c>
      <c r="K306" s="1">
        <f t="shared" si="5"/>
        <v>0</v>
      </c>
      <c r="L306" s="1">
        <v>914758</v>
      </c>
    </row>
    <row r="307" spans="1:12" ht="21" hidden="1" customHeight="1" x14ac:dyDescent="0.2">
      <c r="A307" s="1" t="s">
        <v>666</v>
      </c>
      <c r="B307" s="1" t="s">
        <v>937</v>
      </c>
      <c r="C307" s="1" t="s">
        <v>938</v>
      </c>
      <c r="D307" s="1" t="s">
        <v>939</v>
      </c>
      <c r="E307" s="1" t="s">
        <v>10</v>
      </c>
      <c r="F307" s="1" t="s">
        <v>940</v>
      </c>
      <c r="G307" s="1" t="s">
        <v>31</v>
      </c>
      <c r="I307" s="1">
        <f t="shared" si="3"/>
        <v>0</v>
      </c>
      <c r="J307" s="1">
        <f t="shared" si="4"/>
        <v>0</v>
      </c>
      <c r="K307" s="1">
        <f t="shared" si="5"/>
        <v>1</v>
      </c>
      <c r="L307" s="1">
        <v>917765</v>
      </c>
    </row>
    <row r="308" spans="1:12" ht="21" customHeight="1" x14ac:dyDescent="0.2">
      <c r="A308" s="1" t="s">
        <v>11</v>
      </c>
      <c r="B308" s="1" t="s">
        <v>263</v>
      </c>
      <c r="C308" s="1" t="s">
        <v>264</v>
      </c>
      <c r="D308" s="1" t="s">
        <v>265</v>
      </c>
      <c r="E308" s="1" t="s">
        <v>8</v>
      </c>
      <c r="F308" s="1" t="s">
        <v>266</v>
      </c>
      <c r="G308" s="1" t="s">
        <v>267</v>
      </c>
      <c r="I308" s="1">
        <f t="shared" si="3"/>
        <v>1</v>
      </c>
      <c r="J308" s="1">
        <f t="shared" si="4"/>
        <v>0</v>
      </c>
      <c r="K308" s="1">
        <f t="shared" si="5"/>
        <v>0</v>
      </c>
      <c r="L308" s="1">
        <v>923892</v>
      </c>
    </row>
    <row r="309" spans="1:12" ht="21" hidden="1" customHeight="1" x14ac:dyDescent="0.2">
      <c r="A309" s="1" t="s">
        <v>11</v>
      </c>
      <c r="B309" s="1" t="s">
        <v>364</v>
      </c>
      <c r="C309" s="1" t="s">
        <v>365</v>
      </c>
      <c r="D309" s="1" t="s">
        <v>366</v>
      </c>
      <c r="E309" s="1" t="s">
        <v>10</v>
      </c>
      <c r="F309" s="1" t="s">
        <v>367</v>
      </c>
      <c r="G309" s="1" t="s">
        <v>31</v>
      </c>
      <c r="I309" s="1">
        <f t="shared" si="3"/>
        <v>0</v>
      </c>
      <c r="J309" s="1">
        <f t="shared" si="4"/>
        <v>0</v>
      </c>
      <c r="K309" s="1">
        <f t="shared" si="5"/>
        <v>1</v>
      </c>
      <c r="L309" s="1">
        <v>924912</v>
      </c>
    </row>
    <row r="310" spans="1:12" ht="21" customHeight="1" x14ac:dyDescent="0.2">
      <c r="A310" s="1" t="s">
        <v>666</v>
      </c>
      <c r="B310" s="1" t="s">
        <v>1044</v>
      </c>
      <c r="C310" s="1" t="s">
        <v>1045</v>
      </c>
      <c r="D310" s="1" t="s">
        <v>1046</v>
      </c>
      <c r="E310" s="1" t="s">
        <v>8</v>
      </c>
      <c r="F310" s="1" t="s">
        <v>1047</v>
      </c>
      <c r="G310" s="1" t="s">
        <v>191</v>
      </c>
      <c r="I310" s="1">
        <f t="shared" si="3"/>
        <v>1</v>
      </c>
      <c r="J310" s="1">
        <f t="shared" si="4"/>
        <v>0</v>
      </c>
      <c r="K310" s="1">
        <f t="shared" si="5"/>
        <v>0</v>
      </c>
      <c r="L310" s="1">
        <v>925434</v>
      </c>
    </row>
    <row r="311" spans="1:12" ht="21" customHeight="1" x14ac:dyDescent="0.2">
      <c r="A311" s="1" t="s">
        <v>666</v>
      </c>
      <c r="B311" s="1" t="s">
        <v>699</v>
      </c>
      <c r="C311" s="1" t="s">
        <v>700</v>
      </c>
      <c r="D311" s="1" t="s">
        <v>701</v>
      </c>
      <c r="E311" s="1" t="s">
        <v>8</v>
      </c>
      <c r="F311" s="1" t="s">
        <v>702</v>
      </c>
      <c r="G311" s="1" t="s">
        <v>26</v>
      </c>
      <c r="I311" s="1">
        <f t="shared" si="3"/>
        <v>1</v>
      </c>
      <c r="J311" s="1">
        <f t="shared" si="4"/>
        <v>0</v>
      </c>
      <c r="K311" s="1">
        <f t="shared" si="5"/>
        <v>0</v>
      </c>
      <c r="L311" s="1">
        <v>928304</v>
      </c>
    </row>
    <row r="312" spans="1:12" ht="21" customHeight="1" x14ac:dyDescent="0.2">
      <c r="A312" s="1" t="s">
        <v>666</v>
      </c>
      <c r="B312" s="1" t="s">
        <v>1073</v>
      </c>
      <c r="C312" s="1" t="s">
        <v>1074</v>
      </c>
      <c r="D312" s="1" t="s">
        <v>1075</v>
      </c>
      <c r="E312" s="1" t="s">
        <v>8</v>
      </c>
      <c r="F312" s="1" t="s">
        <v>1076</v>
      </c>
      <c r="G312" s="1" t="s">
        <v>1077</v>
      </c>
      <c r="I312" s="1">
        <f t="shared" si="3"/>
        <v>1</v>
      </c>
      <c r="J312" s="1">
        <f t="shared" si="4"/>
        <v>0</v>
      </c>
      <c r="K312" s="1">
        <f t="shared" si="5"/>
        <v>0</v>
      </c>
      <c r="L312" s="1">
        <v>929242</v>
      </c>
    </row>
    <row r="313" spans="1:12" ht="21" hidden="1" customHeight="1" x14ac:dyDescent="0.2">
      <c r="A313" s="1" t="s">
        <v>11</v>
      </c>
      <c r="B313" s="1" t="s">
        <v>155</v>
      </c>
      <c r="C313" s="1" t="s">
        <v>156</v>
      </c>
      <c r="D313" s="1" t="s">
        <v>157</v>
      </c>
      <c r="E313" s="1" t="s">
        <v>10</v>
      </c>
      <c r="F313" s="1" t="s">
        <v>158</v>
      </c>
      <c r="G313" s="1" t="s">
        <v>31</v>
      </c>
      <c r="I313" s="1">
        <f t="shared" si="3"/>
        <v>0</v>
      </c>
      <c r="J313" s="1">
        <f t="shared" si="4"/>
        <v>0</v>
      </c>
      <c r="K313" s="1">
        <f t="shared" si="5"/>
        <v>1</v>
      </c>
      <c r="L313" s="1">
        <v>931816</v>
      </c>
    </row>
    <row r="314" spans="1:12" ht="21" customHeight="1" x14ac:dyDescent="0.2">
      <c r="A314" s="1" t="s">
        <v>666</v>
      </c>
      <c r="B314" s="1" t="s">
        <v>883</v>
      </c>
      <c r="C314" s="1" t="s">
        <v>884</v>
      </c>
      <c r="D314" s="1" t="s">
        <v>885</v>
      </c>
      <c r="E314" s="1" t="s">
        <v>8</v>
      </c>
      <c r="F314" s="1" t="s">
        <v>886</v>
      </c>
      <c r="G314" s="1" t="s">
        <v>887</v>
      </c>
      <c r="I314" s="1">
        <f t="shared" si="3"/>
        <v>1</v>
      </c>
      <c r="J314" s="1">
        <f t="shared" si="4"/>
        <v>0</v>
      </c>
      <c r="K314" s="1">
        <f t="shared" si="5"/>
        <v>0</v>
      </c>
      <c r="L314" s="1">
        <v>936558</v>
      </c>
    </row>
    <row r="315" spans="1:12" ht="21" customHeight="1" x14ac:dyDescent="0.2">
      <c r="A315" s="1" t="s">
        <v>1178</v>
      </c>
      <c r="B315" s="1" t="s">
        <v>1336</v>
      </c>
      <c r="C315" s="1" t="s">
        <v>1337</v>
      </c>
      <c r="D315" s="1" t="s">
        <v>1338</v>
      </c>
      <c r="E315" s="1" t="s">
        <v>8</v>
      </c>
      <c r="F315" s="1" t="s">
        <v>1339</v>
      </c>
      <c r="G315" s="1" t="s">
        <v>26</v>
      </c>
      <c r="I315" s="1">
        <f t="shared" si="3"/>
        <v>1</v>
      </c>
      <c r="J315" s="1">
        <f t="shared" si="4"/>
        <v>0</v>
      </c>
      <c r="K315" s="1">
        <f t="shared" si="5"/>
        <v>0</v>
      </c>
      <c r="L315" s="1">
        <v>937395</v>
      </c>
    </row>
    <row r="316" spans="1:12" ht="21" customHeight="1" x14ac:dyDescent="0.2">
      <c r="A316" s="1" t="s">
        <v>11</v>
      </c>
      <c r="B316" s="1" t="s">
        <v>37</v>
      </c>
      <c r="C316" s="1" t="s">
        <v>38</v>
      </c>
      <c r="D316" s="1" t="s">
        <v>39</v>
      </c>
      <c r="E316" s="1" t="s">
        <v>8</v>
      </c>
      <c r="F316" s="1" t="s">
        <v>40</v>
      </c>
      <c r="G316" s="1" t="s">
        <v>41</v>
      </c>
      <c r="I316" s="1">
        <f t="shared" si="3"/>
        <v>1</v>
      </c>
      <c r="J316" s="1">
        <f t="shared" si="4"/>
        <v>0</v>
      </c>
      <c r="K316" s="1">
        <f t="shared" si="5"/>
        <v>0</v>
      </c>
      <c r="L316" s="1">
        <v>939304</v>
      </c>
    </row>
    <row r="317" spans="1:12" ht="21" customHeight="1" x14ac:dyDescent="0.2">
      <c r="A317" s="1" t="s">
        <v>11</v>
      </c>
      <c r="B317" s="1" t="s">
        <v>368</v>
      </c>
      <c r="C317" s="1" t="s">
        <v>369</v>
      </c>
      <c r="D317" s="1" t="s">
        <v>370</v>
      </c>
      <c r="E317" s="1" t="s">
        <v>8</v>
      </c>
      <c r="F317" s="1" t="s">
        <v>371</v>
      </c>
      <c r="G317" s="1" t="s">
        <v>372</v>
      </c>
      <c r="I317" s="1">
        <f t="shared" si="3"/>
        <v>1</v>
      </c>
      <c r="J317" s="1">
        <f t="shared" si="4"/>
        <v>0</v>
      </c>
      <c r="K317" s="1">
        <f t="shared" si="5"/>
        <v>0</v>
      </c>
      <c r="L317" s="1">
        <v>940283</v>
      </c>
    </row>
    <row r="318" spans="1:12" ht="21" hidden="1" customHeight="1" x14ac:dyDescent="0.2">
      <c r="A318" s="1" t="s">
        <v>666</v>
      </c>
      <c r="B318" s="1" t="s">
        <v>1048</v>
      </c>
      <c r="C318" s="1" t="s">
        <v>1049</v>
      </c>
      <c r="D318" s="1" t="s">
        <v>1050</v>
      </c>
      <c r="E318" s="1" t="s">
        <v>9</v>
      </c>
      <c r="F318" s="1" t="s">
        <v>1051</v>
      </c>
      <c r="G318" s="1" t="s">
        <v>126</v>
      </c>
      <c r="I318" s="1">
        <f t="shared" si="3"/>
        <v>0</v>
      </c>
      <c r="J318" s="1">
        <f t="shared" si="4"/>
        <v>1</v>
      </c>
      <c r="K318" s="1">
        <f t="shared" si="5"/>
        <v>0</v>
      </c>
      <c r="L318" s="1">
        <v>944265</v>
      </c>
    </row>
    <row r="319" spans="1:12" ht="21" hidden="1" customHeight="1" x14ac:dyDescent="0.2">
      <c r="A319" s="1" t="s">
        <v>1178</v>
      </c>
      <c r="B319" s="1" t="s">
        <v>1187</v>
      </c>
      <c r="C319" s="1" t="s">
        <v>1188</v>
      </c>
      <c r="D319" s="1" t="s">
        <v>1189</v>
      </c>
      <c r="E319" s="1" t="s">
        <v>10</v>
      </c>
      <c r="F319" s="1" t="s">
        <v>1190</v>
      </c>
      <c r="G319" s="1" t="s">
        <v>597</v>
      </c>
      <c r="I319" s="1">
        <f t="shared" si="3"/>
        <v>0</v>
      </c>
      <c r="J319" s="1">
        <f t="shared" si="4"/>
        <v>0</v>
      </c>
      <c r="K319" s="1">
        <f t="shared" si="5"/>
        <v>1</v>
      </c>
      <c r="L319" s="1">
        <v>948529</v>
      </c>
    </row>
    <row r="320" spans="1:12" ht="21" customHeight="1" x14ac:dyDescent="0.2">
      <c r="A320" s="1" t="s">
        <v>666</v>
      </c>
      <c r="B320" s="1" t="s">
        <v>752</v>
      </c>
      <c r="C320" s="1" t="s">
        <v>753</v>
      </c>
      <c r="D320" s="1" t="s">
        <v>754</v>
      </c>
      <c r="E320" s="1" t="s">
        <v>8</v>
      </c>
      <c r="F320" s="1" t="s">
        <v>755</v>
      </c>
      <c r="G320" s="1" t="s">
        <v>756</v>
      </c>
      <c r="I320" s="1">
        <f t="shared" si="3"/>
        <v>1</v>
      </c>
      <c r="J320" s="1">
        <f t="shared" si="4"/>
        <v>0</v>
      </c>
      <c r="K320" s="1">
        <f t="shared" si="5"/>
        <v>0</v>
      </c>
      <c r="L320" s="1">
        <v>950418</v>
      </c>
    </row>
    <row r="321" spans="1:12" ht="21" customHeight="1" x14ac:dyDescent="0.2">
      <c r="A321" s="1" t="s">
        <v>11</v>
      </c>
      <c r="B321" s="1" t="s">
        <v>22</v>
      </c>
      <c r="C321" s="1" t="s">
        <v>23</v>
      </c>
      <c r="D321" s="1" t="s">
        <v>24</v>
      </c>
      <c r="E321" s="1" t="s">
        <v>8</v>
      </c>
      <c r="F321" s="1" t="s">
        <v>25</v>
      </c>
      <c r="G321" s="1" t="s">
        <v>26</v>
      </c>
      <c r="I321" s="1">
        <f t="shared" si="3"/>
        <v>1</v>
      </c>
      <c r="J321" s="1">
        <f t="shared" si="4"/>
        <v>0</v>
      </c>
      <c r="K321" s="1">
        <f t="shared" si="5"/>
        <v>0</v>
      </c>
      <c r="L321" s="1">
        <v>958046</v>
      </c>
    </row>
    <row r="322" spans="1:12" ht="21" hidden="1" customHeight="1" x14ac:dyDescent="0.2">
      <c r="A322" s="1" t="s">
        <v>1178</v>
      </c>
      <c r="B322" s="1" t="s">
        <v>1291</v>
      </c>
      <c r="C322" s="1" t="s">
        <v>1292</v>
      </c>
      <c r="D322" s="1" t="s">
        <v>1293</v>
      </c>
      <c r="E322" s="1" t="s">
        <v>9</v>
      </c>
      <c r="F322" s="1" t="s">
        <v>1294</v>
      </c>
      <c r="G322" s="1" t="s">
        <v>126</v>
      </c>
      <c r="I322" s="1">
        <f t="shared" si="3"/>
        <v>0</v>
      </c>
      <c r="J322" s="1">
        <f t="shared" si="4"/>
        <v>1</v>
      </c>
      <c r="K322" s="1">
        <f t="shared" si="5"/>
        <v>0</v>
      </c>
      <c r="L322" s="1">
        <v>962945</v>
      </c>
    </row>
    <row r="323" spans="1:12" ht="21" customHeight="1" x14ac:dyDescent="0.2">
      <c r="A323" s="1" t="s">
        <v>11</v>
      </c>
      <c r="B323" s="1" t="s">
        <v>114</v>
      </c>
      <c r="C323" s="1" t="s">
        <v>115</v>
      </c>
      <c r="D323" s="1" t="s">
        <v>116</v>
      </c>
      <c r="E323" s="1" t="s">
        <v>8</v>
      </c>
      <c r="F323" s="1" t="s">
        <v>117</v>
      </c>
      <c r="G323" s="1" t="s">
        <v>80</v>
      </c>
      <c r="I323" s="1">
        <f t="shared" si="3"/>
        <v>1</v>
      </c>
      <c r="J323" s="1">
        <f t="shared" si="4"/>
        <v>0</v>
      </c>
      <c r="K323" s="1">
        <f t="shared" si="5"/>
        <v>0</v>
      </c>
      <c r="L323" s="1">
        <v>967962</v>
      </c>
    </row>
    <row r="324" spans="1:12" ht="21" customHeight="1" x14ac:dyDescent="0.2">
      <c r="A324" s="1" t="s">
        <v>666</v>
      </c>
      <c r="B324" s="1" t="s">
        <v>1056</v>
      </c>
      <c r="C324" s="1" t="s">
        <v>1057</v>
      </c>
      <c r="D324" s="1" t="s">
        <v>1058</v>
      </c>
      <c r="E324" s="1" t="s">
        <v>8</v>
      </c>
      <c r="F324" s="1" t="s">
        <v>1059</v>
      </c>
      <c r="G324" s="1" t="s">
        <v>1060</v>
      </c>
      <c r="I324" s="1">
        <f t="shared" si="3"/>
        <v>1</v>
      </c>
      <c r="J324" s="1">
        <f t="shared" si="4"/>
        <v>0</v>
      </c>
      <c r="K324" s="1">
        <f t="shared" si="5"/>
        <v>0</v>
      </c>
      <c r="L324" s="1">
        <v>968771</v>
      </c>
    </row>
    <row r="325" spans="1:12" ht="21" hidden="1" customHeight="1" x14ac:dyDescent="0.2">
      <c r="A325" s="1" t="s">
        <v>1178</v>
      </c>
      <c r="B325" s="1" t="s">
        <v>1320</v>
      </c>
      <c r="C325" s="1" t="s">
        <v>1321</v>
      </c>
      <c r="D325" s="1" t="s">
        <v>1322</v>
      </c>
      <c r="E325" s="1" t="s">
        <v>9</v>
      </c>
      <c r="F325" s="1" t="s">
        <v>1323</v>
      </c>
      <c r="G325" s="1" t="s">
        <v>21</v>
      </c>
      <c r="I325" s="1">
        <f t="shared" si="3"/>
        <v>0</v>
      </c>
      <c r="J325" s="1">
        <f t="shared" si="4"/>
        <v>1</v>
      </c>
      <c r="K325" s="1">
        <f t="shared" si="5"/>
        <v>0</v>
      </c>
      <c r="L325" s="1">
        <v>968926</v>
      </c>
    </row>
    <row r="326" spans="1:12" ht="21" customHeight="1" x14ac:dyDescent="0.2">
      <c r="A326" s="1" t="s">
        <v>11</v>
      </c>
      <c r="B326" s="1" t="s">
        <v>223</v>
      </c>
      <c r="C326" s="1" t="s">
        <v>224</v>
      </c>
      <c r="D326" s="1" t="s">
        <v>225</v>
      </c>
      <c r="E326" s="1" t="s">
        <v>8</v>
      </c>
      <c r="F326" s="1" t="s">
        <v>226</v>
      </c>
      <c r="G326" s="1" t="s">
        <v>227</v>
      </c>
      <c r="I326" s="1">
        <f t="shared" si="3"/>
        <v>1</v>
      </c>
      <c r="J326" s="1">
        <f t="shared" si="4"/>
        <v>0</v>
      </c>
      <c r="K326" s="1">
        <f t="shared" si="5"/>
        <v>0</v>
      </c>
      <c r="L326" s="1">
        <v>973189</v>
      </c>
    </row>
    <row r="327" spans="1:12" ht="21" customHeight="1" x14ac:dyDescent="0.2">
      <c r="A327" s="1" t="s">
        <v>415</v>
      </c>
      <c r="B327" s="1" t="s">
        <v>636</v>
      </c>
      <c r="C327" s="1" t="s">
        <v>637</v>
      </c>
      <c r="D327" s="1" t="s">
        <v>638</v>
      </c>
      <c r="E327" s="1" t="s">
        <v>8</v>
      </c>
      <c r="F327" s="1" t="s">
        <v>639</v>
      </c>
      <c r="G327" s="1" t="s">
        <v>85</v>
      </c>
      <c r="I327" s="1">
        <f t="shared" si="3"/>
        <v>1</v>
      </c>
      <c r="J327" s="1">
        <f t="shared" si="4"/>
        <v>0</v>
      </c>
      <c r="K327" s="1">
        <f t="shared" si="5"/>
        <v>0</v>
      </c>
      <c r="L327" s="1">
        <v>974058</v>
      </c>
    </row>
    <row r="328" spans="1:12" ht="21" hidden="1" customHeight="1" x14ac:dyDescent="0.2">
      <c r="A328" s="1" t="s">
        <v>11</v>
      </c>
      <c r="B328" s="1" t="s">
        <v>95</v>
      </c>
      <c r="C328" s="1" t="s">
        <v>96</v>
      </c>
      <c r="D328" s="1" t="s">
        <v>97</v>
      </c>
      <c r="E328" s="1" t="s">
        <v>10</v>
      </c>
      <c r="F328" s="1" t="s">
        <v>98</v>
      </c>
      <c r="G328" s="1" t="s">
        <v>31</v>
      </c>
      <c r="I328" s="1">
        <f t="shared" si="3"/>
        <v>0</v>
      </c>
      <c r="J328" s="1">
        <f t="shared" si="4"/>
        <v>0</v>
      </c>
      <c r="K328" s="1">
        <f t="shared" si="5"/>
        <v>1</v>
      </c>
      <c r="L328" s="1">
        <v>976493</v>
      </c>
    </row>
    <row r="329" spans="1:12" ht="21" customHeight="1" x14ac:dyDescent="0.2">
      <c r="A329" s="1" t="s">
        <v>11</v>
      </c>
      <c r="B329" s="1" t="s">
        <v>397</v>
      </c>
      <c r="C329" s="1" t="s">
        <v>398</v>
      </c>
      <c r="D329" s="1" t="s">
        <v>399</v>
      </c>
      <c r="E329" s="1" t="s">
        <v>8</v>
      </c>
      <c r="F329" s="1" t="s">
        <v>400</v>
      </c>
      <c r="G329" s="1" t="s">
        <v>401</v>
      </c>
      <c r="I329" s="1">
        <f t="shared" si="3"/>
        <v>1</v>
      </c>
      <c r="J329" s="1">
        <f t="shared" si="4"/>
        <v>0</v>
      </c>
      <c r="K329" s="1">
        <f t="shared" si="5"/>
        <v>0</v>
      </c>
      <c r="L329" s="1">
        <v>977798</v>
      </c>
    </row>
    <row r="330" spans="1:12" ht="21" hidden="1" customHeight="1" x14ac:dyDescent="0.2">
      <c r="A330" s="1" t="s">
        <v>666</v>
      </c>
      <c r="B330" s="1" t="s">
        <v>1095</v>
      </c>
      <c r="C330" s="1" t="s">
        <v>1096</v>
      </c>
      <c r="D330" s="1" t="s">
        <v>1097</v>
      </c>
      <c r="E330" s="1" t="s">
        <v>10</v>
      </c>
      <c r="F330" s="1" t="s">
        <v>1098</v>
      </c>
      <c r="G330" s="1" t="s">
        <v>31</v>
      </c>
      <c r="I330" s="1">
        <f t="shared" si="3"/>
        <v>0</v>
      </c>
      <c r="J330" s="1">
        <f t="shared" si="4"/>
        <v>0</v>
      </c>
      <c r="K330" s="1">
        <f t="shared" si="5"/>
        <v>1</v>
      </c>
      <c r="L330" s="1">
        <v>980401</v>
      </c>
    </row>
    <row r="331" spans="1:12" ht="21" hidden="1" customHeight="1" x14ac:dyDescent="0.2">
      <c r="A331" s="1" t="s">
        <v>1178</v>
      </c>
      <c r="B331" s="1" t="s">
        <v>1237</v>
      </c>
      <c r="C331" s="1" t="s">
        <v>1238</v>
      </c>
      <c r="D331" s="1" t="s">
        <v>1239</v>
      </c>
      <c r="E331" s="1" t="s">
        <v>10</v>
      </c>
      <c r="F331" s="1" t="s">
        <v>1240</v>
      </c>
      <c r="G331" s="1" t="s">
        <v>31</v>
      </c>
      <c r="I331" s="1">
        <f t="shared" si="3"/>
        <v>0</v>
      </c>
      <c r="J331" s="1">
        <f t="shared" si="4"/>
        <v>0</v>
      </c>
      <c r="K331" s="1">
        <f t="shared" si="5"/>
        <v>1</v>
      </c>
      <c r="L331" s="1">
        <v>981414</v>
      </c>
    </row>
    <row r="332" spans="1:12" ht="21" hidden="1" customHeight="1" x14ac:dyDescent="0.2">
      <c r="A332" s="1" t="s">
        <v>1178</v>
      </c>
      <c r="B332" s="1" t="s">
        <v>1183</v>
      </c>
      <c r="C332" s="1" t="s">
        <v>1184</v>
      </c>
      <c r="D332" s="1" t="s">
        <v>1185</v>
      </c>
      <c r="E332" s="1" t="s">
        <v>10</v>
      </c>
      <c r="F332" s="1" t="s">
        <v>1186</v>
      </c>
      <c r="G332" s="1" t="s">
        <v>31</v>
      </c>
      <c r="I332" s="1">
        <f t="shared" si="3"/>
        <v>0</v>
      </c>
      <c r="J332" s="1">
        <f t="shared" si="4"/>
        <v>0</v>
      </c>
      <c r="K332" s="1">
        <f t="shared" si="5"/>
        <v>1</v>
      </c>
      <c r="L332" s="1">
        <v>986017</v>
      </c>
    </row>
    <row r="333" spans="1:12" ht="21" customHeight="1" x14ac:dyDescent="0.2">
      <c r="A333" s="1" t="s">
        <v>666</v>
      </c>
      <c r="B333" s="1" t="s">
        <v>803</v>
      </c>
      <c r="C333" s="1" t="s">
        <v>804</v>
      </c>
      <c r="D333" s="1" t="s">
        <v>805</v>
      </c>
      <c r="E333" s="1" t="s">
        <v>8</v>
      </c>
      <c r="F333" s="1" t="s">
        <v>806</v>
      </c>
      <c r="G333" s="1" t="s">
        <v>807</v>
      </c>
      <c r="I333" s="1">
        <f t="shared" si="3"/>
        <v>1</v>
      </c>
      <c r="J333" s="1">
        <f t="shared" si="4"/>
        <v>0</v>
      </c>
      <c r="K333" s="1">
        <f t="shared" si="5"/>
        <v>0</v>
      </c>
      <c r="L333" s="1">
        <v>988870</v>
      </c>
    </row>
    <row r="334" spans="1:12" ht="21" hidden="1" customHeight="1" x14ac:dyDescent="0.2">
      <c r="I334" s="1">
        <f t="shared" ref="I334:K334" si="6">SUM(I2:I333)</f>
        <v>187</v>
      </c>
      <c r="J334" s="1">
        <f t="shared" si="6"/>
        <v>41</v>
      </c>
      <c r="K334" s="1">
        <f t="shared" si="6"/>
        <v>104</v>
      </c>
    </row>
    <row r="335" spans="1:12" ht="21" customHeight="1" x14ac:dyDescent="0.2"/>
    <row r="336" spans="1:12" ht="21" customHeight="1" x14ac:dyDescent="0.2"/>
    <row r="337" ht="21" customHeight="1" x14ac:dyDescent="0.2"/>
    <row r="338" ht="21" customHeight="1" x14ac:dyDescent="0.2"/>
    <row r="339" ht="21" customHeight="1" x14ac:dyDescent="0.2"/>
    <row r="340" ht="21" customHeight="1" x14ac:dyDescent="0.2"/>
    <row r="341" ht="21" customHeight="1" x14ac:dyDescent="0.2"/>
    <row r="342" ht="21" customHeight="1" x14ac:dyDescent="0.2"/>
    <row r="343" ht="21" customHeight="1" x14ac:dyDescent="0.2"/>
    <row r="344" ht="21" customHeight="1" x14ac:dyDescent="0.2"/>
    <row r="345" ht="21" customHeight="1" x14ac:dyDescent="0.2"/>
    <row r="346" ht="21" customHeight="1" x14ac:dyDescent="0.2"/>
    <row r="347" ht="21" customHeight="1" x14ac:dyDescent="0.2"/>
    <row r="348" ht="21" customHeight="1" x14ac:dyDescent="0.2"/>
    <row r="349" ht="21" customHeight="1" x14ac:dyDescent="0.2"/>
    <row r="350" ht="21" customHeight="1" x14ac:dyDescent="0.2"/>
    <row r="351" ht="21" customHeight="1" x14ac:dyDescent="0.2"/>
    <row r="352" ht="21" customHeight="1" x14ac:dyDescent="0.2"/>
    <row r="353" ht="21" customHeight="1" x14ac:dyDescent="0.2"/>
    <row r="354" ht="21" customHeight="1" x14ac:dyDescent="0.2"/>
    <row r="355" ht="21" customHeight="1" x14ac:dyDescent="0.2"/>
    <row r="356" ht="21" customHeight="1" x14ac:dyDescent="0.2"/>
    <row r="357" ht="21" customHeight="1" x14ac:dyDescent="0.2"/>
    <row r="358" ht="21" customHeight="1" x14ac:dyDescent="0.2"/>
    <row r="359" ht="21" customHeight="1" x14ac:dyDescent="0.2"/>
    <row r="360" ht="21" customHeight="1" x14ac:dyDescent="0.2"/>
    <row r="361" ht="21" customHeight="1" x14ac:dyDescent="0.2"/>
    <row r="362" ht="21" customHeight="1" x14ac:dyDescent="0.2"/>
    <row r="363" ht="21" customHeight="1" x14ac:dyDescent="0.2"/>
    <row r="364" ht="21" customHeight="1" x14ac:dyDescent="0.2"/>
    <row r="365" ht="21" customHeight="1" x14ac:dyDescent="0.2"/>
    <row r="366" ht="21" customHeight="1" x14ac:dyDescent="0.2"/>
    <row r="367" ht="21" customHeight="1" x14ac:dyDescent="0.2"/>
    <row r="368" ht="21" customHeight="1" x14ac:dyDescent="0.2"/>
    <row r="369" ht="21" customHeight="1" x14ac:dyDescent="0.2"/>
    <row r="370" ht="21" customHeight="1" x14ac:dyDescent="0.2"/>
    <row r="371" ht="21" customHeight="1" x14ac:dyDescent="0.2"/>
    <row r="372" ht="21" customHeight="1" x14ac:dyDescent="0.2"/>
    <row r="373" ht="21" customHeight="1" x14ac:dyDescent="0.2"/>
    <row r="374" ht="21" customHeight="1" x14ac:dyDescent="0.2"/>
    <row r="375" ht="21" customHeight="1" x14ac:dyDescent="0.2"/>
    <row r="376" ht="21" customHeight="1" x14ac:dyDescent="0.2"/>
    <row r="377" ht="21" customHeight="1" x14ac:dyDescent="0.2"/>
    <row r="378" ht="21" customHeight="1" x14ac:dyDescent="0.2"/>
    <row r="379" ht="21" customHeight="1" x14ac:dyDescent="0.2"/>
    <row r="380" ht="21" customHeight="1" x14ac:dyDescent="0.2"/>
    <row r="381" ht="21" customHeight="1" x14ac:dyDescent="0.2"/>
    <row r="382" ht="21" customHeight="1" x14ac:dyDescent="0.2"/>
    <row r="383" ht="21" customHeight="1" x14ac:dyDescent="0.2"/>
    <row r="384" ht="21" customHeight="1" x14ac:dyDescent="0.2"/>
    <row r="385" ht="21" customHeight="1" x14ac:dyDescent="0.2"/>
    <row r="386" ht="21" customHeight="1" x14ac:dyDescent="0.2"/>
    <row r="387" ht="21" customHeight="1" x14ac:dyDescent="0.2"/>
    <row r="388" ht="21" customHeight="1" x14ac:dyDescent="0.2"/>
    <row r="389" ht="21" customHeight="1" x14ac:dyDescent="0.2"/>
    <row r="390" ht="21" customHeight="1" x14ac:dyDescent="0.2"/>
    <row r="391" ht="21" customHeight="1" x14ac:dyDescent="0.2"/>
    <row r="392" ht="21" customHeight="1" x14ac:dyDescent="0.2"/>
    <row r="393" ht="21" customHeight="1" x14ac:dyDescent="0.2"/>
    <row r="394" ht="21" customHeight="1" x14ac:dyDescent="0.2"/>
    <row r="395" ht="21" customHeight="1" x14ac:dyDescent="0.2"/>
    <row r="396" ht="21" customHeight="1" x14ac:dyDescent="0.2"/>
    <row r="397" ht="21" customHeight="1" x14ac:dyDescent="0.2"/>
    <row r="398" ht="21" customHeight="1" x14ac:dyDescent="0.2"/>
    <row r="399" ht="21" customHeight="1" x14ac:dyDescent="0.2"/>
    <row r="400" ht="21" customHeight="1" x14ac:dyDescent="0.2"/>
    <row r="401" ht="21" customHeight="1" x14ac:dyDescent="0.2"/>
    <row r="402" ht="21" customHeight="1" x14ac:dyDescent="0.2"/>
    <row r="403" ht="21" customHeight="1" x14ac:dyDescent="0.2"/>
    <row r="404" ht="21" customHeight="1" x14ac:dyDescent="0.2"/>
    <row r="405" ht="21" customHeight="1" x14ac:dyDescent="0.2"/>
    <row r="406" ht="21" customHeight="1" x14ac:dyDescent="0.2"/>
    <row r="407" ht="21" customHeight="1" x14ac:dyDescent="0.2"/>
    <row r="408" ht="21" customHeight="1" x14ac:dyDescent="0.2"/>
    <row r="409" ht="21" customHeight="1" x14ac:dyDescent="0.2"/>
    <row r="410" ht="21" customHeight="1" x14ac:dyDescent="0.2"/>
    <row r="411" ht="21" customHeight="1" x14ac:dyDescent="0.2"/>
    <row r="412" ht="21" customHeight="1" x14ac:dyDescent="0.2"/>
    <row r="413" ht="21" customHeight="1" x14ac:dyDescent="0.2"/>
    <row r="414" ht="21" customHeight="1" x14ac:dyDescent="0.2"/>
    <row r="415" ht="21" customHeight="1" x14ac:dyDescent="0.2"/>
    <row r="416" ht="21" customHeight="1" x14ac:dyDescent="0.2"/>
    <row r="417" ht="21" customHeight="1" x14ac:dyDescent="0.2"/>
    <row r="418" ht="21" customHeight="1" x14ac:dyDescent="0.2"/>
    <row r="419" ht="21" customHeight="1" x14ac:dyDescent="0.2"/>
    <row r="420" ht="21" customHeight="1" x14ac:dyDescent="0.2"/>
    <row r="421" ht="21" customHeight="1" x14ac:dyDescent="0.2"/>
    <row r="422" ht="21" customHeight="1" x14ac:dyDescent="0.2"/>
    <row r="423" ht="21" customHeight="1" x14ac:dyDescent="0.2"/>
    <row r="424" ht="21" customHeight="1" x14ac:dyDescent="0.2"/>
    <row r="425" ht="21" customHeight="1" x14ac:dyDescent="0.2"/>
    <row r="426" ht="21" customHeight="1" x14ac:dyDescent="0.2"/>
    <row r="427" ht="21" customHeight="1" x14ac:dyDescent="0.2"/>
    <row r="428" ht="21" customHeight="1" x14ac:dyDescent="0.2"/>
    <row r="429" ht="21" customHeight="1" x14ac:dyDescent="0.2"/>
    <row r="430" ht="21" customHeight="1" x14ac:dyDescent="0.2"/>
    <row r="431" ht="21" customHeight="1" x14ac:dyDescent="0.2"/>
    <row r="432" ht="21" customHeight="1" x14ac:dyDescent="0.2"/>
    <row r="433" ht="21" customHeight="1" x14ac:dyDescent="0.2"/>
    <row r="434" ht="21" customHeight="1" x14ac:dyDescent="0.2"/>
    <row r="435" ht="21" customHeight="1" x14ac:dyDescent="0.2"/>
    <row r="436" ht="21" customHeight="1" x14ac:dyDescent="0.2"/>
    <row r="437" ht="21" customHeight="1" x14ac:dyDescent="0.2"/>
    <row r="438" ht="21" customHeight="1" x14ac:dyDescent="0.2"/>
    <row r="439" ht="21" customHeight="1" x14ac:dyDescent="0.2"/>
    <row r="440" ht="21" customHeight="1" x14ac:dyDescent="0.2"/>
    <row r="441" ht="21" customHeight="1" x14ac:dyDescent="0.2"/>
    <row r="442" ht="21" customHeight="1" x14ac:dyDescent="0.2"/>
    <row r="443" ht="21" customHeight="1" x14ac:dyDescent="0.2"/>
    <row r="444" ht="21" customHeight="1" x14ac:dyDescent="0.2"/>
    <row r="445" ht="21" customHeight="1" x14ac:dyDescent="0.2"/>
    <row r="446" ht="21" customHeight="1" x14ac:dyDescent="0.2"/>
    <row r="447" ht="21" customHeight="1" x14ac:dyDescent="0.2"/>
    <row r="448" ht="21" customHeight="1" x14ac:dyDescent="0.2"/>
    <row r="449" ht="21" customHeight="1" x14ac:dyDescent="0.2"/>
    <row r="450" ht="21" customHeight="1" x14ac:dyDescent="0.2"/>
    <row r="451" ht="21" customHeight="1" x14ac:dyDescent="0.2"/>
    <row r="452" ht="21" customHeight="1" x14ac:dyDescent="0.2"/>
    <row r="453" ht="21" customHeight="1" x14ac:dyDescent="0.2"/>
    <row r="454" ht="21" customHeight="1" x14ac:dyDescent="0.2"/>
    <row r="455" ht="21" customHeight="1" x14ac:dyDescent="0.2"/>
    <row r="456" ht="21" customHeight="1" x14ac:dyDescent="0.2"/>
    <row r="457" ht="21" customHeight="1" x14ac:dyDescent="0.2"/>
    <row r="458" ht="21" customHeight="1" x14ac:dyDescent="0.2"/>
    <row r="459" ht="21" customHeight="1" x14ac:dyDescent="0.2"/>
    <row r="460" ht="21" customHeight="1" x14ac:dyDescent="0.2"/>
    <row r="461" ht="21" customHeight="1" x14ac:dyDescent="0.2"/>
    <row r="462" ht="21" customHeight="1" x14ac:dyDescent="0.2"/>
    <row r="463" ht="21" customHeight="1" x14ac:dyDescent="0.2"/>
    <row r="464" ht="21" customHeight="1" x14ac:dyDescent="0.2"/>
    <row r="465" ht="21" customHeight="1" x14ac:dyDescent="0.2"/>
    <row r="466" ht="21" customHeight="1" x14ac:dyDescent="0.2"/>
    <row r="467" ht="21" customHeight="1" x14ac:dyDescent="0.2"/>
    <row r="468" ht="21" customHeight="1" x14ac:dyDescent="0.2"/>
    <row r="469" ht="21" customHeight="1" x14ac:dyDescent="0.2"/>
    <row r="470" ht="21" customHeight="1" x14ac:dyDescent="0.2"/>
    <row r="471" ht="21" customHeight="1" x14ac:dyDescent="0.2"/>
    <row r="472" ht="21" customHeight="1" x14ac:dyDescent="0.2"/>
    <row r="473" ht="21" customHeight="1" x14ac:dyDescent="0.2"/>
    <row r="474" ht="21" customHeight="1" x14ac:dyDescent="0.2"/>
    <row r="475" ht="21" customHeight="1" x14ac:dyDescent="0.2"/>
    <row r="476" ht="21" customHeight="1" x14ac:dyDescent="0.2"/>
    <row r="477" ht="21" customHeight="1" x14ac:dyDescent="0.2"/>
    <row r="478" ht="21" customHeight="1" x14ac:dyDescent="0.2"/>
    <row r="479" ht="21" customHeight="1" x14ac:dyDescent="0.2"/>
    <row r="480" ht="21" customHeight="1" x14ac:dyDescent="0.2"/>
    <row r="481" ht="21" customHeight="1" x14ac:dyDescent="0.2"/>
    <row r="482" ht="21" customHeight="1" x14ac:dyDescent="0.2"/>
    <row r="483" ht="21" customHeight="1" x14ac:dyDescent="0.2"/>
    <row r="484" ht="21" customHeight="1" x14ac:dyDescent="0.2"/>
    <row r="485" ht="21" customHeight="1" x14ac:dyDescent="0.2"/>
    <row r="486" ht="21" customHeight="1" x14ac:dyDescent="0.2"/>
    <row r="487" ht="21" customHeight="1" x14ac:dyDescent="0.2"/>
    <row r="488" ht="21" customHeight="1" x14ac:dyDescent="0.2"/>
    <row r="489" ht="21" customHeight="1" x14ac:dyDescent="0.2"/>
    <row r="490" ht="21" customHeight="1" x14ac:dyDescent="0.2"/>
    <row r="491" ht="21" customHeight="1" x14ac:dyDescent="0.2"/>
    <row r="492" ht="21" customHeight="1" x14ac:dyDescent="0.2"/>
    <row r="493" ht="21" customHeight="1" x14ac:dyDescent="0.2"/>
    <row r="494" ht="21" customHeight="1" x14ac:dyDescent="0.2"/>
    <row r="495" ht="21" customHeight="1" x14ac:dyDescent="0.2"/>
    <row r="496" ht="21" customHeight="1" x14ac:dyDescent="0.2"/>
    <row r="497" ht="21" customHeight="1" x14ac:dyDescent="0.2"/>
    <row r="498" ht="21" customHeight="1" x14ac:dyDescent="0.2"/>
    <row r="499" ht="21" customHeight="1" x14ac:dyDescent="0.2"/>
    <row r="500" ht="21" customHeight="1" x14ac:dyDescent="0.2"/>
    <row r="501" ht="21" customHeight="1" x14ac:dyDescent="0.2"/>
    <row r="502" ht="21" customHeight="1" x14ac:dyDescent="0.2"/>
    <row r="503" ht="21" customHeight="1" x14ac:dyDescent="0.2"/>
    <row r="504" ht="21" customHeight="1" x14ac:dyDescent="0.2"/>
    <row r="505" ht="21" customHeight="1" x14ac:dyDescent="0.2"/>
    <row r="506" ht="21" customHeight="1" x14ac:dyDescent="0.2"/>
    <row r="507" ht="21" customHeight="1" x14ac:dyDescent="0.2"/>
    <row r="508" ht="21" customHeight="1" x14ac:dyDescent="0.2"/>
    <row r="509" ht="21" customHeight="1" x14ac:dyDescent="0.2"/>
    <row r="510" ht="21" customHeight="1" x14ac:dyDescent="0.2"/>
    <row r="511" ht="21" customHeight="1" x14ac:dyDescent="0.2"/>
    <row r="512" ht="21" customHeight="1" x14ac:dyDescent="0.2"/>
    <row r="513" ht="21" customHeight="1" x14ac:dyDescent="0.2"/>
    <row r="514" ht="21" customHeight="1" x14ac:dyDescent="0.2"/>
    <row r="515" ht="21" customHeight="1" x14ac:dyDescent="0.2"/>
    <row r="516" ht="21" customHeight="1" x14ac:dyDescent="0.2"/>
    <row r="517" ht="21" customHeight="1" x14ac:dyDescent="0.2"/>
    <row r="518" ht="21" customHeight="1" x14ac:dyDescent="0.2"/>
    <row r="519" ht="21" customHeight="1" x14ac:dyDescent="0.2"/>
    <row r="520" ht="21" customHeight="1" x14ac:dyDescent="0.2"/>
    <row r="521" ht="21" customHeight="1" x14ac:dyDescent="0.2"/>
    <row r="522" ht="21" customHeight="1" x14ac:dyDescent="0.2"/>
    <row r="523" ht="21" customHeight="1" x14ac:dyDescent="0.2"/>
    <row r="524" ht="21" customHeight="1" x14ac:dyDescent="0.2"/>
    <row r="525" ht="21" customHeight="1" x14ac:dyDescent="0.2"/>
    <row r="526" ht="21" customHeight="1" x14ac:dyDescent="0.2"/>
    <row r="527" ht="21" customHeight="1" x14ac:dyDescent="0.2"/>
    <row r="528" ht="21" customHeight="1" x14ac:dyDescent="0.2"/>
    <row r="529" ht="21" customHeight="1" x14ac:dyDescent="0.2"/>
    <row r="530" ht="21" customHeight="1" x14ac:dyDescent="0.2"/>
    <row r="531" ht="21" customHeight="1" x14ac:dyDescent="0.2"/>
    <row r="532" ht="21" customHeight="1" x14ac:dyDescent="0.2"/>
    <row r="533" ht="21" customHeight="1" x14ac:dyDescent="0.2"/>
    <row r="534" ht="21" customHeight="1" x14ac:dyDescent="0.2"/>
    <row r="535" ht="21" customHeight="1" x14ac:dyDescent="0.2"/>
    <row r="536" ht="21" customHeight="1" x14ac:dyDescent="0.2"/>
    <row r="537" ht="21" customHeight="1" x14ac:dyDescent="0.2"/>
    <row r="538" ht="21" customHeight="1" x14ac:dyDescent="0.2"/>
    <row r="539" ht="21" customHeight="1" x14ac:dyDescent="0.2"/>
    <row r="540" ht="21" customHeight="1" x14ac:dyDescent="0.2"/>
    <row r="541" ht="21" customHeight="1" x14ac:dyDescent="0.2"/>
    <row r="542" ht="21" customHeight="1" x14ac:dyDescent="0.2"/>
    <row r="543" ht="21" customHeight="1" x14ac:dyDescent="0.2"/>
    <row r="544" ht="21" customHeight="1" x14ac:dyDescent="0.2"/>
    <row r="545" ht="21" customHeight="1" x14ac:dyDescent="0.2"/>
    <row r="546" ht="21" customHeight="1" x14ac:dyDescent="0.2"/>
    <row r="547" ht="21" customHeight="1" x14ac:dyDescent="0.2"/>
    <row r="548" ht="21" customHeight="1" x14ac:dyDescent="0.2"/>
    <row r="549" ht="21" customHeight="1" x14ac:dyDescent="0.2"/>
    <row r="550" ht="21" customHeight="1" x14ac:dyDescent="0.2"/>
    <row r="551" ht="21" customHeight="1" x14ac:dyDescent="0.2"/>
    <row r="552" ht="21" customHeight="1" x14ac:dyDescent="0.2"/>
    <row r="553" ht="21" customHeight="1" x14ac:dyDescent="0.2"/>
    <row r="554" ht="21" customHeight="1" x14ac:dyDescent="0.2"/>
    <row r="555" ht="21" customHeight="1" x14ac:dyDescent="0.2"/>
    <row r="556" ht="21" customHeight="1" x14ac:dyDescent="0.2"/>
    <row r="557" ht="21" customHeight="1" x14ac:dyDescent="0.2"/>
    <row r="558" ht="21" customHeight="1" x14ac:dyDescent="0.2"/>
    <row r="559" ht="21" customHeight="1" x14ac:dyDescent="0.2"/>
    <row r="560" ht="21" customHeight="1" x14ac:dyDescent="0.2"/>
    <row r="561" ht="21" customHeight="1" x14ac:dyDescent="0.2"/>
    <row r="562" ht="21" customHeight="1" x14ac:dyDescent="0.2"/>
    <row r="563" ht="21" customHeight="1" x14ac:dyDescent="0.2"/>
    <row r="564" ht="21" customHeight="1" x14ac:dyDescent="0.2"/>
    <row r="565" ht="21" customHeight="1" x14ac:dyDescent="0.2"/>
    <row r="566" ht="21" customHeight="1" x14ac:dyDescent="0.2"/>
    <row r="567" ht="21" customHeight="1" x14ac:dyDescent="0.2"/>
    <row r="568" ht="21" customHeight="1" x14ac:dyDescent="0.2"/>
    <row r="569" ht="21" customHeight="1" x14ac:dyDescent="0.2"/>
    <row r="570" ht="21" customHeight="1" x14ac:dyDescent="0.2"/>
    <row r="571" ht="21" customHeight="1" x14ac:dyDescent="0.2"/>
    <row r="572" ht="21" customHeight="1" x14ac:dyDescent="0.2"/>
    <row r="573" ht="21" customHeight="1" x14ac:dyDescent="0.2"/>
    <row r="574" ht="21" customHeight="1" x14ac:dyDescent="0.2"/>
    <row r="575" ht="21" customHeight="1" x14ac:dyDescent="0.2"/>
    <row r="576" ht="21" customHeight="1" x14ac:dyDescent="0.2"/>
    <row r="577" ht="21" customHeight="1" x14ac:dyDescent="0.2"/>
    <row r="578" ht="21" customHeight="1" x14ac:dyDescent="0.2"/>
    <row r="579" ht="21" customHeight="1" x14ac:dyDescent="0.2"/>
    <row r="580" ht="21" customHeight="1" x14ac:dyDescent="0.2"/>
    <row r="581" ht="21" customHeight="1" x14ac:dyDescent="0.2"/>
    <row r="582" ht="21" customHeight="1" x14ac:dyDescent="0.2"/>
    <row r="583" ht="21" customHeight="1" x14ac:dyDescent="0.2"/>
    <row r="584" ht="21" customHeight="1" x14ac:dyDescent="0.2"/>
    <row r="585" ht="21" customHeight="1" x14ac:dyDescent="0.2"/>
    <row r="586" ht="21" customHeight="1" x14ac:dyDescent="0.2"/>
    <row r="587" ht="21" customHeight="1" x14ac:dyDescent="0.2"/>
    <row r="588" ht="21" customHeight="1" x14ac:dyDescent="0.2"/>
    <row r="589" ht="21" customHeight="1" x14ac:dyDescent="0.2"/>
    <row r="590" ht="21" customHeight="1" x14ac:dyDescent="0.2"/>
    <row r="591" ht="21" customHeight="1" x14ac:dyDescent="0.2"/>
    <row r="592" ht="21" customHeight="1" x14ac:dyDescent="0.2"/>
    <row r="593" ht="21" customHeight="1" x14ac:dyDescent="0.2"/>
    <row r="594" ht="21" customHeight="1" x14ac:dyDescent="0.2"/>
    <row r="595" ht="21" customHeight="1" x14ac:dyDescent="0.2"/>
    <row r="596" ht="21" customHeight="1" x14ac:dyDescent="0.2"/>
    <row r="597" ht="21" customHeight="1" x14ac:dyDescent="0.2"/>
    <row r="598" ht="21" customHeight="1" x14ac:dyDescent="0.2"/>
    <row r="599" ht="21" customHeight="1" x14ac:dyDescent="0.2"/>
    <row r="600" ht="21" customHeight="1" x14ac:dyDescent="0.2"/>
    <row r="601" ht="21" customHeight="1" x14ac:dyDescent="0.2"/>
    <row r="602" ht="21" customHeight="1" x14ac:dyDescent="0.2"/>
    <row r="603" ht="21" customHeight="1" x14ac:dyDescent="0.2"/>
    <row r="604" ht="21" customHeight="1" x14ac:dyDescent="0.2"/>
    <row r="605" ht="21" customHeight="1" x14ac:dyDescent="0.2"/>
    <row r="606" ht="21" customHeight="1" x14ac:dyDescent="0.2"/>
    <row r="607" ht="21" customHeight="1" x14ac:dyDescent="0.2"/>
    <row r="608" ht="21" customHeight="1" x14ac:dyDescent="0.2"/>
    <row r="609" ht="21" customHeight="1" x14ac:dyDescent="0.2"/>
    <row r="610" ht="21" customHeight="1" x14ac:dyDescent="0.2"/>
    <row r="611" ht="21" customHeight="1" x14ac:dyDescent="0.2"/>
    <row r="612" ht="21" customHeight="1" x14ac:dyDescent="0.2"/>
    <row r="613" ht="21" customHeight="1" x14ac:dyDescent="0.2"/>
    <row r="614" ht="21" customHeight="1" x14ac:dyDescent="0.2"/>
    <row r="615" ht="21" customHeight="1" x14ac:dyDescent="0.2"/>
    <row r="616" ht="21" customHeight="1" x14ac:dyDescent="0.2"/>
    <row r="617" ht="21" customHeight="1" x14ac:dyDescent="0.2"/>
    <row r="618" ht="21" customHeight="1" x14ac:dyDescent="0.2"/>
    <row r="619" ht="21" customHeight="1" x14ac:dyDescent="0.2"/>
    <row r="620" ht="21" customHeight="1" x14ac:dyDescent="0.2"/>
    <row r="621" ht="21" customHeight="1" x14ac:dyDescent="0.2"/>
    <row r="622" ht="21" customHeight="1" x14ac:dyDescent="0.2"/>
    <row r="623" ht="21" customHeight="1" x14ac:dyDescent="0.2"/>
    <row r="624" ht="21" customHeight="1" x14ac:dyDescent="0.2"/>
    <row r="625" ht="21" customHeight="1" x14ac:dyDescent="0.2"/>
    <row r="626" ht="21" customHeight="1" x14ac:dyDescent="0.2"/>
    <row r="627" ht="21" customHeight="1" x14ac:dyDescent="0.2"/>
    <row r="628" ht="21" customHeight="1" x14ac:dyDescent="0.2"/>
    <row r="629" ht="21" customHeight="1" x14ac:dyDescent="0.2"/>
    <row r="630" ht="21" customHeight="1" x14ac:dyDescent="0.2"/>
    <row r="631" ht="21" customHeight="1" x14ac:dyDescent="0.2"/>
    <row r="632" ht="21" customHeight="1" x14ac:dyDescent="0.2"/>
    <row r="633" ht="21" customHeight="1" x14ac:dyDescent="0.2"/>
    <row r="634" ht="21" customHeight="1" x14ac:dyDescent="0.2"/>
    <row r="635" ht="21" customHeight="1" x14ac:dyDescent="0.2"/>
    <row r="636" ht="21" customHeight="1" x14ac:dyDescent="0.2"/>
    <row r="637" ht="21" customHeight="1" x14ac:dyDescent="0.2"/>
    <row r="638" ht="21" customHeight="1" x14ac:dyDescent="0.2"/>
    <row r="639" ht="21" customHeight="1" x14ac:dyDescent="0.2"/>
    <row r="640" ht="21" customHeight="1" x14ac:dyDescent="0.2"/>
    <row r="641" ht="21" customHeight="1" x14ac:dyDescent="0.2"/>
    <row r="642" ht="21" customHeight="1" x14ac:dyDescent="0.2"/>
    <row r="643" ht="21" customHeight="1" x14ac:dyDescent="0.2"/>
    <row r="644" ht="21" customHeight="1" x14ac:dyDescent="0.2"/>
    <row r="645" ht="21" customHeight="1" x14ac:dyDescent="0.2"/>
    <row r="646" ht="21" customHeight="1" x14ac:dyDescent="0.2"/>
    <row r="647" ht="21" customHeight="1" x14ac:dyDescent="0.2"/>
    <row r="648" ht="21" customHeight="1" x14ac:dyDescent="0.2"/>
    <row r="649" ht="21" customHeight="1" x14ac:dyDescent="0.2"/>
    <row r="650" ht="21" customHeight="1" x14ac:dyDescent="0.2"/>
    <row r="651" ht="21" customHeight="1" x14ac:dyDescent="0.2"/>
    <row r="652" ht="21" customHeight="1" x14ac:dyDescent="0.2"/>
    <row r="653" ht="21" customHeight="1" x14ac:dyDescent="0.2"/>
    <row r="654" ht="21" customHeight="1" x14ac:dyDescent="0.2"/>
    <row r="655" ht="21" customHeight="1" x14ac:dyDescent="0.2"/>
    <row r="656" ht="21" customHeight="1" x14ac:dyDescent="0.2"/>
    <row r="657" ht="21" customHeight="1" x14ac:dyDescent="0.2"/>
    <row r="658" ht="21" customHeight="1" x14ac:dyDescent="0.2"/>
    <row r="659" ht="21" customHeight="1" x14ac:dyDescent="0.2"/>
    <row r="660" ht="21" customHeight="1" x14ac:dyDescent="0.2"/>
    <row r="661" ht="21" customHeight="1" x14ac:dyDescent="0.2"/>
    <row r="662" ht="21" customHeight="1" x14ac:dyDescent="0.2"/>
    <row r="663" ht="21" customHeight="1" x14ac:dyDescent="0.2"/>
    <row r="664" ht="21" customHeight="1" x14ac:dyDescent="0.2"/>
    <row r="665" ht="21" customHeight="1" x14ac:dyDescent="0.2"/>
    <row r="666" ht="21" customHeight="1" x14ac:dyDescent="0.2"/>
    <row r="667" ht="21" customHeight="1" x14ac:dyDescent="0.2"/>
    <row r="668" ht="21" customHeight="1" x14ac:dyDescent="0.2"/>
    <row r="669" ht="21" customHeight="1" x14ac:dyDescent="0.2"/>
    <row r="670" ht="21" customHeight="1" x14ac:dyDescent="0.2"/>
    <row r="671" ht="21" customHeight="1" x14ac:dyDescent="0.2"/>
    <row r="672" ht="21" customHeight="1" x14ac:dyDescent="0.2"/>
    <row r="673" ht="21" customHeight="1" x14ac:dyDescent="0.2"/>
    <row r="674" ht="21" customHeight="1" x14ac:dyDescent="0.2"/>
    <row r="675" ht="21" customHeight="1" x14ac:dyDescent="0.2"/>
    <row r="676" ht="21" customHeight="1" x14ac:dyDescent="0.2"/>
    <row r="677" ht="21" customHeight="1" x14ac:dyDescent="0.2"/>
    <row r="678" ht="21" customHeight="1" x14ac:dyDescent="0.2"/>
    <row r="679" ht="21" customHeight="1" x14ac:dyDescent="0.2"/>
    <row r="680" ht="21" customHeight="1" x14ac:dyDescent="0.2"/>
    <row r="681" ht="21" customHeight="1" x14ac:dyDescent="0.2"/>
    <row r="682" ht="21" customHeight="1" x14ac:dyDescent="0.2"/>
    <row r="683" ht="21" customHeight="1" x14ac:dyDescent="0.2"/>
    <row r="684" ht="21" customHeight="1" x14ac:dyDescent="0.2"/>
    <row r="685" ht="21" customHeight="1" x14ac:dyDescent="0.2"/>
    <row r="686" ht="21" customHeight="1" x14ac:dyDescent="0.2"/>
    <row r="687" ht="21" customHeight="1" x14ac:dyDescent="0.2"/>
    <row r="688" ht="21" customHeight="1" x14ac:dyDescent="0.2"/>
    <row r="689" ht="21" customHeight="1" x14ac:dyDescent="0.2"/>
    <row r="690" ht="21" customHeight="1" x14ac:dyDescent="0.2"/>
    <row r="691" ht="21" customHeight="1" x14ac:dyDescent="0.2"/>
    <row r="692" ht="21" customHeight="1" x14ac:dyDescent="0.2"/>
    <row r="693" ht="21" customHeight="1" x14ac:dyDescent="0.2"/>
    <row r="694" ht="21" customHeight="1" x14ac:dyDescent="0.2"/>
    <row r="695" ht="21" customHeight="1" x14ac:dyDescent="0.2"/>
    <row r="696" ht="21" customHeight="1" x14ac:dyDescent="0.2"/>
    <row r="697" ht="21" customHeight="1" x14ac:dyDescent="0.2"/>
    <row r="698" ht="21" customHeight="1" x14ac:dyDescent="0.2"/>
    <row r="699" ht="21" customHeight="1" x14ac:dyDescent="0.2"/>
    <row r="700" ht="21" customHeight="1" x14ac:dyDescent="0.2"/>
    <row r="701" ht="21" customHeight="1" x14ac:dyDescent="0.2"/>
    <row r="702" ht="21" customHeight="1" x14ac:dyDescent="0.2"/>
    <row r="703" ht="21" customHeight="1" x14ac:dyDescent="0.2"/>
    <row r="704" ht="21" customHeight="1" x14ac:dyDescent="0.2"/>
    <row r="705" ht="21" customHeight="1" x14ac:dyDescent="0.2"/>
    <row r="706" ht="21" customHeight="1" x14ac:dyDescent="0.2"/>
    <row r="707" ht="21" customHeight="1" x14ac:dyDescent="0.2"/>
    <row r="708" ht="21" customHeight="1" x14ac:dyDescent="0.2"/>
    <row r="709" ht="21" customHeight="1" x14ac:dyDescent="0.2"/>
    <row r="710" ht="21" customHeight="1" x14ac:dyDescent="0.2"/>
    <row r="711" ht="21" customHeight="1" x14ac:dyDescent="0.2"/>
    <row r="712" ht="21" customHeight="1" x14ac:dyDescent="0.2"/>
    <row r="713" ht="21" customHeight="1" x14ac:dyDescent="0.2"/>
    <row r="714" ht="21" customHeight="1" x14ac:dyDescent="0.2"/>
    <row r="715" ht="21" customHeight="1" x14ac:dyDescent="0.2"/>
    <row r="716" ht="21" customHeight="1" x14ac:dyDescent="0.2"/>
    <row r="717" ht="21" customHeight="1" x14ac:dyDescent="0.2"/>
    <row r="718" ht="21" customHeight="1" x14ac:dyDescent="0.2"/>
    <row r="719" ht="21" customHeight="1" x14ac:dyDescent="0.2"/>
    <row r="720" ht="21" customHeight="1" x14ac:dyDescent="0.2"/>
    <row r="721" ht="21" customHeight="1" x14ac:dyDescent="0.2"/>
    <row r="722" ht="21" customHeight="1" x14ac:dyDescent="0.2"/>
    <row r="723" ht="21" customHeight="1" x14ac:dyDescent="0.2"/>
    <row r="724" ht="21" customHeight="1" x14ac:dyDescent="0.2"/>
    <row r="725" ht="21" customHeight="1" x14ac:dyDescent="0.2"/>
    <row r="726" ht="21" customHeight="1" x14ac:dyDescent="0.2"/>
    <row r="727" ht="21" customHeight="1" x14ac:dyDescent="0.2"/>
    <row r="728" ht="21" customHeight="1" x14ac:dyDescent="0.2"/>
    <row r="729" ht="21" customHeight="1" x14ac:dyDescent="0.2"/>
    <row r="730" ht="21" customHeight="1" x14ac:dyDescent="0.2"/>
    <row r="731" ht="21" customHeight="1" x14ac:dyDescent="0.2"/>
    <row r="732" ht="21" customHeight="1" x14ac:dyDescent="0.2"/>
    <row r="733" ht="21" customHeight="1" x14ac:dyDescent="0.2"/>
    <row r="734" ht="21" customHeight="1" x14ac:dyDescent="0.2"/>
    <row r="735" ht="21" customHeight="1" x14ac:dyDescent="0.2"/>
    <row r="736" ht="21" customHeight="1" x14ac:dyDescent="0.2"/>
    <row r="737" ht="21" customHeight="1" x14ac:dyDescent="0.2"/>
    <row r="738" ht="21" customHeight="1" x14ac:dyDescent="0.2"/>
    <row r="739" ht="21" customHeight="1" x14ac:dyDescent="0.2"/>
    <row r="740" ht="21" customHeight="1" x14ac:dyDescent="0.2"/>
    <row r="741" ht="21" customHeight="1" x14ac:dyDescent="0.2"/>
    <row r="742" ht="21" customHeight="1" x14ac:dyDescent="0.2"/>
    <row r="743" ht="21" customHeight="1" x14ac:dyDescent="0.2"/>
    <row r="744" ht="21" customHeight="1" x14ac:dyDescent="0.2"/>
    <row r="745" ht="21" customHeight="1" x14ac:dyDescent="0.2"/>
    <row r="746" ht="21" customHeight="1" x14ac:dyDescent="0.2"/>
    <row r="747" ht="21" customHeight="1" x14ac:dyDescent="0.2"/>
    <row r="748" ht="21" customHeight="1" x14ac:dyDescent="0.2"/>
    <row r="749" ht="21" customHeight="1" x14ac:dyDescent="0.2"/>
    <row r="750" ht="21" customHeight="1" x14ac:dyDescent="0.2"/>
    <row r="751" ht="21" customHeight="1" x14ac:dyDescent="0.2"/>
    <row r="752" ht="21" customHeight="1" x14ac:dyDescent="0.2"/>
    <row r="753" ht="21" customHeight="1" x14ac:dyDescent="0.2"/>
    <row r="754" ht="21" customHeight="1" x14ac:dyDescent="0.2"/>
    <row r="755" ht="21" customHeight="1" x14ac:dyDescent="0.2"/>
    <row r="756" ht="21" customHeight="1" x14ac:dyDescent="0.2"/>
    <row r="757" ht="21" customHeight="1" x14ac:dyDescent="0.2"/>
    <row r="758" ht="21" customHeight="1" x14ac:dyDescent="0.2"/>
    <row r="759" ht="21" customHeight="1" x14ac:dyDescent="0.2"/>
    <row r="760" ht="21" customHeight="1" x14ac:dyDescent="0.2"/>
    <row r="761" ht="21" customHeight="1" x14ac:dyDescent="0.2"/>
    <row r="762" ht="21" customHeight="1" x14ac:dyDescent="0.2"/>
    <row r="763" ht="21" customHeight="1" x14ac:dyDescent="0.2"/>
    <row r="764" ht="21" customHeight="1" x14ac:dyDescent="0.2"/>
    <row r="765" ht="21" customHeight="1" x14ac:dyDescent="0.2"/>
    <row r="766" ht="21" customHeight="1" x14ac:dyDescent="0.2"/>
    <row r="767" ht="21" customHeight="1" x14ac:dyDescent="0.2"/>
    <row r="768" ht="21" customHeight="1" x14ac:dyDescent="0.2"/>
    <row r="769" ht="21" customHeight="1" x14ac:dyDescent="0.2"/>
    <row r="770" ht="21" customHeight="1" x14ac:dyDescent="0.2"/>
    <row r="771" ht="21" customHeight="1" x14ac:dyDescent="0.2"/>
    <row r="772" ht="21" customHeight="1" x14ac:dyDescent="0.2"/>
    <row r="773" ht="21" customHeight="1" x14ac:dyDescent="0.2"/>
    <row r="774" ht="21" customHeight="1" x14ac:dyDescent="0.2"/>
    <row r="775" ht="21" customHeight="1" x14ac:dyDescent="0.2"/>
    <row r="776" ht="21" customHeight="1" x14ac:dyDescent="0.2"/>
    <row r="777" ht="21" customHeight="1" x14ac:dyDescent="0.2"/>
    <row r="778" ht="21" customHeight="1" x14ac:dyDescent="0.2"/>
    <row r="779" ht="21" customHeight="1" x14ac:dyDescent="0.2"/>
    <row r="780" ht="21" customHeight="1" x14ac:dyDescent="0.2"/>
    <row r="781" ht="21" customHeight="1" x14ac:dyDescent="0.2"/>
    <row r="782" ht="21" customHeight="1" x14ac:dyDescent="0.2"/>
    <row r="783" ht="21" customHeight="1" x14ac:dyDescent="0.2"/>
    <row r="784" ht="21" customHeight="1" x14ac:dyDescent="0.2"/>
    <row r="785" ht="21" customHeight="1" x14ac:dyDescent="0.2"/>
    <row r="786" ht="21" customHeight="1" x14ac:dyDescent="0.2"/>
    <row r="787" ht="21" customHeight="1" x14ac:dyDescent="0.2"/>
    <row r="788" ht="21" customHeight="1" x14ac:dyDescent="0.2"/>
    <row r="789" ht="21" customHeight="1" x14ac:dyDescent="0.2"/>
    <row r="790" ht="21" customHeight="1" x14ac:dyDescent="0.2"/>
    <row r="791" ht="21" customHeight="1" x14ac:dyDescent="0.2"/>
    <row r="792" ht="21" customHeight="1" x14ac:dyDescent="0.2"/>
    <row r="793" ht="21" customHeight="1" x14ac:dyDescent="0.2"/>
    <row r="794" ht="21" customHeight="1" x14ac:dyDescent="0.2"/>
    <row r="795" ht="21" customHeight="1" x14ac:dyDescent="0.2"/>
    <row r="796" ht="21" customHeight="1" x14ac:dyDescent="0.2"/>
    <row r="797" ht="21" customHeight="1" x14ac:dyDescent="0.2"/>
    <row r="798" ht="21" customHeight="1" x14ac:dyDescent="0.2"/>
    <row r="799" ht="21" customHeight="1" x14ac:dyDescent="0.2"/>
    <row r="800" ht="21" customHeight="1" x14ac:dyDescent="0.2"/>
    <row r="801" ht="21" customHeight="1" x14ac:dyDescent="0.2"/>
    <row r="802" ht="21" customHeight="1" x14ac:dyDescent="0.2"/>
    <row r="803" ht="21" customHeight="1" x14ac:dyDescent="0.2"/>
    <row r="804" ht="21" customHeight="1" x14ac:dyDescent="0.2"/>
    <row r="805" ht="21" customHeight="1" x14ac:dyDescent="0.2"/>
    <row r="806" ht="21" customHeight="1" x14ac:dyDescent="0.2"/>
    <row r="807" ht="21" customHeight="1" x14ac:dyDescent="0.2"/>
    <row r="808" ht="21" customHeight="1" x14ac:dyDescent="0.2"/>
    <row r="809" ht="21" customHeight="1" x14ac:dyDescent="0.2"/>
    <row r="810" ht="21" customHeight="1" x14ac:dyDescent="0.2"/>
    <row r="811" ht="21" customHeight="1" x14ac:dyDescent="0.2"/>
    <row r="812" ht="21" customHeight="1" x14ac:dyDescent="0.2"/>
    <row r="813" ht="21" customHeight="1" x14ac:dyDescent="0.2"/>
    <row r="814" ht="21" customHeight="1" x14ac:dyDescent="0.2"/>
    <row r="815" ht="21" customHeight="1" x14ac:dyDescent="0.2"/>
    <row r="816" ht="21" customHeight="1" x14ac:dyDescent="0.2"/>
    <row r="817" ht="21" customHeight="1" x14ac:dyDescent="0.2"/>
    <row r="818" ht="21" customHeight="1" x14ac:dyDescent="0.2"/>
    <row r="819" ht="21" customHeight="1" x14ac:dyDescent="0.2"/>
    <row r="820" ht="21" customHeight="1" x14ac:dyDescent="0.2"/>
    <row r="821" ht="21" customHeight="1" x14ac:dyDescent="0.2"/>
    <row r="822" ht="21" customHeight="1" x14ac:dyDescent="0.2"/>
    <row r="823" ht="21" customHeight="1" x14ac:dyDescent="0.2"/>
    <row r="824" ht="21" customHeight="1" x14ac:dyDescent="0.2"/>
    <row r="825" ht="21" customHeight="1" x14ac:dyDescent="0.2"/>
    <row r="826" ht="21" customHeight="1" x14ac:dyDescent="0.2"/>
    <row r="827" ht="21" customHeight="1" x14ac:dyDescent="0.2"/>
    <row r="828" ht="21" customHeight="1" x14ac:dyDescent="0.2"/>
    <row r="829" ht="21" customHeight="1" x14ac:dyDescent="0.2"/>
    <row r="830" ht="21" customHeight="1" x14ac:dyDescent="0.2"/>
    <row r="831" ht="21" customHeight="1" x14ac:dyDescent="0.2"/>
    <row r="832" ht="21" customHeight="1" x14ac:dyDescent="0.2"/>
    <row r="833" ht="21" customHeight="1" x14ac:dyDescent="0.2"/>
    <row r="834" ht="21" customHeight="1" x14ac:dyDescent="0.2"/>
    <row r="835" ht="21" customHeight="1" x14ac:dyDescent="0.2"/>
    <row r="836" ht="21" customHeight="1" x14ac:dyDescent="0.2"/>
    <row r="837" ht="21" customHeight="1" x14ac:dyDescent="0.2"/>
    <row r="838" ht="21" customHeight="1" x14ac:dyDescent="0.2"/>
    <row r="839" ht="21" customHeight="1" x14ac:dyDescent="0.2"/>
    <row r="840" ht="21" customHeight="1" x14ac:dyDescent="0.2"/>
    <row r="841" ht="21" customHeight="1" x14ac:dyDescent="0.2"/>
    <row r="842" ht="21" customHeight="1" x14ac:dyDescent="0.2"/>
    <row r="843" ht="21" customHeight="1" x14ac:dyDescent="0.2"/>
    <row r="844" ht="21" customHeight="1" x14ac:dyDescent="0.2"/>
    <row r="845" ht="21" customHeight="1" x14ac:dyDescent="0.2"/>
    <row r="846" ht="21" customHeight="1" x14ac:dyDescent="0.2"/>
    <row r="847" ht="21" customHeight="1" x14ac:dyDescent="0.2"/>
    <row r="848" ht="21" customHeight="1" x14ac:dyDescent="0.2"/>
    <row r="849" ht="21" customHeight="1" x14ac:dyDescent="0.2"/>
    <row r="850" ht="21" customHeight="1" x14ac:dyDescent="0.2"/>
    <row r="851" ht="21" customHeight="1" x14ac:dyDescent="0.2"/>
    <row r="852" ht="21" customHeight="1" x14ac:dyDescent="0.2"/>
    <row r="853" ht="21" customHeight="1" x14ac:dyDescent="0.2"/>
    <row r="854" ht="21" customHeight="1" x14ac:dyDescent="0.2"/>
    <row r="855" ht="21" customHeight="1" x14ac:dyDescent="0.2"/>
    <row r="856" ht="21" customHeight="1" x14ac:dyDescent="0.2"/>
    <row r="857" ht="21" customHeight="1" x14ac:dyDescent="0.2"/>
    <row r="858" ht="21" customHeight="1" x14ac:dyDescent="0.2"/>
    <row r="859" ht="21" customHeight="1" x14ac:dyDescent="0.2"/>
    <row r="860" ht="21" customHeight="1" x14ac:dyDescent="0.2"/>
    <row r="861" ht="21" customHeight="1" x14ac:dyDescent="0.2"/>
    <row r="862" ht="21" customHeight="1" x14ac:dyDescent="0.2"/>
    <row r="863" ht="21" customHeight="1" x14ac:dyDescent="0.2"/>
    <row r="864" ht="21" customHeight="1" x14ac:dyDescent="0.2"/>
    <row r="865" ht="21" customHeight="1" x14ac:dyDescent="0.2"/>
    <row r="866" ht="21" customHeight="1" x14ac:dyDescent="0.2"/>
    <row r="867" ht="21" customHeight="1" x14ac:dyDescent="0.2"/>
    <row r="868" ht="21" customHeight="1" x14ac:dyDescent="0.2"/>
    <row r="869" ht="21" customHeight="1" x14ac:dyDescent="0.2"/>
    <row r="870" ht="21" customHeight="1" x14ac:dyDescent="0.2"/>
    <row r="871" ht="21" customHeight="1" x14ac:dyDescent="0.2"/>
    <row r="872" ht="21" customHeight="1" x14ac:dyDescent="0.2"/>
    <row r="873" ht="21" customHeight="1" x14ac:dyDescent="0.2"/>
    <row r="874" ht="21" customHeight="1" x14ac:dyDescent="0.2"/>
    <row r="875" ht="21" customHeight="1" x14ac:dyDescent="0.2"/>
    <row r="876" ht="21" customHeight="1" x14ac:dyDescent="0.2"/>
    <row r="877" ht="21" customHeight="1" x14ac:dyDescent="0.2"/>
    <row r="878" ht="21" customHeight="1" x14ac:dyDescent="0.2"/>
    <row r="879" ht="21" customHeight="1" x14ac:dyDescent="0.2"/>
    <row r="880" ht="21" customHeight="1" x14ac:dyDescent="0.2"/>
    <row r="881" ht="21" customHeight="1" x14ac:dyDescent="0.2"/>
    <row r="882" ht="21" customHeight="1" x14ac:dyDescent="0.2"/>
    <row r="883" ht="21" customHeight="1" x14ac:dyDescent="0.2"/>
    <row r="884" ht="21" customHeight="1" x14ac:dyDescent="0.2"/>
    <row r="885" ht="21" customHeight="1" x14ac:dyDescent="0.2"/>
    <row r="886" ht="21" customHeight="1" x14ac:dyDescent="0.2"/>
    <row r="887" ht="21" customHeight="1" x14ac:dyDescent="0.2"/>
    <row r="888" ht="21" customHeight="1" x14ac:dyDescent="0.2"/>
    <row r="889" ht="21" customHeight="1" x14ac:dyDescent="0.2"/>
    <row r="890" ht="21" customHeight="1" x14ac:dyDescent="0.2"/>
    <row r="891" ht="21" customHeight="1" x14ac:dyDescent="0.2"/>
    <row r="892" ht="21" customHeight="1" x14ac:dyDescent="0.2"/>
    <row r="893" ht="21" customHeight="1" x14ac:dyDescent="0.2"/>
    <row r="894" ht="21" customHeight="1" x14ac:dyDescent="0.2"/>
    <row r="895" ht="21" customHeight="1" x14ac:dyDescent="0.2"/>
    <row r="896" ht="21" customHeight="1" x14ac:dyDescent="0.2"/>
    <row r="897" ht="21" customHeight="1" x14ac:dyDescent="0.2"/>
    <row r="898" ht="21" customHeight="1" x14ac:dyDescent="0.2"/>
    <row r="899" ht="21" customHeight="1" x14ac:dyDescent="0.2"/>
    <row r="900" ht="21" customHeight="1" x14ac:dyDescent="0.2"/>
    <row r="901" ht="21" customHeight="1" x14ac:dyDescent="0.2"/>
    <row r="902" ht="21" customHeight="1" x14ac:dyDescent="0.2"/>
    <row r="903" ht="21" customHeight="1" x14ac:dyDescent="0.2"/>
    <row r="904" ht="21" customHeight="1" x14ac:dyDescent="0.2"/>
    <row r="905" ht="21" customHeight="1" x14ac:dyDescent="0.2"/>
    <row r="906" ht="21" customHeight="1" x14ac:dyDescent="0.2"/>
    <row r="907" ht="21" customHeight="1" x14ac:dyDescent="0.2"/>
    <row r="908" ht="21" customHeight="1" x14ac:dyDescent="0.2"/>
    <row r="909" ht="21" customHeight="1" x14ac:dyDescent="0.2"/>
    <row r="910" ht="21" customHeight="1" x14ac:dyDescent="0.2"/>
    <row r="911" ht="21" customHeight="1" x14ac:dyDescent="0.2"/>
    <row r="912" ht="21" customHeight="1" x14ac:dyDescent="0.2"/>
    <row r="913" ht="21" customHeight="1" x14ac:dyDescent="0.2"/>
    <row r="914" ht="21" customHeight="1" x14ac:dyDescent="0.2"/>
    <row r="915" ht="21" customHeight="1" x14ac:dyDescent="0.2"/>
    <row r="916" ht="21" customHeight="1" x14ac:dyDescent="0.2"/>
    <row r="917" ht="21" customHeight="1" x14ac:dyDescent="0.2"/>
    <row r="918" ht="21" customHeight="1" x14ac:dyDescent="0.2"/>
    <row r="919" ht="21" customHeight="1" x14ac:dyDescent="0.2"/>
    <row r="920" ht="21" customHeight="1" x14ac:dyDescent="0.2"/>
    <row r="921" ht="21" customHeight="1" x14ac:dyDescent="0.2"/>
    <row r="922" ht="21" customHeight="1" x14ac:dyDescent="0.2"/>
    <row r="923" ht="21" customHeight="1" x14ac:dyDescent="0.2"/>
    <row r="924" ht="21" customHeight="1" x14ac:dyDescent="0.2"/>
    <row r="925" ht="21" customHeight="1" x14ac:dyDescent="0.2"/>
    <row r="926" ht="21" customHeight="1" x14ac:dyDescent="0.2"/>
    <row r="927" ht="21" customHeight="1" x14ac:dyDescent="0.2"/>
    <row r="928" ht="21" customHeight="1" x14ac:dyDescent="0.2"/>
    <row r="929" ht="21" customHeight="1" x14ac:dyDescent="0.2"/>
    <row r="930" ht="21" customHeight="1" x14ac:dyDescent="0.2"/>
    <row r="931" ht="21" customHeight="1" x14ac:dyDescent="0.2"/>
    <row r="932" ht="21" customHeight="1" x14ac:dyDescent="0.2"/>
    <row r="933" ht="21" customHeight="1" x14ac:dyDescent="0.2"/>
    <row r="934" ht="21" customHeight="1" x14ac:dyDescent="0.2"/>
    <row r="935" ht="21" customHeight="1" x14ac:dyDescent="0.2"/>
    <row r="936" ht="21" customHeight="1" x14ac:dyDescent="0.2"/>
    <row r="937" ht="21" customHeight="1" x14ac:dyDescent="0.2"/>
    <row r="938" ht="21" customHeight="1" x14ac:dyDescent="0.2"/>
    <row r="939" ht="21" customHeight="1" x14ac:dyDescent="0.2"/>
    <row r="940" ht="21" customHeight="1" x14ac:dyDescent="0.2"/>
    <row r="941" ht="21" customHeight="1" x14ac:dyDescent="0.2"/>
    <row r="942" ht="21" customHeight="1" x14ac:dyDescent="0.2"/>
    <row r="943" ht="21" customHeight="1" x14ac:dyDescent="0.2"/>
    <row r="944" ht="21" customHeight="1" x14ac:dyDescent="0.2"/>
    <row r="945" ht="21" customHeight="1" x14ac:dyDescent="0.2"/>
    <row r="946" ht="21" customHeight="1" x14ac:dyDescent="0.2"/>
    <row r="947" ht="21" customHeight="1" x14ac:dyDescent="0.2"/>
    <row r="948" ht="21" customHeight="1" x14ac:dyDescent="0.2"/>
    <row r="949" ht="21" customHeight="1" x14ac:dyDescent="0.2"/>
    <row r="950" ht="21" customHeight="1" x14ac:dyDescent="0.2"/>
    <row r="951" ht="21" customHeight="1" x14ac:dyDescent="0.2"/>
    <row r="952" ht="21" customHeight="1" x14ac:dyDescent="0.2"/>
    <row r="953" ht="21" customHeight="1" x14ac:dyDescent="0.2"/>
    <row r="954" ht="21" customHeight="1" x14ac:dyDescent="0.2"/>
    <row r="955" ht="21" customHeight="1" x14ac:dyDescent="0.2"/>
    <row r="956" ht="21" customHeight="1" x14ac:dyDescent="0.2"/>
    <row r="957" ht="21" customHeight="1" x14ac:dyDescent="0.2"/>
    <row r="958" ht="21" customHeight="1" x14ac:dyDescent="0.2"/>
    <row r="959" ht="21" customHeight="1" x14ac:dyDescent="0.2"/>
    <row r="960" ht="21" customHeight="1" x14ac:dyDescent="0.2"/>
    <row r="961" ht="21" customHeight="1" x14ac:dyDescent="0.2"/>
    <row r="962" ht="21" customHeight="1" x14ac:dyDescent="0.2"/>
    <row r="963" ht="21" customHeight="1" x14ac:dyDescent="0.2"/>
    <row r="964" ht="21" customHeight="1" x14ac:dyDescent="0.2"/>
    <row r="965" ht="21" customHeight="1" x14ac:dyDescent="0.2"/>
    <row r="966" ht="21" customHeight="1" x14ac:dyDescent="0.2"/>
    <row r="967" ht="21" customHeight="1" x14ac:dyDescent="0.2"/>
    <row r="968" ht="21" customHeight="1" x14ac:dyDescent="0.2"/>
    <row r="969" ht="21" customHeight="1" x14ac:dyDescent="0.2"/>
    <row r="970" ht="21" customHeight="1" x14ac:dyDescent="0.2"/>
    <row r="971" ht="21" customHeight="1" x14ac:dyDescent="0.2"/>
    <row r="972" ht="21" customHeight="1" x14ac:dyDescent="0.2"/>
    <row r="973" ht="21" customHeight="1" x14ac:dyDescent="0.2"/>
    <row r="974" ht="21" customHeight="1" x14ac:dyDescent="0.2"/>
    <row r="975" ht="21" customHeight="1" x14ac:dyDescent="0.2"/>
    <row r="976" ht="21" customHeight="1" x14ac:dyDescent="0.2"/>
    <row r="977" ht="21" customHeight="1" x14ac:dyDescent="0.2"/>
    <row r="978" ht="21" customHeight="1" x14ac:dyDescent="0.2"/>
    <row r="979" ht="21" customHeight="1" x14ac:dyDescent="0.2"/>
    <row r="980" ht="21" customHeight="1" x14ac:dyDescent="0.2"/>
    <row r="981" ht="21" customHeight="1" x14ac:dyDescent="0.2"/>
    <row r="982" ht="21" customHeight="1" x14ac:dyDescent="0.2"/>
    <row r="983" ht="21" customHeight="1" x14ac:dyDescent="0.2"/>
    <row r="984" ht="21" customHeight="1" x14ac:dyDescent="0.2"/>
    <row r="985" ht="21" customHeight="1" x14ac:dyDescent="0.2"/>
    <row r="986" ht="21" customHeight="1" x14ac:dyDescent="0.2"/>
    <row r="987" ht="21" customHeight="1" x14ac:dyDescent="0.2"/>
    <row r="988" ht="21" customHeight="1" x14ac:dyDescent="0.2"/>
    <row r="989" ht="21" customHeight="1" x14ac:dyDescent="0.2"/>
    <row r="990" ht="21" customHeight="1" x14ac:dyDescent="0.2"/>
    <row r="991" ht="21" customHeight="1" x14ac:dyDescent="0.2"/>
    <row r="992" ht="21" customHeight="1" x14ac:dyDescent="0.2"/>
    <row r="993" ht="21" customHeight="1" x14ac:dyDescent="0.2"/>
    <row r="994" ht="21" customHeight="1" x14ac:dyDescent="0.2"/>
    <row r="995" ht="21" customHeight="1" x14ac:dyDescent="0.2"/>
    <row r="996" ht="21" customHeight="1" x14ac:dyDescent="0.2"/>
    <row r="997" ht="21" customHeight="1" x14ac:dyDescent="0.2"/>
    <row r="998" ht="21" customHeight="1" x14ac:dyDescent="0.2"/>
    <row r="999" ht="21" customHeight="1" x14ac:dyDescent="0.2"/>
    <row r="1000" ht="21" customHeight="1"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0"/>
  <sheetViews>
    <sheetView topLeftCell="B1" workbookViewId="0"/>
  </sheetViews>
  <sheetFormatPr baseColWidth="10" defaultColWidth="14.5" defaultRowHeight="15" x14ac:dyDescent="0.2"/>
  <cols>
    <col min="1" max="1" width="10.6640625" customWidth="1"/>
    <col min="2" max="2" width="75.33203125" customWidth="1"/>
    <col min="3" max="26" width="10.6640625" customWidth="1"/>
  </cols>
  <sheetData>
    <row r="1" spans="1:15" x14ac:dyDescent="0.2">
      <c r="A1" s="1" t="s">
        <v>0</v>
      </c>
      <c r="B1" s="1" t="s">
        <v>1</v>
      </c>
      <c r="C1" s="1" t="s">
        <v>2</v>
      </c>
      <c r="D1" s="1" t="s">
        <v>3</v>
      </c>
      <c r="E1" s="1" t="s">
        <v>4</v>
      </c>
      <c r="F1" s="1" t="s">
        <v>5</v>
      </c>
      <c r="G1" s="1" t="s">
        <v>6</v>
      </c>
      <c r="H1" s="1" t="s">
        <v>7</v>
      </c>
      <c r="I1" s="1" t="s">
        <v>8</v>
      </c>
      <c r="J1" s="1" t="s">
        <v>9</v>
      </c>
      <c r="K1" s="1" t="s">
        <v>10</v>
      </c>
      <c r="L1" s="1" t="s">
        <v>1420</v>
      </c>
      <c r="M1" s="1" t="s">
        <v>1421</v>
      </c>
      <c r="N1" s="1" t="s">
        <v>1422</v>
      </c>
    </row>
    <row r="2" spans="1:15" x14ac:dyDescent="0.2">
      <c r="A2" s="1" t="s">
        <v>11</v>
      </c>
      <c r="B2" s="1" t="s">
        <v>118</v>
      </c>
      <c r="C2" s="2" t="s">
        <v>119</v>
      </c>
      <c r="D2" s="1" t="s">
        <v>120</v>
      </c>
      <c r="E2" s="1" t="s">
        <v>8</v>
      </c>
      <c r="F2" s="1" t="s">
        <v>121</v>
      </c>
      <c r="G2" s="1" t="s">
        <v>26</v>
      </c>
      <c r="I2" s="1">
        <v>1</v>
      </c>
      <c r="J2" s="1">
        <v>0</v>
      </c>
      <c r="K2" s="1">
        <v>0</v>
      </c>
      <c r="L2" s="1">
        <v>1948</v>
      </c>
      <c r="M2" s="1" t="s">
        <v>1423</v>
      </c>
    </row>
    <row r="3" spans="1:15" x14ac:dyDescent="0.2">
      <c r="A3" s="1" t="s">
        <v>415</v>
      </c>
      <c r="B3" s="1" t="s">
        <v>539</v>
      </c>
      <c r="C3" s="2" t="s">
        <v>540</v>
      </c>
      <c r="D3" s="1" t="s">
        <v>541</v>
      </c>
      <c r="E3" s="1" t="s">
        <v>8</v>
      </c>
      <c r="F3" s="1" t="s">
        <v>542</v>
      </c>
      <c r="G3" s="1" t="s">
        <v>543</v>
      </c>
      <c r="I3" s="1">
        <v>1</v>
      </c>
      <c r="J3" s="1">
        <v>0</v>
      </c>
      <c r="K3" s="1">
        <v>0</v>
      </c>
      <c r="L3" s="1">
        <v>7100</v>
      </c>
      <c r="M3" s="1" t="s">
        <v>1424</v>
      </c>
      <c r="N3" s="1" t="s">
        <v>1425</v>
      </c>
      <c r="O3" s="3"/>
    </row>
    <row r="4" spans="1:15" x14ac:dyDescent="0.2">
      <c r="A4" s="1" t="s">
        <v>666</v>
      </c>
      <c r="B4" s="1" t="s">
        <v>1103</v>
      </c>
      <c r="C4" s="2" t="s">
        <v>1104</v>
      </c>
      <c r="D4" s="1" t="s">
        <v>1105</v>
      </c>
      <c r="E4" s="1" t="s">
        <v>8</v>
      </c>
      <c r="F4" s="1" t="s">
        <v>1106</v>
      </c>
      <c r="G4" s="1" t="s">
        <v>26</v>
      </c>
      <c r="I4" s="1">
        <v>1</v>
      </c>
      <c r="J4" s="1">
        <v>0</v>
      </c>
      <c r="K4" s="1">
        <v>0</v>
      </c>
      <c r="L4" s="1">
        <v>15463</v>
      </c>
      <c r="M4" s="1" t="s">
        <v>1426</v>
      </c>
      <c r="N4" s="1" t="s">
        <v>1427</v>
      </c>
    </row>
    <row r="5" spans="1:15" x14ac:dyDescent="0.2">
      <c r="A5" s="1" t="s">
        <v>415</v>
      </c>
      <c r="B5" s="1" t="s">
        <v>522</v>
      </c>
      <c r="C5" s="2" t="s">
        <v>523</v>
      </c>
      <c r="D5" s="1" t="s">
        <v>524</v>
      </c>
      <c r="E5" s="1" t="s">
        <v>8</v>
      </c>
      <c r="F5" s="1" t="s">
        <v>525</v>
      </c>
      <c r="G5" s="1" t="s">
        <v>526</v>
      </c>
      <c r="I5" s="1">
        <v>1</v>
      </c>
      <c r="J5" s="1">
        <v>0</v>
      </c>
      <c r="K5" s="1">
        <v>0</v>
      </c>
      <c r="L5" s="1">
        <v>33156</v>
      </c>
      <c r="M5" s="1" t="s">
        <v>1428</v>
      </c>
      <c r="N5" s="1" t="s">
        <v>1429</v>
      </c>
      <c r="O5" s="3"/>
    </row>
    <row r="6" spans="1:15" x14ac:dyDescent="0.2">
      <c r="A6" s="1" t="s">
        <v>11</v>
      </c>
      <c r="B6" s="1" t="s">
        <v>109</v>
      </c>
      <c r="C6" s="2" t="s">
        <v>110</v>
      </c>
      <c r="D6" s="1" t="s">
        <v>111</v>
      </c>
      <c r="E6" s="1" t="s">
        <v>8</v>
      </c>
      <c r="F6" s="1" t="s">
        <v>112</v>
      </c>
      <c r="G6" s="1" t="s">
        <v>113</v>
      </c>
      <c r="I6" s="1">
        <v>1</v>
      </c>
      <c r="J6" s="1">
        <v>0</v>
      </c>
      <c r="K6" s="1">
        <v>0</v>
      </c>
      <c r="L6" s="1">
        <v>35854</v>
      </c>
      <c r="M6" s="1" t="s">
        <v>1430</v>
      </c>
      <c r="N6" s="1" t="s">
        <v>1431</v>
      </c>
      <c r="O6" s="3"/>
    </row>
    <row r="7" spans="1:15" x14ac:dyDescent="0.2">
      <c r="A7" s="1" t="s">
        <v>1178</v>
      </c>
      <c r="B7" s="1" t="s">
        <v>1233</v>
      </c>
      <c r="C7" s="2" t="s">
        <v>1234</v>
      </c>
      <c r="D7" s="1" t="s">
        <v>1235</v>
      </c>
      <c r="E7" s="1" t="s">
        <v>8</v>
      </c>
      <c r="F7" s="1" t="s">
        <v>1236</v>
      </c>
      <c r="G7" s="1" t="s">
        <v>26</v>
      </c>
      <c r="I7" s="1">
        <v>1</v>
      </c>
      <c r="J7" s="1">
        <v>0</v>
      </c>
      <c r="K7" s="1">
        <v>0</v>
      </c>
      <c r="L7" s="1">
        <v>42299</v>
      </c>
      <c r="M7" s="1" t="s">
        <v>1432</v>
      </c>
      <c r="N7" s="1" t="s">
        <v>1433</v>
      </c>
      <c r="O7" s="3"/>
    </row>
    <row r="8" spans="1:15" x14ac:dyDescent="0.2">
      <c r="A8" s="1" t="s">
        <v>415</v>
      </c>
      <c r="B8" s="1" t="s">
        <v>479</v>
      </c>
      <c r="C8" s="2" t="s">
        <v>480</v>
      </c>
      <c r="D8" s="1" t="s">
        <v>481</v>
      </c>
      <c r="E8" s="1" t="s">
        <v>8</v>
      </c>
      <c r="F8" s="1" t="s">
        <v>482</v>
      </c>
      <c r="G8" s="1" t="s">
        <v>75</v>
      </c>
      <c r="I8" s="1">
        <v>1</v>
      </c>
      <c r="J8" s="1">
        <v>0</v>
      </c>
      <c r="K8" s="1">
        <v>0</v>
      </c>
      <c r="L8" s="1">
        <v>45535</v>
      </c>
      <c r="M8" s="1" t="s">
        <v>1434</v>
      </c>
      <c r="N8" s="1" t="s">
        <v>1435</v>
      </c>
      <c r="O8" s="3"/>
    </row>
    <row r="9" spans="1:15" x14ac:dyDescent="0.2">
      <c r="A9" s="1" t="s">
        <v>666</v>
      </c>
      <c r="B9" s="1" t="s">
        <v>1078</v>
      </c>
      <c r="C9" s="2" t="s">
        <v>1079</v>
      </c>
      <c r="D9" s="1" t="s">
        <v>1080</v>
      </c>
      <c r="E9" s="1" t="s">
        <v>8</v>
      </c>
      <c r="F9" s="1" t="s">
        <v>1081</v>
      </c>
      <c r="G9" s="1" t="s">
        <v>26</v>
      </c>
      <c r="I9" s="1">
        <v>1</v>
      </c>
      <c r="J9" s="1">
        <v>0</v>
      </c>
      <c r="K9" s="1">
        <v>0</v>
      </c>
      <c r="L9" s="1">
        <v>51109</v>
      </c>
      <c r="M9" s="1" t="s">
        <v>1436</v>
      </c>
      <c r="N9" s="1" t="s">
        <v>1437</v>
      </c>
      <c r="O9" s="3"/>
    </row>
    <row r="10" spans="1:15" x14ac:dyDescent="0.2">
      <c r="A10" s="1" t="s">
        <v>11</v>
      </c>
      <c r="B10" s="1" t="s">
        <v>277</v>
      </c>
      <c r="C10" s="2" t="s">
        <v>278</v>
      </c>
      <c r="D10" s="1" t="s">
        <v>279</v>
      </c>
      <c r="E10" s="1" t="s">
        <v>8</v>
      </c>
      <c r="F10" s="1" t="s">
        <v>280</v>
      </c>
      <c r="G10" s="1" t="s">
        <v>281</v>
      </c>
      <c r="I10" s="1">
        <v>1</v>
      </c>
      <c r="J10" s="1">
        <v>0</v>
      </c>
      <c r="K10" s="1">
        <v>0</v>
      </c>
      <c r="L10" s="1">
        <v>59940</v>
      </c>
      <c r="M10" s="1" t="s">
        <v>1438</v>
      </c>
      <c r="N10" s="1" t="s">
        <v>1439</v>
      </c>
      <c r="O10" s="3"/>
    </row>
    <row r="11" spans="1:15" x14ac:dyDescent="0.2">
      <c r="A11" s="1" t="s">
        <v>666</v>
      </c>
      <c r="B11" s="1" t="s">
        <v>1032</v>
      </c>
      <c r="C11" s="2" t="s">
        <v>1033</v>
      </c>
      <c r="D11" s="1" t="s">
        <v>1034</v>
      </c>
      <c r="E11" s="1" t="s">
        <v>8</v>
      </c>
      <c r="F11" s="1" t="s">
        <v>1035</v>
      </c>
      <c r="G11" s="1" t="s">
        <v>887</v>
      </c>
      <c r="I11" s="1">
        <v>1</v>
      </c>
      <c r="J11" s="1">
        <v>0</v>
      </c>
      <c r="K11" s="1">
        <v>0</v>
      </c>
      <c r="L11" s="1">
        <v>63195</v>
      </c>
      <c r="M11" s="1" t="s">
        <v>1440</v>
      </c>
      <c r="N11" s="1" t="s">
        <v>1441</v>
      </c>
      <c r="O11" s="3"/>
    </row>
    <row r="12" spans="1:15" x14ac:dyDescent="0.2">
      <c r="A12" s="1" t="s">
        <v>11</v>
      </c>
      <c r="B12" s="1" t="s">
        <v>377</v>
      </c>
      <c r="C12" s="2" t="s">
        <v>378</v>
      </c>
      <c r="D12" s="1" t="s">
        <v>379</v>
      </c>
      <c r="E12" s="1" t="s">
        <v>8</v>
      </c>
      <c r="F12" s="1" t="s">
        <v>380</v>
      </c>
      <c r="G12" s="1" t="s">
        <v>26</v>
      </c>
      <c r="I12" s="1">
        <v>1</v>
      </c>
      <c r="J12" s="1">
        <v>0</v>
      </c>
      <c r="K12" s="1">
        <v>0</v>
      </c>
      <c r="L12" s="1">
        <v>66309</v>
      </c>
      <c r="M12" s="1" t="s">
        <v>1442</v>
      </c>
      <c r="N12" s="1" t="s">
        <v>1443</v>
      </c>
      <c r="O12" s="3"/>
    </row>
    <row r="13" spans="1:15" x14ac:dyDescent="0.2">
      <c r="A13" s="1" t="s">
        <v>666</v>
      </c>
      <c r="B13" s="1" t="s">
        <v>703</v>
      </c>
      <c r="C13" s="2" t="s">
        <v>704</v>
      </c>
      <c r="D13" s="1" t="s">
        <v>705</v>
      </c>
      <c r="E13" s="1" t="s">
        <v>8</v>
      </c>
      <c r="F13" s="1" t="s">
        <v>706</v>
      </c>
      <c r="G13" s="1" t="s">
        <v>26</v>
      </c>
      <c r="I13" s="1">
        <v>1</v>
      </c>
      <c r="J13" s="1">
        <v>0</v>
      </c>
      <c r="K13" s="1">
        <v>0</v>
      </c>
      <c r="L13" s="1">
        <v>69634</v>
      </c>
      <c r="M13" s="1" t="s">
        <v>1444</v>
      </c>
      <c r="N13" s="1" t="s">
        <v>1445</v>
      </c>
      <c r="O13" s="3"/>
    </row>
    <row r="14" spans="1:15" x14ac:dyDescent="0.2">
      <c r="A14" s="1" t="s">
        <v>11</v>
      </c>
      <c r="B14" s="1" t="s">
        <v>282</v>
      </c>
      <c r="C14" s="2" t="s">
        <v>283</v>
      </c>
      <c r="D14" s="1" t="s">
        <v>284</v>
      </c>
      <c r="E14" s="1" t="s">
        <v>8</v>
      </c>
      <c r="F14" s="1" t="s">
        <v>285</v>
      </c>
      <c r="G14" s="1" t="s">
        <v>286</v>
      </c>
      <c r="I14" s="1">
        <v>1</v>
      </c>
      <c r="J14" s="1">
        <v>0</v>
      </c>
      <c r="K14" s="1">
        <v>0</v>
      </c>
      <c r="L14" s="1">
        <v>69857</v>
      </c>
      <c r="M14" s="1" t="s">
        <v>1446</v>
      </c>
      <c r="N14" s="1" t="s">
        <v>1447</v>
      </c>
      <c r="O14" s="3"/>
    </row>
    <row r="15" spans="1:15" x14ac:dyDescent="0.2">
      <c r="A15" s="1" t="s">
        <v>415</v>
      </c>
      <c r="B15" s="1" t="s">
        <v>657</v>
      </c>
      <c r="C15" s="2" t="s">
        <v>658</v>
      </c>
      <c r="D15" s="1" t="s">
        <v>659</v>
      </c>
      <c r="E15" s="1" t="s">
        <v>8</v>
      </c>
      <c r="F15" s="1" t="s">
        <v>660</v>
      </c>
      <c r="G15" s="1" t="s">
        <v>661</v>
      </c>
      <c r="I15" s="1">
        <v>1</v>
      </c>
      <c r="J15" s="1">
        <v>0</v>
      </c>
      <c r="K15" s="1">
        <v>0</v>
      </c>
      <c r="L15" s="1">
        <v>71379</v>
      </c>
      <c r="M15" s="1" t="s">
        <v>1448</v>
      </c>
      <c r="N15" s="1" t="s">
        <v>1449</v>
      </c>
      <c r="O15" s="3"/>
    </row>
    <row r="16" spans="1:15" x14ac:dyDescent="0.2">
      <c r="A16" s="1" t="s">
        <v>415</v>
      </c>
      <c r="B16" s="1" t="s">
        <v>589</v>
      </c>
      <c r="C16" s="2" t="s">
        <v>590</v>
      </c>
      <c r="D16" s="1" t="s">
        <v>591</v>
      </c>
      <c r="E16" s="1" t="s">
        <v>8</v>
      </c>
      <c r="F16" s="1" t="s">
        <v>592</v>
      </c>
      <c r="G16" s="1" t="s">
        <v>26</v>
      </c>
      <c r="I16" s="1">
        <v>1</v>
      </c>
      <c r="J16" s="1">
        <v>0</v>
      </c>
      <c r="K16" s="1">
        <v>0</v>
      </c>
      <c r="L16" s="1">
        <v>77748</v>
      </c>
      <c r="M16" s="1" t="s">
        <v>1450</v>
      </c>
      <c r="N16" s="1" t="s">
        <v>1451</v>
      </c>
      <c r="O16" s="3"/>
    </row>
    <row r="17" spans="1:15" x14ac:dyDescent="0.2">
      <c r="A17" s="1" t="s">
        <v>1178</v>
      </c>
      <c r="B17" s="1" t="s">
        <v>1253</v>
      </c>
      <c r="C17" s="2" t="s">
        <v>1254</v>
      </c>
      <c r="D17" s="1" t="s">
        <v>1255</v>
      </c>
      <c r="E17" s="1" t="s">
        <v>8</v>
      </c>
      <c r="F17" s="1" t="s">
        <v>1256</v>
      </c>
      <c r="G17" s="1" t="s">
        <v>372</v>
      </c>
      <c r="I17" s="1">
        <v>1</v>
      </c>
      <c r="J17" s="1">
        <v>0</v>
      </c>
      <c r="K17" s="1">
        <v>0</v>
      </c>
      <c r="L17" s="1">
        <v>81799</v>
      </c>
      <c r="M17" s="1" t="s">
        <v>1452</v>
      </c>
      <c r="N17" s="1" t="s">
        <v>1453</v>
      </c>
      <c r="O17" s="3"/>
    </row>
    <row r="18" spans="1:15" x14ac:dyDescent="0.2">
      <c r="A18" s="1" t="s">
        <v>666</v>
      </c>
      <c r="B18" s="1" t="s">
        <v>904</v>
      </c>
      <c r="C18" s="2" t="s">
        <v>905</v>
      </c>
      <c r="D18" s="1" t="s">
        <v>906</v>
      </c>
      <c r="E18" s="1" t="s">
        <v>8</v>
      </c>
      <c r="F18" s="1" t="s">
        <v>907</v>
      </c>
      <c r="G18" s="1" t="s">
        <v>26</v>
      </c>
      <c r="I18" s="1">
        <v>1</v>
      </c>
      <c r="J18" s="1">
        <v>0</v>
      </c>
      <c r="K18" s="1">
        <v>0</v>
      </c>
      <c r="L18" s="1">
        <v>87926</v>
      </c>
      <c r="M18" s="1" t="s">
        <v>1454</v>
      </c>
      <c r="N18" s="1" t="s">
        <v>1455</v>
      </c>
      <c r="O18" s="3"/>
    </row>
    <row r="19" spans="1:15" x14ac:dyDescent="0.2">
      <c r="A19" s="1" t="s">
        <v>666</v>
      </c>
      <c r="B19" s="1" t="s">
        <v>748</v>
      </c>
      <c r="C19" s="2" t="s">
        <v>749</v>
      </c>
      <c r="D19" s="1" t="s">
        <v>750</v>
      </c>
      <c r="E19" s="1" t="s">
        <v>8</v>
      </c>
      <c r="F19" s="1" t="s">
        <v>751</v>
      </c>
      <c r="G19" s="1" t="s">
        <v>26</v>
      </c>
      <c r="I19" s="1">
        <v>1</v>
      </c>
      <c r="J19" s="1">
        <v>0</v>
      </c>
      <c r="K19" s="1">
        <v>0</v>
      </c>
      <c r="L19" s="1">
        <v>89359</v>
      </c>
      <c r="M19" s="1" t="s">
        <v>1456</v>
      </c>
      <c r="N19" s="1" t="s">
        <v>1457</v>
      </c>
      <c r="O19" s="3"/>
    </row>
    <row r="20" spans="1:15" x14ac:dyDescent="0.2">
      <c r="A20" s="1" t="s">
        <v>11</v>
      </c>
      <c r="B20" s="1" t="s">
        <v>389</v>
      </c>
      <c r="C20" s="2" t="s">
        <v>390</v>
      </c>
      <c r="D20" s="1" t="s">
        <v>391</v>
      </c>
      <c r="E20" s="1" t="s">
        <v>8</v>
      </c>
      <c r="F20" s="1" t="s">
        <v>392</v>
      </c>
      <c r="G20" s="1" t="s">
        <v>80</v>
      </c>
      <c r="I20" s="1">
        <v>1</v>
      </c>
      <c r="J20" s="1">
        <v>0</v>
      </c>
      <c r="K20" s="1">
        <v>0</v>
      </c>
      <c r="L20" s="1">
        <v>93505</v>
      </c>
      <c r="M20" s="1" t="s">
        <v>1458</v>
      </c>
      <c r="N20" s="1" t="s">
        <v>1459</v>
      </c>
      <c r="O20" s="3"/>
    </row>
    <row r="21" spans="1:15" ht="21" customHeight="1" x14ac:dyDescent="0.2">
      <c r="A21" s="1" t="s">
        <v>666</v>
      </c>
      <c r="B21" s="1" t="s">
        <v>851</v>
      </c>
      <c r="C21" s="2" t="s">
        <v>852</v>
      </c>
      <c r="D21" s="1" t="s">
        <v>853</v>
      </c>
      <c r="E21" s="1" t="s">
        <v>8</v>
      </c>
      <c r="F21" s="1" t="s">
        <v>854</v>
      </c>
      <c r="G21" s="1" t="s">
        <v>661</v>
      </c>
      <c r="I21" s="1">
        <v>1</v>
      </c>
      <c r="J21" s="1">
        <v>0</v>
      </c>
      <c r="K21" s="1">
        <v>0</v>
      </c>
      <c r="L21" s="1">
        <v>96956</v>
      </c>
      <c r="M21" s="1" t="s">
        <v>1460</v>
      </c>
      <c r="N21" s="1" t="s">
        <v>1461</v>
      </c>
      <c r="O21" s="3"/>
    </row>
    <row r="22" spans="1:15" ht="21" customHeight="1" x14ac:dyDescent="0.2">
      <c r="A22" s="1" t="s">
        <v>11</v>
      </c>
      <c r="B22" s="1" t="s">
        <v>246</v>
      </c>
      <c r="C22" s="2" t="s">
        <v>247</v>
      </c>
      <c r="D22" s="1" t="s">
        <v>248</v>
      </c>
      <c r="E22" s="1" t="s">
        <v>8</v>
      </c>
      <c r="F22" s="1" t="s">
        <v>249</v>
      </c>
      <c r="G22" s="1" t="s">
        <v>250</v>
      </c>
      <c r="I22" s="1">
        <v>1</v>
      </c>
      <c r="J22" s="1">
        <v>0</v>
      </c>
      <c r="K22" s="1">
        <v>0</v>
      </c>
      <c r="L22" s="1">
        <v>101391</v>
      </c>
      <c r="M22" s="1" t="s">
        <v>1462</v>
      </c>
      <c r="N22" s="1" t="s">
        <v>1463</v>
      </c>
      <c r="O22" s="3"/>
    </row>
    <row r="23" spans="1:15" ht="21" customHeight="1" x14ac:dyDescent="0.2">
      <c r="A23" s="1" t="s">
        <v>415</v>
      </c>
      <c r="B23" s="1" t="s">
        <v>509</v>
      </c>
      <c r="C23" s="2" t="s">
        <v>510</v>
      </c>
      <c r="D23" s="1" t="s">
        <v>511</v>
      </c>
      <c r="E23" s="1" t="s">
        <v>8</v>
      </c>
      <c r="F23" s="1" t="s">
        <v>512</v>
      </c>
      <c r="G23" s="1" t="s">
        <v>513</v>
      </c>
      <c r="I23" s="1">
        <v>1</v>
      </c>
      <c r="J23" s="1">
        <v>0</v>
      </c>
      <c r="K23" s="1">
        <v>0</v>
      </c>
      <c r="L23" s="1">
        <v>102305</v>
      </c>
      <c r="M23" s="1" t="s">
        <v>1464</v>
      </c>
      <c r="N23" s="1" t="s">
        <v>1465</v>
      </c>
      <c r="O23" s="3"/>
    </row>
    <row r="24" spans="1:15" ht="21" customHeight="1" x14ac:dyDescent="0.2">
      <c r="A24" s="1" t="s">
        <v>1178</v>
      </c>
      <c r="B24" s="1" t="s">
        <v>1396</v>
      </c>
      <c r="C24" s="2" t="s">
        <v>1397</v>
      </c>
      <c r="D24" s="1" t="s">
        <v>1398</v>
      </c>
      <c r="E24" s="1" t="s">
        <v>8</v>
      </c>
      <c r="F24" s="1" t="s">
        <v>1399</v>
      </c>
      <c r="G24" s="1" t="s">
        <v>26</v>
      </c>
      <c r="I24" s="1">
        <v>1</v>
      </c>
      <c r="J24" s="1">
        <v>0</v>
      </c>
      <c r="K24" s="1">
        <v>0</v>
      </c>
      <c r="L24" s="1">
        <v>103696</v>
      </c>
      <c r="M24" s="1" t="s">
        <v>1466</v>
      </c>
      <c r="N24" s="1" t="s">
        <v>1467</v>
      </c>
      <c r="O24" s="3"/>
    </row>
    <row r="25" spans="1:15" ht="21" customHeight="1" x14ac:dyDescent="0.2">
      <c r="A25" s="1" t="s">
        <v>1178</v>
      </c>
      <c r="B25" s="1" t="s">
        <v>1328</v>
      </c>
      <c r="C25" s="2" t="s">
        <v>1329</v>
      </c>
      <c r="D25" s="1" t="s">
        <v>1330</v>
      </c>
      <c r="E25" s="1" t="s">
        <v>8</v>
      </c>
      <c r="F25" s="1" t="s">
        <v>1331</v>
      </c>
      <c r="G25" s="1" t="s">
        <v>26</v>
      </c>
      <c r="I25" s="1">
        <v>1</v>
      </c>
      <c r="J25" s="1">
        <v>0</v>
      </c>
      <c r="K25" s="1">
        <v>0</v>
      </c>
      <c r="L25" s="1">
        <v>103816</v>
      </c>
      <c r="M25" s="1" t="s">
        <v>1468</v>
      </c>
      <c r="N25" s="1" t="s">
        <v>1469</v>
      </c>
      <c r="O25" s="3"/>
    </row>
    <row r="26" spans="1:15" ht="21" customHeight="1" x14ac:dyDescent="0.2">
      <c r="A26" s="1" t="s">
        <v>1178</v>
      </c>
      <c r="B26" s="1" t="s">
        <v>1400</v>
      </c>
      <c r="C26" s="2" t="s">
        <v>1401</v>
      </c>
      <c r="D26" s="1" t="s">
        <v>1402</v>
      </c>
      <c r="E26" s="1" t="s">
        <v>8</v>
      </c>
      <c r="F26" s="1" t="s">
        <v>1403</v>
      </c>
      <c r="G26" s="1" t="s">
        <v>75</v>
      </c>
      <c r="I26" s="1">
        <v>1</v>
      </c>
      <c r="J26" s="1">
        <v>0</v>
      </c>
      <c r="K26" s="1">
        <v>0</v>
      </c>
      <c r="L26" s="1">
        <v>111241</v>
      </c>
      <c r="M26" s="1" t="s">
        <v>1470</v>
      </c>
      <c r="N26" s="1" t="s">
        <v>1471</v>
      </c>
      <c r="O26" s="3"/>
    </row>
    <row r="27" spans="1:15" ht="21" customHeight="1" x14ac:dyDescent="0.2">
      <c r="A27" s="1" t="s">
        <v>11</v>
      </c>
      <c r="B27" s="1" t="s">
        <v>187</v>
      </c>
      <c r="C27" s="1" t="s">
        <v>188</v>
      </c>
      <c r="D27" s="1" t="s">
        <v>189</v>
      </c>
      <c r="E27" s="1" t="s">
        <v>8</v>
      </c>
      <c r="F27" s="1" t="s">
        <v>190</v>
      </c>
      <c r="G27" s="1" t="s">
        <v>191</v>
      </c>
      <c r="I27" s="1">
        <v>1</v>
      </c>
      <c r="J27" s="1">
        <v>0</v>
      </c>
      <c r="K27" s="1">
        <v>0</v>
      </c>
      <c r="L27" s="1">
        <v>116214</v>
      </c>
      <c r="M27" s="1" t="s">
        <v>1472</v>
      </c>
      <c r="N27" s="1" t="s">
        <v>1473</v>
      </c>
      <c r="O27" s="3"/>
    </row>
    <row r="28" spans="1:15" ht="21" customHeight="1" x14ac:dyDescent="0.2">
      <c r="A28" s="1" t="s">
        <v>1178</v>
      </c>
      <c r="B28" s="1" t="s">
        <v>1216</v>
      </c>
      <c r="C28" s="2" t="s">
        <v>1217</v>
      </c>
      <c r="D28" s="1" t="s">
        <v>1218</v>
      </c>
      <c r="E28" s="1" t="s">
        <v>8</v>
      </c>
      <c r="F28" s="1" t="s">
        <v>1219</v>
      </c>
      <c r="G28" s="1" t="s">
        <v>26</v>
      </c>
      <c r="I28" s="1">
        <v>1</v>
      </c>
      <c r="J28" s="1">
        <v>0</v>
      </c>
      <c r="K28" s="1">
        <v>0</v>
      </c>
      <c r="L28" s="1">
        <v>120502</v>
      </c>
      <c r="M28" s="1" t="s">
        <v>1474</v>
      </c>
      <c r="N28" s="1" t="s">
        <v>1475</v>
      </c>
      <c r="O28" s="3"/>
    </row>
    <row r="29" spans="1:15" ht="21" customHeight="1" x14ac:dyDescent="0.2">
      <c r="A29" s="1" t="s">
        <v>1178</v>
      </c>
      <c r="B29" s="1" t="s">
        <v>1228</v>
      </c>
      <c r="C29" s="2" t="s">
        <v>1229</v>
      </c>
      <c r="D29" s="1" t="s">
        <v>1230</v>
      </c>
      <c r="E29" s="1" t="s">
        <v>8</v>
      </c>
      <c r="F29" s="1" t="s">
        <v>1231</v>
      </c>
      <c r="G29" s="1" t="s">
        <v>1232</v>
      </c>
      <c r="I29" s="1">
        <v>1</v>
      </c>
      <c r="J29" s="1">
        <v>0</v>
      </c>
      <c r="K29" s="1">
        <v>0</v>
      </c>
      <c r="L29" s="1">
        <v>124036</v>
      </c>
      <c r="M29" s="1" t="s">
        <v>1476</v>
      </c>
      <c r="N29" s="1" t="s">
        <v>1477</v>
      </c>
      <c r="O29" s="3"/>
    </row>
    <row r="30" spans="1:15" ht="21" customHeight="1" x14ac:dyDescent="0.2">
      <c r="A30" s="1" t="s">
        <v>11</v>
      </c>
      <c r="B30" s="1" t="s">
        <v>66</v>
      </c>
      <c r="C30" s="2" t="s">
        <v>67</v>
      </c>
      <c r="D30" s="1" t="s">
        <v>68</v>
      </c>
      <c r="E30" s="1" t="s">
        <v>8</v>
      </c>
      <c r="F30" s="1" t="s">
        <v>69</v>
      </c>
      <c r="G30" s="1" t="s">
        <v>70</v>
      </c>
      <c r="I30" s="1">
        <v>1</v>
      </c>
      <c r="J30" s="1">
        <v>0</v>
      </c>
      <c r="K30" s="1">
        <v>0</v>
      </c>
      <c r="L30" s="1">
        <v>124334</v>
      </c>
      <c r="M30" s="1" t="s">
        <v>1478</v>
      </c>
      <c r="N30" s="1" t="s">
        <v>1479</v>
      </c>
      <c r="O30" s="3"/>
    </row>
    <row r="31" spans="1:15" ht="21" customHeight="1" x14ac:dyDescent="0.2">
      <c r="A31" s="1" t="s">
        <v>666</v>
      </c>
      <c r="B31" s="1" t="s">
        <v>687</v>
      </c>
      <c r="C31" s="2" t="s">
        <v>688</v>
      </c>
      <c r="D31" s="1" t="s">
        <v>689</v>
      </c>
      <c r="E31" s="1" t="s">
        <v>8</v>
      </c>
      <c r="F31" s="1" t="s">
        <v>690</v>
      </c>
      <c r="G31" s="1" t="s">
        <v>227</v>
      </c>
      <c r="I31" s="1">
        <v>1</v>
      </c>
      <c r="J31" s="1">
        <v>0</v>
      </c>
      <c r="K31" s="1">
        <v>0</v>
      </c>
      <c r="L31" s="1">
        <v>124469</v>
      </c>
      <c r="M31" s="1" t="s">
        <v>1480</v>
      </c>
      <c r="N31" s="1" t="s">
        <v>1481</v>
      </c>
      <c r="O31" s="3"/>
    </row>
    <row r="32" spans="1:15" ht="21" customHeight="1" x14ac:dyDescent="0.2">
      <c r="A32" s="1" t="s">
        <v>1178</v>
      </c>
      <c r="B32" s="1" t="s">
        <v>1261</v>
      </c>
      <c r="C32" s="2" t="s">
        <v>1262</v>
      </c>
      <c r="D32" s="1" t="s">
        <v>1263</v>
      </c>
      <c r="E32" s="1" t="s">
        <v>8</v>
      </c>
      <c r="F32" s="1" t="s">
        <v>1264</v>
      </c>
      <c r="G32" s="1" t="s">
        <v>887</v>
      </c>
      <c r="I32" s="1">
        <v>1</v>
      </c>
      <c r="J32" s="1">
        <v>0</v>
      </c>
      <c r="K32" s="1">
        <v>0</v>
      </c>
      <c r="L32" s="1">
        <v>129566</v>
      </c>
      <c r="M32" s="1" t="s">
        <v>1482</v>
      </c>
      <c r="N32" s="1" t="s">
        <v>1483</v>
      </c>
      <c r="O32" s="3"/>
    </row>
    <row r="33" spans="1:15" ht="21" customHeight="1" x14ac:dyDescent="0.2">
      <c r="A33" s="1" t="s">
        <v>11</v>
      </c>
      <c r="B33" s="1" t="s">
        <v>164</v>
      </c>
      <c r="C33" s="2" t="s">
        <v>165</v>
      </c>
      <c r="D33" s="1" t="s">
        <v>166</v>
      </c>
      <c r="E33" s="1" t="s">
        <v>8</v>
      </c>
      <c r="F33" s="1" t="s">
        <v>167</v>
      </c>
      <c r="G33" s="1" t="s">
        <v>168</v>
      </c>
      <c r="I33" s="1">
        <v>1</v>
      </c>
      <c r="J33" s="1">
        <v>0</v>
      </c>
      <c r="K33" s="1">
        <v>0</v>
      </c>
      <c r="L33" s="1">
        <v>130498</v>
      </c>
      <c r="M33" s="1" t="s">
        <v>1484</v>
      </c>
      <c r="N33" s="1" t="s">
        <v>1485</v>
      </c>
      <c r="O33" s="3"/>
    </row>
    <row r="34" spans="1:15" ht="21" customHeight="1" x14ac:dyDescent="0.2">
      <c r="A34" s="1" t="s">
        <v>1178</v>
      </c>
      <c r="B34" s="1" t="s">
        <v>1345</v>
      </c>
      <c r="C34" s="2" t="s">
        <v>1346</v>
      </c>
      <c r="D34" s="1" t="s">
        <v>1347</v>
      </c>
      <c r="E34" s="1" t="s">
        <v>8</v>
      </c>
      <c r="F34" s="1" t="s">
        <v>1348</v>
      </c>
      <c r="G34" s="1" t="s">
        <v>999</v>
      </c>
      <c r="I34" s="1">
        <v>1</v>
      </c>
      <c r="J34" s="1">
        <v>0</v>
      </c>
      <c r="K34" s="1">
        <v>0</v>
      </c>
      <c r="L34" s="1">
        <v>134383</v>
      </c>
      <c r="M34" s="1" t="s">
        <v>1486</v>
      </c>
      <c r="N34" s="1" t="s">
        <v>1487</v>
      </c>
      <c r="O34" s="3"/>
    </row>
    <row r="35" spans="1:15" ht="21" customHeight="1" x14ac:dyDescent="0.2">
      <c r="A35" s="1" t="s">
        <v>11</v>
      </c>
      <c r="B35" s="1" t="s">
        <v>393</v>
      </c>
      <c r="C35" s="2" t="s">
        <v>394</v>
      </c>
      <c r="D35" s="1" t="s">
        <v>395</v>
      </c>
      <c r="E35" s="1" t="s">
        <v>8</v>
      </c>
      <c r="F35" s="1" t="s">
        <v>396</v>
      </c>
      <c r="G35" s="1" t="s">
        <v>108</v>
      </c>
      <c r="I35" s="1">
        <v>1</v>
      </c>
      <c r="J35" s="1">
        <v>0</v>
      </c>
      <c r="K35" s="1">
        <v>0</v>
      </c>
      <c r="L35" s="1">
        <v>142791</v>
      </c>
      <c r="M35" s="1" t="s">
        <v>1488</v>
      </c>
      <c r="N35" s="1" t="s">
        <v>1489</v>
      </c>
      <c r="O35" s="3"/>
    </row>
    <row r="36" spans="1:15" ht="21" customHeight="1" x14ac:dyDescent="0.2">
      <c r="A36" s="1" t="s">
        <v>666</v>
      </c>
      <c r="B36" s="1" t="s">
        <v>1091</v>
      </c>
      <c r="C36" s="2" t="s">
        <v>1092</v>
      </c>
      <c r="D36" s="1" t="s">
        <v>1093</v>
      </c>
      <c r="E36" s="1" t="s">
        <v>8</v>
      </c>
      <c r="F36" s="1" t="s">
        <v>1094</v>
      </c>
      <c r="G36" s="1" t="s">
        <v>150</v>
      </c>
      <c r="I36" s="1">
        <v>1</v>
      </c>
      <c r="J36" s="1">
        <v>0</v>
      </c>
      <c r="K36" s="1">
        <v>0</v>
      </c>
      <c r="L36" s="1">
        <v>144025</v>
      </c>
      <c r="M36" s="1" t="s">
        <v>1490</v>
      </c>
      <c r="N36" s="1" t="s">
        <v>1491</v>
      </c>
      <c r="O36" s="3"/>
    </row>
    <row r="37" spans="1:15" ht="21" customHeight="1" x14ac:dyDescent="0.2">
      <c r="A37" s="1" t="s">
        <v>666</v>
      </c>
      <c r="B37" s="1" t="s">
        <v>879</v>
      </c>
      <c r="C37" s="2" t="s">
        <v>880</v>
      </c>
      <c r="D37" s="1" t="s">
        <v>881</v>
      </c>
      <c r="E37" s="1" t="s">
        <v>8</v>
      </c>
      <c r="F37" s="1" t="s">
        <v>882</v>
      </c>
      <c r="G37" s="1" t="s">
        <v>453</v>
      </c>
      <c r="I37" s="1">
        <v>1</v>
      </c>
      <c r="J37" s="1">
        <v>0</v>
      </c>
      <c r="K37" s="1">
        <v>0</v>
      </c>
      <c r="L37" s="1">
        <v>153202</v>
      </c>
      <c r="M37" s="1" t="s">
        <v>1492</v>
      </c>
      <c r="N37" s="1" t="s">
        <v>1493</v>
      </c>
      <c r="O37" s="3"/>
    </row>
    <row r="38" spans="1:15" ht="21" customHeight="1" x14ac:dyDescent="0.2">
      <c r="A38" s="1" t="s">
        <v>666</v>
      </c>
      <c r="B38" s="1" t="s">
        <v>691</v>
      </c>
      <c r="C38" s="2" t="s">
        <v>692</v>
      </c>
      <c r="D38" s="1" t="s">
        <v>693</v>
      </c>
      <c r="E38" s="1" t="s">
        <v>8</v>
      </c>
      <c r="F38" s="1" t="s">
        <v>694</v>
      </c>
      <c r="G38" s="1" t="s">
        <v>26</v>
      </c>
      <c r="I38" s="1">
        <v>1</v>
      </c>
      <c r="J38" s="1">
        <v>0</v>
      </c>
      <c r="K38" s="1">
        <v>0</v>
      </c>
      <c r="L38" s="1">
        <v>155189</v>
      </c>
      <c r="M38" s="1" t="s">
        <v>1494</v>
      </c>
      <c r="N38" s="1" t="s">
        <v>1495</v>
      </c>
      <c r="O38" s="3"/>
    </row>
    <row r="39" spans="1:15" ht="21" customHeight="1" x14ac:dyDescent="0.2">
      <c r="A39" s="1" t="s">
        <v>666</v>
      </c>
      <c r="B39" s="1" t="s">
        <v>1086</v>
      </c>
      <c r="C39" s="2" t="s">
        <v>1087</v>
      </c>
      <c r="D39" s="1" t="s">
        <v>1088</v>
      </c>
      <c r="E39" s="1" t="s">
        <v>8</v>
      </c>
      <c r="F39" s="1" t="s">
        <v>1089</v>
      </c>
      <c r="G39" s="1" t="s">
        <v>1090</v>
      </c>
      <c r="I39" s="1">
        <v>1</v>
      </c>
      <c r="J39" s="1">
        <v>0</v>
      </c>
      <c r="K39" s="1">
        <v>0</v>
      </c>
      <c r="L39" s="1">
        <v>157981</v>
      </c>
      <c r="M39" s="1" t="s">
        <v>1496</v>
      </c>
      <c r="N39" s="1" t="s">
        <v>1497</v>
      </c>
      <c r="O39" s="3"/>
    </row>
    <row r="40" spans="1:15" ht="21" customHeight="1" x14ac:dyDescent="0.2">
      <c r="A40" s="1" t="s">
        <v>1178</v>
      </c>
      <c r="B40" s="1" t="s">
        <v>1376</v>
      </c>
      <c r="C40" s="2" t="s">
        <v>1377</v>
      </c>
      <c r="D40" s="1" t="s">
        <v>1378</v>
      </c>
      <c r="E40" s="1" t="s">
        <v>8</v>
      </c>
      <c r="F40" s="1" t="s">
        <v>1379</v>
      </c>
      <c r="G40" s="1" t="s">
        <v>26</v>
      </c>
      <c r="I40" s="1">
        <v>1</v>
      </c>
      <c r="J40" s="1">
        <v>0</v>
      </c>
      <c r="K40" s="1">
        <v>0</v>
      </c>
      <c r="L40" s="1">
        <v>171776</v>
      </c>
      <c r="M40" s="1" t="s">
        <v>1498</v>
      </c>
      <c r="N40" s="1" t="s">
        <v>1499</v>
      </c>
      <c r="O40" s="3"/>
    </row>
    <row r="41" spans="1:15" ht="21" customHeight="1" x14ac:dyDescent="0.2">
      <c r="A41" s="1" t="s">
        <v>1178</v>
      </c>
      <c r="B41" s="1" t="s">
        <v>1282</v>
      </c>
      <c r="C41" s="2" t="s">
        <v>1283</v>
      </c>
      <c r="D41" s="1" t="s">
        <v>1284</v>
      </c>
      <c r="E41" s="1" t="s">
        <v>8</v>
      </c>
      <c r="F41" s="1" t="s">
        <v>1285</v>
      </c>
      <c r="G41" s="1" t="s">
        <v>1286</v>
      </c>
      <c r="I41" s="1">
        <v>1</v>
      </c>
      <c r="J41" s="1">
        <v>0</v>
      </c>
      <c r="K41" s="1">
        <v>0</v>
      </c>
      <c r="L41" s="1">
        <v>178345</v>
      </c>
      <c r="M41" s="1" t="s">
        <v>1500</v>
      </c>
      <c r="N41" s="1" t="s">
        <v>1501</v>
      </c>
      <c r="O41" s="3"/>
    </row>
    <row r="42" spans="1:15" ht="21" customHeight="1" x14ac:dyDescent="0.2"/>
    <row r="43" spans="1:15" ht="21" customHeight="1" x14ac:dyDescent="0.2"/>
    <row r="44" spans="1:15" ht="21" customHeight="1" x14ac:dyDescent="0.2"/>
    <row r="45" spans="1:15" ht="21" customHeight="1" x14ac:dyDescent="0.2"/>
    <row r="46" spans="1:15" ht="21" customHeight="1" x14ac:dyDescent="0.2"/>
    <row r="47" spans="1:15" ht="21" customHeight="1" x14ac:dyDescent="0.2"/>
    <row r="48" spans="1:15" ht="21" customHeight="1" x14ac:dyDescent="0.2"/>
    <row r="49" ht="21" customHeight="1" x14ac:dyDescent="0.2"/>
    <row r="50" ht="21" customHeight="1" x14ac:dyDescent="0.2"/>
    <row r="51" ht="21" customHeight="1" x14ac:dyDescent="0.2"/>
    <row r="52" ht="21" customHeight="1" x14ac:dyDescent="0.2"/>
    <row r="53" ht="21" customHeight="1" x14ac:dyDescent="0.2"/>
    <row r="54" ht="21" customHeight="1" x14ac:dyDescent="0.2"/>
    <row r="55" ht="21" customHeight="1" x14ac:dyDescent="0.2"/>
    <row r="56" ht="21" customHeight="1" x14ac:dyDescent="0.2"/>
    <row r="57" ht="21" customHeight="1" x14ac:dyDescent="0.2"/>
    <row r="58" ht="21" customHeight="1" x14ac:dyDescent="0.2"/>
    <row r="59" ht="21" customHeight="1" x14ac:dyDescent="0.2"/>
    <row r="60" ht="21" customHeight="1" x14ac:dyDescent="0.2"/>
    <row r="61" ht="21" customHeight="1" x14ac:dyDescent="0.2"/>
    <row r="62" ht="21" customHeight="1" x14ac:dyDescent="0.2"/>
    <row r="63" ht="21" customHeight="1" x14ac:dyDescent="0.2"/>
    <row r="64" ht="21" customHeight="1" x14ac:dyDescent="0.2"/>
    <row r="65" ht="21" customHeight="1" x14ac:dyDescent="0.2"/>
    <row r="66" ht="21" customHeight="1" x14ac:dyDescent="0.2"/>
    <row r="67" ht="21" customHeight="1" x14ac:dyDescent="0.2"/>
    <row r="68" ht="21" customHeight="1" x14ac:dyDescent="0.2"/>
    <row r="69" ht="21" customHeight="1" x14ac:dyDescent="0.2"/>
    <row r="70" ht="21" customHeight="1" x14ac:dyDescent="0.2"/>
    <row r="71" ht="21" customHeight="1" x14ac:dyDescent="0.2"/>
    <row r="72" ht="21" customHeight="1" x14ac:dyDescent="0.2"/>
    <row r="73" ht="21" customHeight="1" x14ac:dyDescent="0.2"/>
    <row r="74" ht="21" customHeight="1" x14ac:dyDescent="0.2"/>
    <row r="75" ht="21" customHeight="1" x14ac:dyDescent="0.2"/>
    <row r="76" ht="21" customHeight="1" x14ac:dyDescent="0.2"/>
    <row r="77" ht="21" customHeight="1" x14ac:dyDescent="0.2"/>
    <row r="78" ht="21" customHeight="1" x14ac:dyDescent="0.2"/>
    <row r="79" ht="21" customHeight="1" x14ac:dyDescent="0.2"/>
    <row r="80" ht="21" customHeight="1" x14ac:dyDescent="0.2"/>
    <row r="81" ht="21" customHeight="1" x14ac:dyDescent="0.2"/>
    <row r="82" ht="21" customHeight="1" x14ac:dyDescent="0.2"/>
    <row r="83" ht="21" customHeight="1" x14ac:dyDescent="0.2"/>
    <row r="84" ht="21" customHeight="1" x14ac:dyDescent="0.2"/>
    <row r="85" ht="21" customHeight="1" x14ac:dyDescent="0.2"/>
    <row r="86" ht="21" customHeight="1" x14ac:dyDescent="0.2"/>
    <row r="87" ht="21" customHeight="1" x14ac:dyDescent="0.2"/>
    <row r="88" ht="21" customHeight="1" x14ac:dyDescent="0.2"/>
    <row r="89" ht="21" customHeight="1" x14ac:dyDescent="0.2"/>
    <row r="90" ht="21" customHeight="1" x14ac:dyDescent="0.2"/>
    <row r="91" ht="21" customHeight="1" x14ac:dyDescent="0.2"/>
    <row r="92" ht="21" customHeight="1" x14ac:dyDescent="0.2"/>
    <row r="93" ht="21" customHeight="1" x14ac:dyDescent="0.2"/>
    <row r="94" ht="21" customHeight="1" x14ac:dyDescent="0.2"/>
    <row r="95" ht="21" customHeight="1" x14ac:dyDescent="0.2"/>
    <row r="96" ht="21" customHeight="1" x14ac:dyDescent="0.2"/>
    <row r="97" ht="21" customHeight="1" x14ac:dyDescent="0.2"/>
    <row r="98" ht="21" customHeight="1" x14ac:dyDescent="0.2"/>
    <row r="99" ht="21" customHeight="1" x14ac:dyDescent="0.2"/>
    <row r="100" ht="21" customHeight="1" x14ac:dyDescent="0.2"/>
    <row r="101" ht="21" customHeight="1" x14ac:dyDescent="0.2"/>
    <row r="102" ht="21" customHeight="1" x14ac:dyDescent="0.2"/>
    <row r="103" ht="21" customHeight="1" x14ac:dyDescent="0.2"/>
    <row r="104" ht="21" customHeight="1" x14ac:dyDescent="0.2"/>
    <row r="105" ht="21" customHeight="1" x14ac:dyDescent="0.2"/>
    <row r="106" ht="21" customHeight="1" x14ac:dyDescent="0.2"/>
    <row r="107" ht="21" customHeight="1" x14ac:dyDescent="0.2"/>
    <row r="108" ht="21" customHeight="1" x14ac:dyDescent="0.2"/>
    <row r="109" ht="21" customHeight="1" x14ac:dyDescent="0.2"/>
    <row r="110" ht="21" customHeight="1" x14ac:dyDescent="0.2"/>
    <row r="111" ht="21" customHeight="1" x14ac:dyDescent="0.2"/>
    <row r="112" ht="21" customHeight="1" x14ac:dyDescent="0.2"/>
    <row r="113" ht="21" customHeight="1" x14ac:dyDescent="0.2"/>
    <row r="114" ht="21" customHeight="1" x14ac:dyDescent="0.2"/>
    <row r="115" ht="21" customHeight="1" x14ac:dyDescent="0.2"/>
    <row r="116" ht="21" customHeight="1" x14ac:dyDescent="0.2"/>
    <row r="117" ht="21" customHeight="1" x14ac:dyDescent="0.2"/>
    <row r="118" ht="21" customHeight="1" x14ac:dyDescent="0.2"/>
    <row r="119" ht="21" customHeight="1" x14ac:dyDescent="0.2"/>
    <row r="120" ht="21" customHeight="1" x14ac:dyDescent="0.2"/>
    <row r="121" ht="21" customHeight="1" x14ac:dyDescent="0.2"/>
    <row r="122" ht="21" customHeight="1" x14ac:dyDescent="0.2"/>
    <row r="123" ht="21" customHeight="1" x14ac:dyDescent="0.2"/>
    <row r="124" ht="21" customHeight="1" x14ac:dyDescent="0.2"/>
    <row r="125" ht="21" customHeight="1" x14ac:dyDescent="0.2"/>
    <row r="126" ht="21" customHeight="1" x14ac:dyDescent="0.2"/>
    <row r="127" ht="21" customHeight="1" x14ac:dyDescent="0.2"/>
    <row r="128" ht="21" customHeight="1" x14ac:dyDescent="0.2"/>
    <row r="129" ht="21" customHeight="1" x14ac:dyDescent="0.2"/>
    <row r="130" ht="21" customHeight="1" x14ac:dyDescent="0.2"/>
    <row r="131" ht="21" customHeight="1" x14ac:dyDescent="0.2"/>
    <row r="132" ht="21" customHeight="1" x14ac:dyDescent="0.2"/>
    <row r="133" ht="21" customHeight="1" x14ac:dyDescent="0.2"/>
    <row r="134" ht="21" customHeight="1" x14ac:dyDescent="0.2"/>
    <row r="135" ht="21" customHeight="1" x14ac:dyDescent="0.2"/>
    <row r="136" ht="21" customHeight="1" x14ac:dyDescent="0.2"/>
    <row r="137" ht="21" customHeight="1" x14ac:dyDescent="0.2"/>
    <row r="138" ht="21" customHeight="1" x14ac:dyDescent="0.2"/>
    <row r="139" ht="21" customHeight="1" x14ac:dyDescent="0.2"/>
    <row r="140" ht="21" customHeight="1" x14ac:dyDescent="0.2"/>
    <row r="141" ht="21" customHeight="1" x14ac:dyDescent="0.2"/>
    <row r="142" ht="21" customHeight="1" x14ac:dyDescent="0.2"/>
    <row r="143" ht="21" customHeight="1" x14ac:dyDescent="0.2"/>
    <row r="144" ht="21" customHeight="1" x14ac:dyDescent="0.2"/>
    <row r="145" ht="21" customHeight="1" x14ac:dyDescent="0.2"/>
    <row r="146" ht="21" customHeight="1" x14ac:dyDescent="0.2"/>
    <row r="147" ht="21" customHeight="1" x14ac:dyDescent="0.2"/>
    <row r="148" ht="21" customHeight="1" x14ac:dyDescent="0.2"/>
    <row r="149" ht="21" customHeight="1" x14ac:dyDescent="0.2"/>
    <row r="150" ht="21" customHeight="1" x14ac:dyDescent="0.2"/>
    <row r="151" ht="21" customHeight="1" x14ac:dyDescent="0.2"/>
    <row r="152" ht="21" customHeight="1" x14ac:dyDescent="0.2"/>
    <row r="153" ht="21" customHeight="1" x14ac:dyDescent="0.2"/>
    <row r="154" ht="21" customHeight="1" x14ac:dyDescent="0.2"/>
    <row r="155" ht="21" customHeight="1" x14ac:dyDescent="0.2"/>
    <row r="156" ht="21" customHeight="1" x14ac:dyDescent="0.2"/>
    <row r="157" ht="21" customHeight="1" x14ac:dyDescent="0.2"/>
    <row r="158" ht="21" customHeight="1" x14ac:dyDescent="0.2"/>
    <row r="159" ht="21" customHeight="1" x14ac:dyDescent="0.2"/>
    <row r="160" ht="21" customHeight="1" x14ac:dyDescent="0.2"/>
    <row r="161" ht="21" customHeight="1" x14ac:dyDescent="0.2"/>
    <row r="162" ht="21" customHeight="1" x14ac:dyDescent="0.2"/>
    <row r="163" ht="21" customHeight="1" x14ac:dyDescent="0.2"/>
    <row r="164" ht="21" customHeight="1" x14ac:dyDescent="0.2"/>
    <row r="165" ht="21" customHeight="1" x14ac:dyDescent="0.2"/>
    <row r="166" ht="21" customHeight="1" x14ac:dyDescent="0.2"/>
    <row r="167" ht="21" customHeight="1" x14ac:dyDescent="0.2"/>
    <row r="168" ht="21" customHeight="1" x14ac:dyDescent="0.2"/>
    <row r="169" ht="21" customHeight="1" x14ac:dyDescent="0.2"/>
    <row r="170" ht="21" customHeight="1" x14ac:dyDescent="0.2"/>
    <row r="171" ht="21" customHeight="1" x14ac:dyDescent="0.2"/>
    <row r="172" ht="21" customHeight="1" x14ac:dyDescent="0.2"/>
    <row r="173" ht="21" customHeight="1" x14ac:dyDescent="0.2"/>
    <row r="174" ht="21" customHeight="1" x14ac:dyDescent="0.2"/>
    <row r="175" ht="21" customHeight="1" x14ac:dyDescent="0.2"/>
    <row r="176" ht="21" customHeight="1" x14ac:dyDescent="0.2"/>
    <row r="177" ht="21" customHeight="1" x14ac:dyDescent="0.2"/>
    <row r="178" ht="21" customHeight="1" x14ac:dyDescent="0.2"/>
    <row r="179" ht="21" customHeight="1" x14ac:dyDescent="0.2"/>
    <row r="180" ht="21" customHeight="1" x14ac:dyDescent="0.2"/>
    <row r="181" ht="21" customHeight="1" x14ac:dyDescent="0.2"/>
    <row r="182" ht="21" customHeight="1" x14ac:dyDescent="0.2"/>
    <row r="183" ht="21" customHeight="1" x14ac:dyDescent="0.2"/>
    <row r="184" ht="21" customHeight="1" x14ac:dyDescent="0.2"/>
    <row r="185" ht="21" customHeight="1" x14ac:dyDescent="0.2"/>
    <row r="186" ht="21" customHeight="1" x14ac:dyDescent="0.2"/>
    <row r="187" ht="21" customHeight="1" x14ac:dyDescent="0.2"/>
    <row r="188" ht="21" customHeight="1" x14ac:dyDescent="0.2"/>
    <row r="189" ht="21" customHeight="1" x14ac:dyDescent="0.2"/>
    <row r="190" ht="21" customHeight="1" x14ac:dyDescent="0.2"/>
    <row r="191" ht="21" customHeight="1" x14ac:dyDescent="0.2"/>
    <row r="192" ht="21" customHeight="1" x14ac:dyDescent="0.2"/>
    <row r="193" ht="21" customHeight="1" x14ac:dyDescent="0.2"/>
    <row r="194" ht="21" customHeight="1" x14ac:dyDescent="0.2"/>
    <row r="195" ht="21" customHeight="1" x14ac:dyDescent="0.2"/>
    <row r="196" ht="21" customHeight="1" x14ac:dyDescent="0.2"/>
    <row r="197" ht="21" customHeight="1" x14ac:dyDescent="0.2"/>
    <row r="198" ht="21" customHeight="1" x14ac:dyDescent="0.2"/>
    <row r="199" ht="21" customHeight="1" x14ac:dyDescent="0.2"/>
    <row r="200" ht="21" customHeight="1" x14ac:dyDescent="0.2"/>
    <row r="201" ht="21" customHeight="1" x14ac:dyDescent="0.2"/>
    <row r="202" ht="21" customHeight="1" x14ac:dyDescent="0.2"/>
    <row r="203" ht="21" customHeight="1" x14ac:dyDescent="0.2"/>
    <row r="204" ht="21" customHeight="1" x14ac:dyDescent="0.2"/>
    <row r="205" ht="21" customHeight="1" x14ac:dyDescent="0.2"/>
    <row r="206" ht="21" customHeight="1" x14ac:dyDescent="0.2"/>
    <row r="207" ht="21" customHeight="1" x14ac:dyDescent="0.2"/>
    <row r="208" ht="21" customHeight="1" x14ac:dyDescent="0.2"/>
    <row r="209" ht="21" customHeight="1" x14ac:dyDescent="0.2"/>
    <row r="210" ht="21" customHeight="1" x14ac:dyDescent="0.2"/>
    <row r="211" ht="21" customHeight="1" x14ac:dyDescent="0.2"/>
    <row r="212" ht="21" customHeight="1" x14ac:dyDescent="0.2"/>
    <row r="213" ht="21" customHeight="1" x14ac:dyDescent="0.2"/>
    <row r="214" ht="21" customHeight="1" x14ac:dyDescent="0.2"/>
    <row r="215" ht="21" customHeight="1" x14ac:dyDescent="0.2"/>
    <row r="216" ht="21" customHeight="1" x14ac:dyDescent="0.2"/>
    <row r="217" ht="21" customHeight="1" x14ac:dyDescent="0.2"/>
    <row r="218" ht="21" customHeight="1" x14ac:dyDescent="0.2"/>
    <row r="219" ht="21" customHeight="1" x14ac:dyDescent="0.2"/>
    <row r="220" ht="21" customHeight="1" x14ac:dyDescent="0.2"/>
    <row r="221" ht="21" customHeight="1" x14ac:dyDescent="0.2"/>
    <row r="222" ht="21" customHeight="1" x14ac:dyDescent="0.2"/>
    <row r="223" ht="21" customHeight="1" x14ac:dyDescent="0.2"/>
    <row r="224" ht="21" customHeight="1" x14ac:dyDescent="0.2"/>
    <row r="225" ht="21" customHeight="1" x14ac:dyDescent="0.2"/>
    <row r="226" ht="21" customHeight="1" x14ac:dyDescent="0.2"/>
    <row r="227" ht="21" customHeight="1" x14ac:dyDescent="0.2"/>
    <row r="228" ht="21" customHeight="1" x14ac:dyDescent="0.2"/>
    <row r="229" ht="21" customHeight="1" x14ac:dyDescent="0.2"/>
    <row r="230" ht="21" customHeight="1" x14ac:dyDescent="0.2"/>
    <row r="231" ht="21" customHeight="1" x14ac:dyDescent="0.2"/>
    <row r="232" ht="21" customHeight="1" x14ac:dyDescent="0.2"/>
    <row r="233" ht="21" customHeight="1" x14ac:dyDescent="0.2"/>
    <row r="234" ht="21" customHeight="1" x14ac:dyDescent="0.2"/>
    <row r="235" ht="21" customHeight="1" x14ac:dyDescent="0.2"/>
    <row r="236" ht="21" customHeight="1" x14ac:dyDescent="0.2"/>
    <row r="237" ht="21" customHeight="1" x14ac:dyDescent="0.2"/>
    <row r="238" ht="21" customHeight="1" x14ac:dyDescent="0.2"/>
    <row r="239" ht="21" customHeight="1" x14ac:dyDescent="0.2"/>
    <row r="240" ht="21" customHeight="1" x14ac:dyDescent="0.2"/>
    <row r="241" ht="21" customHeight="1" x14ac:dyDescent="0.2"/>
    <row r="242" ht="21" customHeight="1" x14ac:dyDescent="0.2"/>
    <row r="243" ht="21" customHeight="1" x14ac:dyDescent="0.2"/>
    <row r="244" ht="21" customHeight="1" x14ac:dyDescent="0.2"/>
    <row r="245" ht="21" customHeight="1" x14ac:dyDescent="0.2"/>
    <row r="246" ht="21" customHeight="1" x14ac:dyDescent="0.2"/>
    <row r="247" ht="21" customHeight="1" x14ac:dyDescent="0.2"/>
    <row r="248" ht="21" customHeight="1" x14ac:dyDescent="0.2"/>
    <row r="249" ht="21" customHeight="1" x14ac:dyDescent="0.2"/>
    <row r="250" ht="21" customHeight="1" x14ac:dyDescent="0.2"/>
    <row r="251" ht="21" customHeight="1" x14ac:dyDescent="0.2"/>
    <row r="252" ht="21" customHeight="1" x14ac:dyDescent="0.2"/>
    <row r="253" ht="21" customHeight="1" x14ac:dyDescent="0.2"/>
    <row r="254" ht="21" customHeight="1" x14ac:dyDescent="0.2"/>
    <row r="255" ht="21" customHeight="1" x14ac:dyDescent="0.2"/>
    <row r="256" ht="21" customHeight="1" x14ac:dyDescent="0.2"/>
    <row r="257" ht="21" customHeight="1" x14ac:dyDescent="0.2"/>
    <row r="258" ht="21" customHeight="1" x14ac:dyDescent="0.2"/>
    <row r="259" ht="21" customHeight="1" x14ac:dyDescent="0.2"/>
    <row r="260" ht="21" customHeight="1" x14ac:dyDescent="0.2"/>
    <row r="261" ht="21" customHeight="1" x14ac:dyDescent="0.2"/>
    <row r="262" ht="21" customHeight="1" x14ac:dyDescent="0.2"/>
    <row r="263" ht="21" customHeight="1" x14ac:dyDescent="0.2"/>
    <row r="264" ht="21" customHeight="1" x14ac:dyDescent="0.2"/>
    <row r="265" ht="21" customHeight="1" x14ac:dyDescent="0.2"/>
    <row r="266" ht="21" customHeight="1" x14ac:dyDescent="0.2"/>
    <row r="267" ht="21" customHeight="1" x14ac:dyDescent="0.2"/>
    <row r="268" ht="21" customHeight="1" x14ac:dyDescent="0.2"/>
    <row r="269" ht="21" customHeight="1" x14ac:dyDescent="0.2"/>
    <row r="270" ht="21" customHeight="1" x14ac:dyDescent="0.2"/>
    <row r="271" ht="21" customHeight="1" x14ac:dyDescent="0.2"/>
    <row r="272" ht="21" customHeight="1" x14ac:dyDescent="0.2"/>
    <row r="273" ht="21" customHeight="1" x14ac:dyDescent="0.2"/>
    <row r="274" ht="21" customHeight="1" x14ac:dyDescent="0.2"/>
    <row r="275" ht="21" customHeight="1" x14ac:dyDescent="0.2"/>
    <row r="276" ht="21" customHeight="1" x14ac:dyDescent="0.2"/>
    <row r="277" ht="21" customHeight="1" x14ac:dyDescent="0.2"/>
    <row r="278" ht="21" customHeight="1" x14ac:dyDescent="0.2"/>
    <row r="279" ht="21" customHeight="1" x14ac:dyDescent="0.2"/>
    <row r="280" ht="21" customHeight="1" x14ac:dyDescent="0.2"/>
    <row r="281" ht="21" customHeight="1" x14ac:dyDescent="0.2"/>
    <row r="282" ht="21" customHeight="1" x14ac:dyDescent="0.2"/>
    <row r="283" ht="21" customHeight="1" x14ac:dyDescent="0.2"/>
    <row r="284" ht="21" customHeight="1" x14ac:dyDescent="0.2"/>
    <row r="285" ht="21" customHeight="1" x14ac:dyDescent="0.2"/>
    <row r="286" ht="21" customHeight="1" x14ac:dyDescent="0.2"/>
    <row r="287" ht="21" customHeight="1" x14ac:dyDescent="0.2"/>
    <row r="288" ht="21" customHeight="1" x14ac:dyDescent="0.2"/>
    <row r="289" ht="21" customHeight="1" x14ac:dyDescent="0.2"/>
    <row r="290" ht="21" customHeight="1" x14ac:dyDescent="0.2"/>
    <row r="291" ht="21" customHeight="1" x14ac:dyDescent="0.2"/>
    <row r="292" ht="21" customHeight="1" x14ac:dyDescent="0.2"/>
    <row r="293" ht="21" customHeight="1" x14ac:dyDescent="0.2"/>
    <row r="294" ht="21" customHeight="1" x14ac:dyDescent="0.2"/>
    <row r="295" ht="21" customHeight="1" x14ac:dyDescent="0.2"/>
    <row r="296" ht="21" customHeight="1" x14ac:dyDescent="0.2"/>
    <row r="297" ht="21" customHeight="1" x14ac:dyDescent="0.2"/>
    <row r="298" ht="21" customHeight="1" x14ac:dyDescent="0.2"/>
    <row r="299" ht="21" customHeight="1" x14ac:dyDescent="0.2"/>
    <row r="300" ht="21" customHeight="1" x14ac:dyDescent="0.2"/>
    <row r="301" ht="21" customHeight="1" x14ac:dyDescent="0.2"/>
    <row r="302" ht="21" customHeight="1" x14ac:dyDescent="0.2"/>
    <row r="303" ht="21" customHeight="1" x14ac:dyDescent="0.2"/>
    <row r="304" ht="21" customHeight="1" x14ac:dyDescent="0.2"/>
    <row r="305" ht="21" customHeight="1" x14ac:dyDescent="0.2"/>
    <row r="306" ht="21" customHeight="1" x14ac:dyDescent="0.2"/>
    <row r="307" ht="21" customHeight="1" x14ac:dyDescent="0.2"/>
    <row r="308" ht="21" customHeight="1" x14ac:dyDescent="0.2"/>
    <row r="309" ht="21" customHeight="1" x14ac:dyDescent="0.2"/>
    <row r="310" ht="21" customHeight="1" x14ac:dyDescent="0.2"/>
    <row r="311" ht="21" customHeight="1" x14ac:dyDescent="0.2"/>
    <row r="312" ht="21" customHeight="1" x14ac:dyDescent="0.2"/>
    <row r="313" ht="21" customHeight="1" x14ac:dyDescent="0.2"/>
    <row r="314" ht="21" customHeight="1" x14ac:dyDescent="0.2"/>
    <row r="315" ht="21" customHeight="1" x14ac:dyDescent="0.2"/>
    <row r="316" ht="21" customHeight="1" x14ac:dyDescent="0.2"/>
    <row r="317" ht="21" customHeight="1" x14ac:dyDescent="0.2"/>
    <row r="318" ht="21" customHeight="1" x14ac:dyDescent="0.2"/>
    <row r="319" ht="21" customHeight="1" x14ac:dyDescent="0.2"/>
    <row r="320" ht="21" customHeight="1" x14ac:dyDescent="0.2"/>
    <row r="321" ht="21" customHeight="1" x14ac:dyDescent="0.2"/>
    <row r="322" ht="21" customHeight="1" x14ac:dyDescent="0.2"/>
    <row r="323" ht="21" customHeight="1" x14ac:dyDescent="0.2"/>
    <row r="324" ht="21" customHeight="1" x14ac:dyDescent="0.2"/>
    <row r="325" ht="21" customHeight="1" x14ac:dyDescent="0.2"/>
    <row r="326" ht="21" customHeight="1" x14ac:dyDescent="0.2"/>
    <row r="327" ht="21" customHeight="1" x14ac:dyDescent="0.2"/>
    <row r="328" ht="21" customHeight="1" x14ac:dyDescent="0.2"/>
    <row r="329" ht="21" customHeight="1" x14ac:dyDescent="0.2"/>
    <row r="330" ht="21" customHeight="1" x14ac:dyDescent="0.2"/>
    <row r="331" ht="21" customHeight="1" x14ac:dyDescent="0.2"/>
    <row r="332" ht="21" customHeight="1" x14ac:dyDescent="0.2"/>
    <row r="333" ht="21" customHeight="1" x14ac:dyDescent="0.2"/>
    <row r="334" ht="21" customHeight="1" x14ac:dyDescent="0.2"/>
    <row r="335" ht="21" customHeight="1" x14ac:dyDescent="0.2"/>
    <row r="336" ht="21" customHeight="1" x14ac:dyDescent="0.2"/>
    <row r="337" ht="21" customHeight="1" x14ac:dyDescent="0.2"/>
    <row r="338" ht="21" customHeight="1" x14ac:dyDescent="0.2"/>
    <row r="339" ht="21" customHeight="1" x14ac:dyDescent="0.2"/>
    <row r="340" ht="21" customHeight="1" x14ac:dyDescent="0.2"/>
    <row r="341" ht="21" customHeight="1" x14ac:dyDescent="0.2"/>
    <row r="342" ht="21" customHeight="1" x14ac:dyDescent="0.2"/>
    <row r="343" ht="21" customHeight="1" x14ac:dyDescent="0.2"/>
    <row r="344" ht="21" customHeight="1" x14ac:dyDescent="0.2"/>
    <row r="345" ht="21" customHeight="1" x14ac:dyDescent="0.2"/>
    <row r="346" ht="21" customHeight="1" x14ac:dyDescent="0.2"/>
    <row r="347" ht="21" customHeight="1" x14ac:dyDescent="0.2"/>
    <row r="348" ht="21" customHeight="1" x14ac:dyDescent="0.2"/>
    <row r="349" ht="21" customHeight="1" x14ac:dyDescent="0.2"/>
    <row r="350" ht="21" customHeight="1" x14ac:dyDescent="0.2"/>
    <row r="351" ht="21" customHeight="1" x14ac:dyDescent="0.2"/>
    <row r="352" ht="21" customHeight="1" x14ac:dyDescent="0.2"/>
    <row r="353" ht="21" customHeight="1" x14ac:dyDescent="0.2"/>
    <row r="354" ht="21" customHeight="1" x14ac:dyDescent="0.2"/>
    <row r="355" ht="21" customHeight="1" x14ac:dyDescent="0.2"/>
    <row r="356" ht="21" customHeight="1" x14ac:dyDescent="0.2"/>
    <row r="357" ht="21" customHeight="1" x14ac:dyDescent="0.2"/>
    <row r="358" ht="21" customHeight="1" x14ac:dyDescent="0.2"/>
    <row r="359" ht="21" customHeight="1" x14ac:dyDescent="0.2"/>
    <row r="360" ht="21" customHeight="1" x14ac:dyDescent="0.2"/>
    <row r="361" ht="21" customHeight="1" x14ac:dyDescent="0.2"/>
    <row r="362" ht="21" customHeight="1" x14ac:dyDescent="0.2"/>
    <row r="363" ht="21" customHeight="1" x14ac:dyDescent="0.2"/>
    <row r="364" ht="21" customHeight="1" x14ac:dyDescent="0.2"/>
    <row r="365" ht="21" customHeight="1" x14ac:dyDescent="0.2"/>
    <row r="366" ht="21" customHeight="1" x14ac:dyDescent="0.2"/>
    <row r="367" ht="21" customHeight="1" x14ac:dyDescent="0.2"/>
    <row r="368" ht="21" customHeight="1" x14ac:dyDescent="0.2"/>
    <row r="369" ht="21" customHeight="1" x14ac:dyDescent="0.2"/>
    <row r="370" ht="21" customHeight="1" x14ac:dyDescent="0.2"/>
    <row r="371" ht="21" customHeight="1" x14ac:dyDescent="0.2"/>
    <row r="372" ht="21" customHeight="1" x14ac:dyDescent="0.2"/>
    <row r="373" ht="21" customHeight="1" x14ac:dyDescent="0.2"/>
    <row r="374" ht="21" customHeight="1" x14ac:dyDescent="0.2"/>
    <row r="375" ht="21" customHeight="1" x14ac:dyDescent="0.2"/>
    <row r="376" ht="21" customHeight="1" x14ac:dyDescent="0.2"/>
    <row r="377" ht="21" customHeight="1" x14ac:dyDescent="0.2"/>
    <row r="378" ht="21" customHeight="1" x14ac:dyDescent="0.2"/>
    <row r="379" ht="21" customHeight="1" x14ac:dyDescent="0.2"/>
    <row r="380" ht="21" customHeight="1" x14ac:dyDescent="0.2"/>
    <row r="381" ht="21" customHeight="1" x14ac:dyDescent="0.2"/>
    <row r="382" ht="21" customHeight="1" x14ac:dyDescent="0.2"/>
    <row r="383" ht="21" customHeight="1" x14ac:dyDescent="0.2"/>
    <row r="384" ht="21" customHeight="1" x14ac:dyDescent="0.2"/>
    <row r="385" ht="21" customHeight="1" x14ac:dyDescent="0.2"/>
    <row r="386" ht="21" customHeight="1" x14ac:dyDescent="0.2"/>
    <row r="387" ht="21" customHeight="1" x14ac:dyDescent="0.2"/>
    <row r="388" ht="21" customHeight="1" x14ac:dyDescent="0.2"/>
    <row r="389" ht="21" customHeight="1" x14ac:dyDescent="0.2"/>
    <row r="390" ht="21" customHeight="1" x14ac:dyDescent="0.2"/>
    <row r="391" ht="21" customHeight="1" x14ac:dyDescent="0.2"/>
    <row r="392" ht="21" customHeight="1" x14ac:dyDescent="0.2"/>
    <row r="393" ht="21" customHeight="1" x14ac:dyDescent="0.2"/>
    <row r="394" ht="21" customHeight="1" x14ac:dyDescent="0.2"/>
    <row r="395" ht="21" customHeight="1" x14ac:dyDescent="0.2"/>
    <row r="396" ht="21" customHeight="1" x14ac:dyDescent="0.2"/>
    <row r="397" ht="21" customHeight="1" x14ac:dyDescent="0.2"/>
    <row r="398" ht="21" customHeight="1" x14ac:dyDescent="0.2"/>
    <row r="399" ht="21" customHeight="1" x14ac:dyDescent="0.2"/>
    <row r="400" ht="21" customHeight="1" x14ac:dyDescent="0.2"/>
    <row r="401" ht="21" customHeight="1" x14ac:dyDescent="0.2"/>
    <row r="402" ht="21" customHeight="1" x14ac:dyDescent="0.2"/>
    <row r="403" ht="21" customHeight="1" x14ac:dyDescent="0.2"/>
    <row r="404" ht="21" customHeight="1" x14ac:dyDescent="0.2"/>
    <row r="405" ht="21" customHeight="1" x14ac:dyDescent="0.2"/>
    <row r="406" ht="21" customHeight="1" x14ac:dyDescent="0.2"/>
    <row r="407" ht="21" customHeight="1" x14ac:dyDescent="0.2"/>
    <row r="408" ht="21" customHeight="1" x14ac:dyDescent="0.2"/>
    <row r="409" ht="21" customHeight="1" x14ac:dyDescent="0.2"/>
    <row r="410" ht="21" customHeight="1" x14ac:dyDescent="0.2"/>
    <row r="411" ht="21" customHeight="1" x14ac:dyDescent="0.2"/>
    <row r="412" ht="21" customHeight="1" x14ac:dyDescent="0.2"/>
    <row r="413" ht="21" customHeight="1" x14ac:dyDescent="0.2"/>
    <row r="414" ht="21" customHeight="1" x14ac:dyDescent="0.2"/>
    <row r="415" ht="21" customHeight="1" x14ac:dyDescent="0.2"/>
    <row r="416" ht="21" customHeight="1" x14ac:dyDescent="0.2"/>
    <row r="417" ht="21" customHeight="1" x14ac:dyDescent="0.2"/>
    <row r="418" ht="21" customHeight="1" x14ac:dyDescent="0.2"/>
    <row r="419" ht="21" customHeight="1" x14ac:dyDescent="0.2"/>
    <row r="420" ht="21" customHeight="1" x14ac:dyDescent="0.2"/>
    <row r="421" ht="21" customHeight="1" x14ac:dyDescent="0.2"/>
    <row r="422" ht="21" customHeight="1" x14ac:dyDescent="0.2"/>
    <row r="423" ht="21" customHeight="1" x14ac:dyDescent="0.2"/>
    <row r="424" ht="21" customHeight="1" x14ac:dyDescent="0.2"/>
    <row r="425" ht="21" customHeight="1" x14ac:dyDescent="0.2"/>
    <row r="426" ht="21" customHeight="1" x14ac:dyDescent="0.2"/>
    <row r="427" ht="21" customHeight="1" x14ac:dyDescent="0.2"/>
    <row r="428" ht="21" customHeight="1" x14ac:dyDescent="0.2"/>
    <row r="429" ht="21" customHeight="1" x14ac:dyDescent="0.2"/>
    <row r="430" ht="21" customHeight="1" x14ac:dyDescent="0.2"/>
    <row r="431" ht="21" customHeight="1" x14ac:dyDescent="0.2"/>
    <row r="432" ht="21" customHeight="1" x14ac:dyDescent="0.2"/>
    <row r="433" ht="21" customHeight="1" x14ac:dyDescent="0.2"/>
    <row r="434" ht="21" customHeight="1" x14ac:dyDescent="0.2"/>
    <row r="435" ht="21" customHeight="1" x14ac:dyDescent="0.2"/>
    <row r="436" ht="21" customHeight="1" x14ac:dyDescent="0.2"/>
    <row r="437" ht="21" customHeight="1" x14ac:dyDescent="0.2"/>
    <row r="438" ht="21" customHeight="1" x14ac:dyDescent="0.2"/>
    <row r="439" ht="21" customHeight="1" x14ac:dyDescent="0.2"/>
    <row r="440" ht="21" customHeight="1" x14ac:dyDescent="0.2"/>
    <row r="441" ht="21" customHeight="1" x14ac:dyDescent="0.2"/>
    <row r="442" ht="21" customHeight="1" x14ac:dyDescent="0.2"/>
    <row r="443" ht="21" customHeight="1" x14ac:dyDescent="0.2"/>
    <row r="444" ht="21" customHeight="1" x14ac:dyDescent="0.2"/>
    <row r="445" ht="21" customHeight="1" x14ac:dyDescent="0.2"/>
    <row r="446" ht="21" customHeight="1" x14ac:dyDescent="0.2"/>
    <row r="447" ht="21" customHeight="1" x14ac:dyDescent="0.2"/>
    <row r="448" ht="21" customHeight="1" x14ac:dyDescent="0.2"/>
    <row r="449" ht="21" customHeight="1" x14ac:dyDescent="0.2"/>
    <row r="450" ht="21" customHeight="1" x14ac:dyDescent="0.2"/>
    <row r="451" ht="21" customHeight="1" x14ac:dyDescent="0.2"/>
    <row r="452" ht="21" customHeight="1" x14ac:dyDescent="0.2"/>
    <row r="453" ht="21" customHeight="1" x14ac:dyDescent="0.2"/>
    <row r="454" ht="21" customHeight="1" x14ac:dyDescent="0.2"/>
    <row r="455" ht="21" customHeight="1" x14ac:dyDescent="0.2"/>
    <row r="456" ht="21" customHeight="1" x14ac:dyDescent="0.2"/>
    <row r="457" ht="21" customHeight="1" x14ac:dyDescent="0.2"/>
    <row r="458" ht="21" customHeight="1" x14ac:dyDescent="0.2"/>
    <row r="459" ht="21" customHeight="1" x14ac:dyDescent="0.2"/>
    <row r="460" ht="21" customHeight="1" x14ac:dyDescent="0.2"/>
    <row r="461" ht="21" customHeight="1" x14ac:dyDescent="0.2"/>
    <row r="462" ht="21" customHeight="1" x14ac:dyDescent="0.2"/>
    <row r="463" ht="21" customHeight="1" x14ac:dyDescent="0.2"/>
    <row r="464" ht="21" customHeight="1" x14ac:dyDescent="0.2"/>
    <row r="465" ht="21" customHeight="1" x14ac:dyDescent="0.2"/>
    <row r="466" ht="21" customHeight="1" x14ac:dyDescent="0.2"/>
    <row r="467" ht="21" customHeight="1" x14ac:dyDescent="0.2"/>
    <row r="468" ht="21" customHeight="1" x14ac:dyDescent="0.2"/>
    <row r="469" ht="21" customHeight="1" x14ac:dyDescent="0.2"/>
    <row r="470" ht="21" customHeight="1" x14ac:dyDescent="0.2"/>
    <row r="471" ht="21" customHeight="1" x14ac:dyDescent="0.2"/>
    <row r="472" ht="21" customHeight="1" x14ac:dyDescent="0.2"/>
    <row r="473" ht="21" customHeight="1" x14ac:dyDescent="0.2"/>
    <row r="474" ht="21" customHeight="1" x14ac:dyDescent="0.2"/>
    <row r="475" ht="21" customHeight="1" x14ac:dyDescent="0.2"/>
    <row r="476" ht="21" customHeight="1" x14ac:dyDescent="0.2"/>
    <row r="477" ht="21" customHeight="1" x14ac:dyDescent="0.2"/>
    <row r="478" ht="21" customHeight="1" x14ac:dyDescent="0.2"/>
    <row r="479" ht="21" customHeight="1" x14ac:dyDescent="0.2"/>
    <row r="480" ht="21" customHeight="1" x14ac:dyDescent="0.2"/>
    <row r="481" ht="21" customHeight="1" x14ac:dyDescent="0.2"/>
    <row r="482" ht="21" customHeight="1" x14ac:dyDescent="0.2"/>
    <row r="483" ht="21" customHeight="1" x14ac:dyDescent="0.2"/>
    <row r="484" ht="21" customHeight="1" x14ac:dyDescent="0.2"/>
    <row r="485" ht="21" customHeight="1" x14ac:dyDescent="0.2"/>
    <row r="486" ht="21" customHeight="1" x14ac:dyDescent="0.2"/>
    <row r="487" ht="21" customHeight="1" x14ac:dyDescent="0.2"/>
    <row r="488" ht="21" customHeight="1" x14ac:dyDescent="0.2"/>
    <row r="489" ht="21" customHeight="1" x14ac:dyDescent="0.2"/>
    <row r="490" ht="21" customHeight="1" x14ac:dyDescent="0.2"/>
    <row r="491" ht="21" customHeight="1" x14ac:dyDescent="0.2"/>
    <row r="492" ht="21" customHeight="1" x14ac:dyDescent="0.2"/>
    <row r="493" ht="21" customHeight="1" x14ac:dyDescent="0.2"/>
    <row r="494" ht="21" customHeight="1" x14ac:dyDescent="0.2"/>
    <row r="495" ht="21" customHeight="1" x14ac:dyDescent="0.2"/>
    <row r="496" ht="21" customHeight="1" x14ac:dyDescent="0.2"/>
    <row r="497" ht="21" customHeight="1" x14ac:dyDescent="0.2"/>
    <row r="498" ht="21" customHeight="1" x14ac:dyDescent="0.2"/>
    <row r="499" ht="21" customHeight="1" x14ac:dyDescent="0.2"/>
    <row r="500" ht="21" customHeight="1" x14ac:dyDescent="0.2"/>
    <row r="501" ht="21" customHeight="1" x14ac:dyDescent="0.2"/>
    <row r="502" ht="21" customHeight="1" x14ac:dyDescent="0.2"/>
    <row r="503" ht="21" customHeight="1" x14ac:dyDescent="0.2"/>
    <row r="504" ht="21" customHeight="1" x14ac:dyDescent="0.2"/>
    <row r="505" ht="21" customHeight="1" x14ac:dyDescent="0.2"/>
    <row r="506" ht="21" customHeight="1" x14ac:dyDescent="0.2"/>
    <row r="507" ht="21" customHeight="1" x14ac:dyDescent="0.2"/>
    <row r="508" ht="21" customHeight="1" x14ac:dyDescent="0.2"/>
    <row r="509" ht="21" customHeight="1" x14ac:dyDescent="0.2"/>
    <row r="510" ht="21" customHeight="1" x14ac:dyDescent="0.2"/>
    <row r="511" ht="21" customHeight="1" x14ac:dyDescent="0.2"/>
    <row r="512" ht="21" customHeight="1" x14ac:dyDescent="0.2"/>
    <row r="513" ht="21" customHeight="1" x14ac:dyDescent="0.2"/>
    <row r="514" ht="21" customHeight="1" x14ac:dyDescent="0.2"/>
    <row r="515" ht="21" customHeight="1" x14ac:dyDescent="0.2"/>
    <row r="516" ht="21" customHeight="1" x14ac:dyDescent="0.2"/>
    <row r="517" ht="21" customHeight="1" x14ac:dyDescent="0.2"/>
    <row r="518" ht="21" customHeight="1" x14ac:dyDescent="0.2"/>
    <row r="519" ht="21" customHeight="1" x14ac:dyDescent="0.2"/>
    <row r="520" ht="21" customHeight="1" x14ac:dyDescent="0.2"/>
    <row r="521" ht="21" customHeight="1" x14ac:dyDescent="0.2"/>
    <row r="522" ht="21" customHeight="1" x14ac:dyDescent="0.2"/>
    <row r="523" ht="21" customHeight="1" x14ac:dyDescent="0.2"/>
    <row r="524" ht="21" customHeight="1" x14ac:dyDescent="0.2"/>
    <row r="525" ht="21" customHeight="1" x14ac:dyDescent="0.2"/>
    <row r="526" ht="21" customHeight="1" x14ac:dyDescent="0.2"/>
    <row r="527" ht="21" customHeight="1" x14ac:dyDescent="0.2"/>
    <row r="528" ht="21" customHeight="1" x14ac:dyDescent="0.2"/>
    <row r="529" ht="21" customHeight="1" x14ac:dyDescent="0.2"/>
    <row r="530" ht="21" customHeight="1" x14ac:dyDescent="0.2"/>
    <row r="531" ht="21" customHeight="1" x14ac:dyDescent="0.2"/>
    <row r="532" ht="21" customHeight="1" x14ac:dyDescent="0.2"/>
    <row r="533" ht="21" customHeight="1" x14ac:dyDescent="0.2"/>
    <row r="534" ht="21" customHeight="1" x14ac:dyDescent="0.2"/>
    <row r="535" ht="21" customHeight="1" x14ac:dyDescent="0.2"/>
    <row r="536" ht="21" customHeight="1" x14ac:dyDescent="0.2"/>
    <row r="537" ht="21" customHeight="1" x14ac:dyDescent="0.2"/>
    <row r="538" ht="21" customHeight="1" x14ac:dyDescent="0.2"/>
    <row r="539" ht="21" customHeight="1" x14ac:dyDescent="0.2"/>
    <row r="540" ht="21" customHeight="1" x14ac:dyDescent="0.2"/>
    <row r="541" ht="21" customHeight="1" x14ac:dyDescent="0.2"/>
    <row r="542" ht="21" customHeight="1" x14ac:dyDescent="0.2"/>
    <row r="543" ht="21" customHeight="1" x14ac:dyDescent="0.2"/>
    <row r="544" ht="21" customHeight="1" x14ac:dyDescent="0.2"/>
    <row r="545" ht="21" customHeight="1" x14ac:dyDescent="0.2"/>
    <row r="546" ht="21" customHeight="1" x14ac:dyDescent="0.2"/>
    <row r="547" ht="21" customHeight="1" x14ac:dyDescent="0.2"/>
    <row r="548" ht="21" customHeight="1" x14ac:dyDescent="0.2"/>
    <row r="549" ht="21" customHeight="1" x14ac:dyDescent="0.2"/>
    <row r="550" ht="21" customHeight="1" x14ac:dyDescent="0.2"/>
    <row r="551" ht="21" customHeight="1" x14ac:dyDescent="0.2"/>
    <row r="552" ht="21" customHeight="1" x14ac:dyDescent="0.2"/>
    <row r="553" ht="21" customHeight="1" x14ac:dyDescent="0.2"/>
    <row r="554" ht="21" customHeight="1" x14ac:dyDescent="0.2"/>
    <row r="555" ht="21" customHeight="1" x14ac:dyDescent="0.2"/>
    <row r="556" ht="21" customHeight="1" x14ac:dyDescent="0.2"/>
    <row r="557" ht="21" customHeight="1" x14ac:dyDescent="0.2"/>
    <row r="558" ht="21" customHeight="1" x14ac:dyDescent="0.2"/>
    <row r="559" ht="21" customHeight="1" x14ac:dyDescent="0.2"/>
    <row r="560" ht="21" customHeight="1" x14ac:dyDescent="0.2"/>
    <row r="561" ht="21" customHeight="1" x14ac:dyDescent="0.2"/>
    <row r="562" ht="21" customHeight="1" x14ac:dyDescent="0.2"/>
    <row r="563" ht="21" customHeight="1" x14ac:dyDescent="0.2"/>
    <row r="564" ht="21" customHeight="1" x14ac:dyDescent="0.2"/>
    <row r="565" ht="21" customHeight="1" x14ac:dyDescent="0.2"/>
    <row r="566" ht="21" customHeight="1" x14ac:dyDescent="0.2"/>
    <row r="567" ht="21" customHeight="1" x14ac:dyDescent="0.2"/>
    <row r="568" ht="21" customHeight="1" x14ac:dyDescent="0.2"/>
    <row r="569" ht="21" customHeight="1" x14ac:dyDescent="0.2"/>
    <row r="570" ht="21" customHeight="1" x14ac:dyDescent="0.2"/>
    <row r="571" ht="21" customHeight="1" x14ac:dyDescent="0.2"/>
    <row r="572" ht="21" customHeight="1" x14ac:dyDescent="0.2"/>
    <row r="573" ht="21" customHeight="1" x14ac:dyDescent="0.2"/>
    <row r="574" ht="21" customHeight="1" x14ac:dyDescent="0.2"/>
    <row r="575" ht="21" customHeight="1" x14ac:dyDescent="0.2"/>
    <row r="576" ht="21" customHeight="1" x14ac:dyDescent="0.2"/>
    <row r="577" ht="21" customHeight="1" x14ac:dyDescent="0.2"/>
    <row r="578" ht="21" customHeight="1" x14ac:dyDescent="0.2"/>
    <row r="579" ht="21" customHeight="1" x14ac:dyDescent="0.2"/>
    <row r="580" ht="21" customHeight="1" x14ac:dyDescent="0.2"/>
    <row r="581" ht="21" customHeight="1" x14ac:dyDescent="0.2"/>
    <row r="582" ht="21" customHeight="1" x14ac:dyDescent="0.2"/>
    <row r="583" ht="21" customHeight="1" x14ac:dyDescent="0.2"/>
    <row r="584" ht="21" customHeight="1" x14ac:dyDescent="0.2"/>
    <row r="585" ht="21" customHeight="1" x14ac:dyDescent="0.2"/>
    <row r="586" ht="21" customHeight="1" x14ac:dyDescent="0.2"/>
    <row r="587" ht="21" customHeight="1" x14ac:dyDescent="0.2"/>
    <row r="588" ht="21" customHeight="1" x14ac:dyDescent="0.2"/>
    <row r="589" ht="21" customHeight="1" x14ac:dyDescent="0.2"/>
    <row r="590" ht="21" customHeight="1" x14ac:dyDescent="0.2"/>
    <row r="591" ht="21" customHeight="1" x14ac:dyDescent="0.2"/>
    <row r="592" ht="21" customHeight="1" x14ac:dyDescent="0.2"/>
    <row r="593" ht="21" customHeight="1" x14ac:dyDescent="0.2"/>
    <row r="594" ht="21" customHeight="1" x14ac:dyDescent="0.2"/>
    <row r="595" ht="21" customHeight="1" x14ac:dyDescent="0.2"/>
    <row r="596" ht="21" customHeight="1" x14ac:dyDescent="0.2"/>
    <row r="597" ht="21" customHeight="1" x14ac:dyDescent="0.2"/>
    <row r="598" ht="21" customHeight="1" x14ac:dyDescent="0.2"/>
    <row r="599" ht="21" customHeight="1" x14ac:dyDescent="0.2"/>
    <row r="600" ht="21" customHeight="1" x14ac:dyDescent="0.2"/>
    <row r="601" ht="21" customHeight="1" x14ac:dyDescent="0.2"/>
    <row r="602" ht="21" customHeight="1" x14ac:dyDescent="0.2"/>
    <row r="603" ht="21" customHeight="1" x14ac:dyDescent="0.2"/>
    <row r="604" ht="21" customHeight="1" x14ac:dyDescent="0.2"/>
    <row r="605" ht="21" customHeight="1" x14ac:dyDescent="0.2"/>
    <row r="606" ht="21" customHeight="1" x14ac:dyDescent="0.2"/>
    <row r="607" ht="21" customHeight="1" x14ac:dyDescent="0.2"/>
    <row r="608" ht="21" customHeight="1" x14ac:dyDescent="0.2"/>
    <row r="609" ht="21" customHeight="1" x14ac:dyDescent="0.2"/>
    <row r="610" ht="21" customHeight="1" x14ac:dyDescent="0.2"/>
    <row r="611" ht="21" customHeight="1" x14ac:dyDescent="0.2"/>
    <row r="612" ht="21" customHeight="1" x14ac:dyDescent="0.2"/>
    <row r="613" ht="21" customHeight="1" x14ac:dyDescent="0.2"/>
    <row r="614" ht="21" customHeight="1" x14ac:dyDescent="0.2"/>
    <row r="615" ht="21" customHeight="1" x14ac:dyDescent="0.2"/>
    <row r="616" ht="21" customHeight="1" x14ac:dyDescent="0.2"/>
    <row r="617" ht="21" customHeight="1" x14ac:dyDescent="0.2"/>
    <row r="618" ht="21" customHeight="1" x14ac:dyDescent="0.2"/>
    <row r="619" ht="21" customHeight="1" x14ac:dyDescent="0.2"/>
    <row r="620" ht="21" customHeight="1" x14ac:dyDescent="0.2"/>
    <row r="621" ht="21" customHeight="1" x14ac:dyDescent="0.2"/>
    <row r="622" ht="21" customHeight="1" x14ac:dyDescent="0.2"/>
    <row r="623" ht="21" customHeight="1" x14ac:dyDescent="0.2"/>
    <row r="624" ht="21" customHeight="1" x14ac:dyDescent="0.2"/>
    <row r="625" ht="21" customHeight="1" x14ac:dyDescent="0.2"/>
    <row r="626" ht="21" customHeight="1" x14ac:dyDescent="0.2"/>
    <row r="627" ht="21" customHeight="1" x14ac:dyDescent="0.2"/>
    <row r="628" ht="21" customHeight="1" x14ac:dyDescent="0.2"/>
    <row r="629" ht="21" customHeight="1" x14ac:dyDescent="0.2"/>
    <row r="630" ht="21" customHeight="1" x14ac:dyDescent="0.2"/>
    <row r="631" ht="21" customHeight="1" x14ac:dyDescent="0.2"/>
    <row r="632" ht="21" customHeight="1" x14ac:dyDescent="0.2"/>
    <row r="633" ht="21" customHeight="1" x14ac:dyDescent="0.2"/>
    <row r="634" ht="21" customHeight="1" x14ac:dyDescent="0.2"/>
    <row r="635" ht="21" customHeight="1" x14ac:dyDescent="0.2"/>
    <row r="636" ht="21" customHeight="1" x14ac:dyDescent="0.2"/>
    <row r="637" ht="21" customHeight="1" x14ac:dyDescent="0.2"/>
    <row r="638" ht="21" customHeight="1" x14ac:dyDescent="0.2"/>
    <row r="639" ht="21" customHeight="1" x14ac:dyDescent="0.2"/>
    <row r="640" ht="21" customHeight="1" x14ac:dyDescent="0.2"/>
    <row r="641" ht="21" customHeight="1" x14ac:dyDescent="0.2"/>
    <row r="642" ht="21" customHeight="1" x14ac:dyDescent="0.2"/>
    <row r="643" ht="21" customHeight="1" x14ac:dyDescent="0.2"/>
    <row r="644" ht="21" customHeight="1" x14ac:dyDescent="0.2"/>
    <row r="645" ht="21" customHeight="1" x14ac:dyDescent="0.2"/>
    <row r="646" ht="21" customHeight="1" x14ac:dyDescent="0.2"/>
    <row r="647" ht="21" customHeight="1" x14ac:dyDescent="0.2"/>
    <row r="648" ht="21" customHeight="1" x14ac:dyDescent="0.2"/>
    <row r="649" ht="21" customHeight="1" x14ac:dyDescent="0.2"/>
    <row r="650" ht="21" customHeight="1" x14ac:dyDescent="0.2"/>
    <row r="651" ht="21" customHeight="1" x14ac:dyDescent="0.2"/>
    <row r="652" ht="21" customHeight="1" x14ac:dyDescent="0.2"/>
    <row r="653" ht="21" customHeight="1" x14ac:dyDescent="0.2"/>
    <row r="654" ht="21" customHeight="1" x14ac:dyDescent="0.2"/>
    <row r="655" ht="21" customHeight="1" x14ac:dyDescent="0.2"/>
    <row r="656" ht="21" customHeight="1" x14ac:dyDescent="0.2"/>
    <row r="657" ht="21" customHeight="1" x14ac:dyDescent="0.2"/>
    <row r="658" ht="21" customHeight="1" x14ac:dyDescent="0.2"/>
    <row r="659" ht="21" customHeight="1" x14ac:dyDescent="0.2"/>
    <row r="660" ht="21" customHeight="1" x14ac:dyDescent="0.2"/>
    <row r="661" ht="21" customHeight="1" x14ac:dyDescent="0.2"/>
    <row r="662" ht="21" customHeight="1" x14ac:dyDescent="0.2"/>
    <row r="663" ht="21" customHeight="1" x14ac:dyDescent="0.2"/>
    <row r="664" ht="21" customHeight="1" x14ac:dyDescent="0.2"/>
    <row r="665" ht="21" customHeight="1" x14ac:dyDescent="0.2"/>
    <row r="666" ht="21" customHeight="1" x14ac:dyDescent="0.2"/>
    <row r="667" ht="21" customHeight="1" x14ac:dyDescent="0.2"/>
    <row r="668" ht="21" customHeight="1" x14ac:dyDescent="0.2"/>
    <row r="669" ht="21" customHeight="1" x14ac:dyDescent="0.2"/>
    <row r="670" ht="21" customHeight="1" x14ac:dyDescent="0.2"/>
    <row r="671" ht="21" customHeight="1" x14ac:dyDescent="0.2"/>
    <row r="672" ht="21" customHeight="1" x14ac:dyDescent="0.2"/>
    <row r="673" ht="21" customHeight="1" x14ac:dyDescent="0.2"/>
    <row r="674" ht="21" customHeight="1" x14ac:dyDescent="0.2"/>
    <row r="675" ht="21" customHeight="1" x14ac:dyDescent="0.2"/>
    <row r="676" ht="21" customHeight="1" x14ac:dyDescent="0.2"/>
    <row r="677" ht="21" customHeight="1" x14ac:dyDescent="0.2"/>
    <row r="678" ht="21" customHeight="1" x14ac:dyDescent="0.2"/>
    <row r="679" ht="21" customHeight="1" x14ac:dyDescent="0.2"/>
    <row r="680" ht="21" customHeight="1" x14ac:dyDescent="0.2"/>
    <row r="681" ht="21" customHeight="1" x14ac:dyDescent="0.2"/>
    <row r="682" ht="21" customHeight="1" x14ac:dyDescent="0.2"/>
    <row r="683" ht="21" customHeight="1" x14ac:dyDescent="0.2"/>
    <row r="684" ht="21" customHeight="1" x14ac:dyDescent="0.2"/>
    <row r="685" ht="21" customHeight="1" x14ac:dyDescent="0.2"/>
    <row r="686" ht="21" customHeight="1" x14ac:dyDescent="0.2"/>
    <row r="687" ht="21" customHeight="1" x14ac:dyDescent="0.2"/>
    <row r="688" ht="21" customHeight="1" x14ac:dyDescent="0.2"/>
    <row r="689" ht="21" customHeight="1" x14ac:dyDescent="0.2"/>
    <row r="690" ht="21" customHeight="1" x14ac:dyDescent="0.2"/>
    <row r="691" ht="21" customHeight="1" x14ac:dyDescent="0.2"/>
    <row r="692" ht="21" customHeight="1" x14ac:dyDescent="0.2"/>
    <row r="693" ht="21" customHeight="1" x14ac:dyDescent="0.2"/>
    <row r="694" ht="21" customHeight="1" x14ac:dyDescent="0.2"/>
    <row r="695" ht="21" customHeight="1" x14ac:dyDescent="0.2"/>
    <row r="696" ht="21" customHeight="1" x14ac:dyDescent="0.2"/>
    <row r="697" ht="21" customHeight="1" x14ac:dyDescent="0.2"/>
    <row r="698" ht="21" customHeight="1" x14ac:dyDescent="0.2"/>
    <row r="699" ht="21" customHeight="1" x14ac:dyDescent="0.2"/>
    <row r="700" ht="21" customHeight="1" x14ac:dyDescent="0.2"/>
    <row r="701" ht="21" customHeight="1" x14ac:dyDescent="0.2"/>
    <row r="702" ht="21" customHeight="1" x14ac:dyDescent="0.2"/>
    <row r="703" ht="21" customHeight="1" x14ac:dyDescent="0.2"/>
    <row r="704" ht="21" customHeight="1" x14ac:dyDescent="0.2"/>
    <row r="705" ht="21" customHeight="1" x14ac:dyDescent="0.2"/>
    <row r="706" ht="21" customHeight="1" x14ac:dyDescent="0.2"/>
    <row r="707" ht="21" customHeight="1" x14ac:dyDescent="0.2"/>
    <row r="708" ht="21" customHeight="1" x14ac:dyDescent="0.2"/>
    <row r="709" ht="21" customHeight="1" x14ac:dyDescent="0.2"/>
    <row r="710" ht="21" customHeight="1" x14ac:dyDescent="0.2"/>
    <row r="711" ht="21" customHeight="1" x14ac:dyDescent="0.2"/>
    <row r="712" ht="21" customHeight="1" x14ac:dyDescent="0.2"/>
    <row r="713" ht="21" customHeight="1" x14ac:dyDescent="0.2"/>
    <row r="714" ht="21" customHeight="1" x14ac:dyDescent="0.2"/>
    <row r="715" ht="21" customHeight="1" x14ac:dyDescent="0.2"/>
    <row r="716" ht="21" customHeight="1" x14ac:dyDescent="0.2"/>
    <row r="717" ht="21" customHeight="1" x14ac:dyDescent="0.2"/>
    <row r="718" ht="21" customHeight="1" x14ac:dyDescent="0.2"/>
    <row r="719" ht="21" customHeight="1" x14ac:dyDescent="0.2"/>
    <row r="720" ht="21" customHeight="1" x14ac:dyDescent="0.2"/>
    <row r="721" ht="21" customHeight="1" x14ac:dyDescent="0.2"/>
    <row r="722" ht="21" customHeight="1" x14ac:dyDescent="0.2"/>
    <row r="723" ht="21" customHeight="1" x14ac:dyDescent="0.2"/>
    <row r="724" ht="21" customHeight="1" x14ac:dyDescent="0.2"/>
    <row r="725" ht="21" customHeight="1" x14ac:dyDescent="0.2"/>
    <row r="726" ht="21" customHeight="1" x14ac:dyDescent="0.2"/>
    <row r="727" ht="21" customHeight="1" x14ac:dyDescent="0.2"/>
    <row r="728" ht="21" customHeight="1" x14ac:dyDescent="0.2"/>
    <row r="729" ht="21" customHeight="1" x14ac:dyDescent="0.2"/>
    <row r="730" ht="21" customHeight="1" x14ac:dyDescent="0.2"/>
    <row r="731" ht="21" customHeight="1" x14ac:dyDescent="0.2"/>
    <row r="732" ht="21" customHeight="1" x14ac:dyDescent="0.2"/>
    <row r="733" ht="21" customHeight="1" x14ac:dyDescent="0.2"/>
    <row r="734" ht="21" customHeight="1" x14ac:dyDescent="0.2"/>
    <row r="735" ht="21" customHeight="1" x14ac:dyDescent="0.2"/>
    <row r="736" ht="21" customHeight="1" x14ac:dyDescent="0.2"/>
    <row r="737" ht="21" customHeight="1" x14ac:dyDescent="0.2"/>
    <row r="738" ht="21" customHeight="1" x14ac:dyDescent="0.2"/>
    <row r="739" ht="21" customHeight="1" x14ac:dyDescent="0.2"/>
    <row r="740" ht="21" customHeight="1" x14ac:dyDescent="0.2"/>
    <row r="741" ht="21" customHeight="1" x14ac:dyDescent="0.2"/>
    <row r="742" ht="21" customHeight="1" x14ac:dyDescent="0.2"/>
    <row r="743" ht="21" customHeight="1" x14ac:dyDescent="0.2"/>
    <row r="744" ht="21" customHeight="1" x14ac:dyDescent="0.2"/>
    <row r="745" ht="21" customHeight="1" x14ac:dyDescent="0.2"/>
    <row r="746" ht="21" customHeight="1" x14ac:dyDescent="0.2"/>
    <row r="747" ht="21" customHeight="1" x14ac:dyDescent="0.2"/>
    <row r="748" ht="21" customHeight="1" x14ac:dyDescent="0.2"/>
    <row r="749" ht="21" customHeight="1" x14ac:dyDescent="0.2"/>
    <row r="750" ht="21" customHeight="1" x14ac:dyDescent="0.2"/>
    <row r="751" ht="21" customHeight="1" x14ac:dyDescent="0.2"/>
    <row r="752" ht="21" customHeight="1" x14ac:dyDescent="0.2"/>
    <row r="753" ht="21" customHeight="1" x14ac:dyDescent="0.2"/>
    <row r="754" ht="21" customHeight="1" x14ac:dyDescent="0.2"/>
    <row r="755" ht="21" customHeight="1" x14ac:dyDescent="0.2"/>
    <row r="756" ht="21" customHeight="1" x14ac:dyDescent="0.2"/>
    <row r="757" ht="21" customHeight="1" x14ac:dyDescent="0.2"/>
    <row r="758" ht="21" customHeight="1" x14ac:dyDescent="0.2"/>
    <row r="759" ht="21" customHeight="1" x14ac:dyDescent="0.2"/>
    <row r="760" ht="21" customHeight="1" x14ac:dyDescent="0.2"/>
    <row r="761" ht="21" customHeight="1" x14ac:dyDescent="0.2"/>
    <row r="762" ht="21" customHeight="1" x14ac:dyDescent="0.2"/>
    <row r="763" ht="21" customHeight="1" x14ac:dyDescent="0.2"/>
    <row r="764" ht="21" customHeight="1" x14ac:dyDescent="0.2"/>
    <row r="765" ht="21" customHeight="1" x14ac:dyDescent="0.2"/>
    <row r="766" ht="21" customHeight="1" x14ac:dyDescent="0.2"/>
    <row r="767" ht="21" customHeight="1" x14ac:dyDescent="0.2"/>
    <row r="768" ht="21" customHeight="1" x14ac:dyDescent="0.2"/>
    <row r="769" ht="21" customHeight="1" x14ac:dyDescent="0.2"/>
    <row r="770" ht="21" customHeight="1" x14ac:dyDescent="0.2"/>
    <row r="771" ht="21" customHeight="1" x14ac:dyDescent="0.2"/>
    <row r="772" ht="21" customHeight="1" x14ac:dyDescent="0.2"/>
    <row r="773" ht="21" customHeight="1" x14ac:dyDescent="0.2"/>
    <row r="774" ht="21" customHeight="1" x14ac:dyDescent="0.2"/>
    <row r="775" ht="21" customHeight="1" x14ac:dyDescent="0.2"/>
    <row r="776" ht="21" customHeight="1" x14ac:dyDescent="0.2"/>
    <row r="777" ht="21" customHeight="1" x14ac:dyDescent="0.2"/>
    <row r="778" ht="21" customHeight="1" x14ac:dyDescent="0.2"/>
    <row r="779" ht="21" customHeight="1" x14ac:dyDescent="0.2"/>
    <row r="780" ht="21" customHeight="1" x14ac:dyDescent="0.2"/>
    <row r="781" ht="21" customHeight="1" x14ac:dyDescent="0.2"/>
    <row r="782" ht="21" customHeight="1" x14ac:dyDescent="0.2"/>
    <row r="783" ht="21" customHeight="1" x14ac:dyDescent="0.2"/>
    <row r="784" ht="21" customHeight="1" x14ac:dyDescent="0.2"/>
    <row r="785" ht="21" customHeight="1" x14ac:dyDescent="0.2"/>
    <row r="786" ht="21" customHeight="1" x14ac:dyDescent="0.2"/>
    <row r="787" ht="21" customHeight="1" x14ac:dyDescent="0.2"/>
    <row r="788" ht="21" customHeight="1" x14ac:dyDescent="0.2"/>
    <row r="789" ht="21" customHeight="1" x14ac:dyDescent="0.2"/>
    <row r="790" ht="21" customHeight="1" x14ac:dyDescent="0.2"/>
    <row r="791" ht="21" customHeight="1" x14ac:dyDescent="0.2"/>
    <row r="792" ht="21" customHeight="1" x14ac:dyDescent="0.2"/>
    <row r="793" ht="21" customHeight="1" x14ac:dyDescent="0.2"/>
    <row r="794" ht="21" customHeight="1" x14ac:dyDescent="0.2"/>
    <row r="795" ht="21" customHeight="1" x14ac:dyDescent="0.2"/>
    <row r="796" ht="21" customHeight="1" x14ac:dyDescent="0.2"/>
    <row r="797" ht="21" customHeight="1" x14ac:dyDescent="0.2"/>
    <row r="798" ht="21" customHeight="1" x14ac:dyDescent="0.2"/>
    <row r="799" ht="21" customHeight="1" x14ac:dyDescent="0.2"/>
    <row r="800" ht="21" customHeight="1" x14ac:dyDescent="0.2"/>
    <row r="801" ht="21" customHeight="1" x14ac:dyDescent="0.2"/>
    <row r="802" ht="21" customHeight="1" x14ac:dyDescent="0.2"/>
    <row r="803" ht="21" customHeight="1" x14ac:dyDescent="0.2"/>
    <row r="804" ht="21" customHeight="1" x14ac:dyDescent="0.2"/>
    <row r="805" ht="21" customHeight="1" x14ac:dyDescent="0.2"/>
    <row r="806" ht="21" customHeight="1" x14ac:dyDescent="0.2"/>
    <row r="807" ht="21" customHeight="1" x14ac:dyDescent="0.2"/>
    <row r="808" ht="21" customHeight="1" x14ac:dyDescent="0.2"/>
    <row r="809" ht="21" customHeight="1" x14ac:dyDescent="0.2"/>
    <row r="810" ht="21" customHeight="1" x14ac:dyDescent="0.2"/>
    <row r="811" ht="21" customHeight="1" x14ac:dyDescent="0.2"/>
    <row r="812" ht="21" customHeight="1" x14ac:dyDescent="0.2"/>
    <row r="813" ht="21" customHeight="1" x14ac:dyDescent="0.2"/>
    <row r="814" ht="21" customHeight="1" x14ac:dyDescent="0.2"/>
    <row r="815" ht="21" customHeight="1" x14ac:dyDescent="0.2"/>
    <row r="816" ht="21" customHeight="1" x14ac:dyDescent="0.2"/>
    <row r="817" ht="21" customHeight="1" x14ac:dyDescent="0.2"/>
    <row r="818" ht="21" customHeight="1" x14ac:dyDescent="0.2"/>
    <row r="819" ht="21" customHeight="1" x14ac:dyDescent="0.2"/>
    <row r="820" ht="21" customHeight="1" x14ac:dyDescent="0.2"/>
    <row r="821" ht="21" customHeight="1" x14ac:dyDescent="0.2"/>
    <row r="822" ht="21" customHeight="1" x14ac:dyDescent="0.2"/>
    <row r="823" ht="21" customHeight="1" x14ac:dyDescent="0.2"/>
    <row r="824" ht="21" customHeight="1" x14ac:dyDescent="0.2"/>
    <row r="825" ht="21" customHeight="1" x14ac:dyDescent="0.2"/>
    <row r="826" ht="21" customHeight="1" x14ac:dyDescent="0.2"/>
    <row r="827" ht="21" customHeight="1" x14ac:dyDescent="0.2"/>
    <row r="828" ht="21" customHeight="1" x14ac:dyDescent="0.2"/>
    <row r="829" ht="21" customHeight="1" x14ac:dyDescent="0.2"/>
    <row r="830" ht="21" customHeight="1" x14ac:dyDescent="0.2"/>
    <row r="831" ht="21" customHeight="1" x14ac:dyDescent="0.2"/>
    <row r="832" ht="21" customHeight="1" x14ac:dyDescent="0.2"/>
    <row r="833" ht="21" customHeight="1" x14ac:dyDescent="0.2"/>
    <row r="834" ht="21" customHeight="1" x14ac:dyDescent="0.2"/>
    <row r="835" ht="21" customHeight="1" x14ac:dyDescent="0.2"/>
    <row r="836" ht="21" customHeight="1" x14ac:dyDescent="0.2"/>
    <row r="837" ht="21" customHeight="1" x14ac:dyDescent="0.2"/>
    <row r="838" ht="21" customHeight="1" x14ac:dyDescent="0.2"/>
    <row r="839" ht="21" customHeight="1" x14ac:dyDescent="0.2"/>
    <row r="840" ht="21" customHeight="1" x14ac:dyDescent="0.2"/>
    <row r="841" ht="21" customHeight="1" x14ac:dyDescent="0.2"/>
    <row r="842" ht="21" customHeight="1" x14ac:dyDescent="0.2"/>
    <row r="843" ht="21" customHeight="1" x14ac:dyDescent="0.2"/>
    <row r="844" ht="21" customHeight="1" x14ac:dyDescent="0.2"/>
    <row r="845" ht="21" customHeight="1" x14ac:dyDescent="0.2"/>
    <row r="846" ht="21" customHeight="1" x14ac:dyDescent="0.2"/>
    <row r="847" ht="21" customHeight="1" x14ac:dyDescent="0.2"/>
    <row r="848" ht="21" customHeight="1" x14ac:dyDescent="0.2"/>
    <row r="849" ht="21" customHeight="1" x14ac:dyDescent="0.2"/>
    <row r="850" ht="21" customHeight="1" x14ac:dyDescent="0.2"/>
    <row r="851" ht="21" customHeight="1" x14ac:dyDescent="0.2"/>
    <row r="852" ht="21" customHeight="1" x14ac:dyDescent="0.2"/>
    <row r="853" ht="21" customHeight="1" x14ac:dyDescent="0.2"/>
    <row r="854" ht="21" customHeight="1" x14ac:dyDescent="0.2"/>
    <row r="855" ht="21" customHeight="1" x14ac:dyDescent="0.2"/>
    <row r="856" ht="21" customHeight="1" x14ac:dyDescent="0.2"/>
    <row r="857" ht="21" customHeight="1" x14ac:dyDescent="0.2"/>
    <row r="858" ht="21" customHeight="1" x14ac:dyDescent="0.2"/>
    <row r="859" ht="21" customHeight="1" x14ac:dyDescent="0.2"/>
    <row r="860" ht="21" customHeight="1" x14ac:dyDescent="0.2"/>
    <row r="861" ht="21" customHeight="1" x14ac:dyDescent="0.2"/>
    <row r="862" ht="21" customHeight="1" x14ac:dyDescent="0.2"/>
    <row r="863" ht="21" customHeight="1" x14ac:dyDescent="0.2"/>
    <row r="864" ht="21" customHeight="1" x14ac:dyDescent="0.2"/>
    <row r="865" ht="21" customHeight="1" x14ac:dyDescent="0.2"/>
    <row r="866" ht="21" customHeight="1" x14ac:dyDescent="0.2"/>
    <row r="867" ht="21" customHeight="1" x14ac:dyDescent="0.2"/>
    <row r="868" ht="21" customHeight="1" x14ac:dyDescent="0.2"/>
    <row r="869" ht="21" customHeight="1" x14ac:dyDescent="0.2"/>
    <row r="870" ht="21" customHeight="1" x14ac:dyDescent="0.2"/>
    <row r="871" ht="21" customHeight="1" x14ac:dyDescent="0.2"/>
    <row r="872" ht="21" customHeight="1" x14ac:dyDescent="0.2"/>
    <row r="873" ht="21" customHeight="1" x14ac:dyDescent="0.2"/>
    <row r="874" ht="21" customHeight="1" x14ac:dyDescent="0.2"/>
    <row r="875" ht="21" customHeight="1" x14ac:dyDescent="0.2"/>
    <row r="876" ht="21" customHeight="1" x14ac:dyDescent="0.2"/>
    <row r="877" ht="21" customHeight="1" x14ac:dyDescent="0.2"/>
    <row r="878" ht="21" customHeight="1" x14ac:dyDescent="0.2"/>
    <row r="879" ht="21" customHeight="1" x14ac:dyDescent="0.2"/>
    <row r="880" ht="21" customHeight="1" x14ac:dyDescent="0.2"/>
    <row r="881" ht="21" customHeight="1" x14ac:dyDescent="0.2"/>
    <row r="882" ht="21" customHeight="1" x14ac:dyDescent="0.2"/>
    <row r="883" ht="21" customHeight="1" x14ac:dyDescent="0.2"/>
    <row r="884" ht="21" customHeight="1" x14ac:dyDescent="0.2"/>
    <row r="885" ht="21" customHeight="1" x14ac:dyDescent="0.2"/>
    <row r="886" ht="21" customHeight="1" x14ac:dyDescent="0.2"/>
    <row r="887" ht="21" customHeight="1" x14ac:dyDescent="0.2"/>
    <row r="888" ht="21" customHeight="1" x14ac:dyDescent="0.2"/>
    <row r="889" ht="21" customHeight="1" x14ac:dyDescent="0.2"/>
    <row r="890" ht="21" customHeight="1" x14ac:dyDescent="0.2"/>
    <row r="891" ht="21" customHeight="1" x14ac:dyDescent="0.2"/>
    <row r="892" ht="21" customHeight="1" x14ac:dyDescent="0.2"/>
    <row r="893" ht="21" customHeight="1" x14ac:dyDescent="0.2"/>
    <row r="894" ht="21" customHeight="1" x14ac:dyDescent="0.2"/>
    <row r="895" ht="21" customHeight="1" x14ac:dyDescent="0.2"/>
    <row r="896" ht="21" customHeight="1" x14ac:dyDescent="0.2"/>
    <row r="897" ht="21" customHeight="1" x14ac:dyDescent="0.2"/>
    <row r="898" ht="21" customHeight="1" x14ac:dyDescent="0.2"/>
    <row r="899" ht="21" customHeight="1" x14ac:dyDescent="0.2"/>
    <row r="900" ht="21" customHeight="1" x14ac:dyDescent="0.2"/>
    <row r="901" ht="21" customHeight="1" x14ac:dyDescent="0.2"/>
    <row r="902" ht="21" customHeight="1" x14ac:dyDescent="0.2"/>
    <row r="903" ht="21" customHeight="1" x14ac:dyDescent="0.2"/>
    <row r="904" ht="21" customHeight="1" x14ac:dyDescent="0.2"/>
    <row r="905" ht="21" customHeight="1" x14ac:dyDescent="0.2"/>
    <row r="906" ht="21" customHeight="1" x14ac:dyDescent="0.2"/>
    <row r="907" ht="21" customHeight="1" x14ac:dyDescent="0.2"/>
    <row r="908" ht="21" customHeight="1" x14ac:dyDescent="0.2"/>
    <row r="909" ht="21" customHeight="1" x14ac:dyDescent="0.2"/>
    <row r="910" ht="21" customHeight="1" x14ac:dyDescent="0.2"/>
    <row r="911" ht="21" customHeight="1" x14ac:dyDescent="0.2"/>
    <row r="912" ht="21" customHeight="1" x14ac:dyDescent="0.2"/>
    <row r="913" ht="21" customHeight="1" x14ac:dyDescent="0.2"/>
    <row r="914" ht="21" customHeight="1" x14ac:dyDescent="0.2"/>
    <row r="915" ht="21" customHeight="1" x14ac:dyDescent="0.2"/>
    <row r="916" ht="21" customHeight="1" x14ac:dyDescent="0.2"/>
    <row r="917" ht="21" customHeight="1" x14ac:dyDescent="0.2"/>
    <row r="918" ht="21" customHeight="1" x14ac:dyDescent="0.2"/>
    <row r="919" ht="21" customHeight="1" x14ac:dyDescent="0.2"/>
    <row r="920" ht="21" customHeight="1" x14ac:dyDescent="0.2"/>
    <row r="921" ht="21" customHeight="1" x14ac:dyDescent="0.2"/>
    <row r="922" ht="21" customHeight="1" x14ac:dyDescent="0.2"/>
    <row r="923" ht="21" customHeight="1" x14ac:dyDescent="0.2"/>
    <row r="924" ht="21" customHeight="1" x14ac:dyDescent="0.2"/>
    <row r="925" ht="21" customHeight="1" x14ac:dyDescent="0.2"/>
    <row r="926" ht="21" customHeight="1" x14ac:dyDescent="0.2"/>
    <row r="927" ht="21" customHeight="1" x14ac:dyDescent="0.2"/>
    <row r="928" ht="21" customHeight="1" x14ac:dyDescent="0.2"/>
    <row r="929" ht="21" customHeight="1" x14ac:dyDescent="0.2"/>
    <row r="930" ht="21" customHeight="1" x14ac:dyDescent="0.2"/>
    <row r="931" ht="21" customHeight="1" x14ac:dyDescent="0.2"/>
    <row r="932" ht="21" customHeight="1" x14ac:dyDescent="0.2"/>
    <row r="933" ht="21" customHeight="1" x14ac:dyDescent="0.2"/>
    <row r="934" ht="21" customHeight="1" x14ac:dyDescent="0.2"/>
    <row r="935" ht="21" customHeight="1" x14ac:dyDescent="0.2"/>
    <row r="936" ht="21" customHeight="1" x14ac:dyDescent="0.2"/>
    <row r="937" ht="21" customHeight="1" x14ac:dyDescent="0.2"/>
    <row r="938" ht="21" customHeight="1" x14ac:dyDescent="0.2"/>
    <row r="939" ht="21" customHeight="1" x14ac:dyDescent="0.2"/>
    <row r="940" ht="21" customHeight="1" x14ac:dyDescent="0.2"/>
    <row r="941" ht="21" customHeight="1" x14ac:dyDescent="0.2"/>
    <row r="942" ht="21" customHeight="1" x14ac:dyDescent="0.2"/>
    <row r="943" ht="21" customHeight="1" x14ac:dyDescent="0.2"/>
    <row r="944" ht="21" customHeight="1" x14ac:dyDescent="0.2"/>
    <row r="945" ht="21" customHeight="1" x14ac:dyDescent="0.2"/>
    <row r="946" ht="21" customHeight="1" x14ac:dyDescent="0.2"/>
    <row r="947" ht="21" customHeight="1" x14ac:dyDescent="0.2"/>
    <row r="948" ht="21" customHeight="1" x14ac:dyDescent="0.2"/>
    <row r="949" ht="21" customHeight="1" x14ac:dyDescent="0.2"/>
    <row r="950" ht="21" customHeight="1" x14ac:dyDescent="0.2"/>
    <row r="951" ht="21" customHeight="1" x14ac:dyDescent="0.2"/>
    <row r="952" ht="21" customHeight="1" x14ac:dyDescent="0.2"/>
    <row r="953" ht="21" customHeight="1" x14ac:dyDescent="0.2"/>
    <row r="954" ht="21" customHeight="1" x14ac:dyDescent="0.2"/>
    <row r="955" ht="21" customHeight="1" x14ac:dyDescent="0.2"/>
    <row r="956" ht="21" customHeight="1" x14ac:dyDescent="0.2"/>
    <row r="957" ht="21" customHeight="1" x14ac:dyDescent="0.2"/>
    <row r="958" ht="21" customHeight="1" x14ac:dyDescent="0.2"/>
    <row r="959" ht="21" customHeight="1" x14ac:dyDescent="0.2"/>
    <row r="960" ht="21" customHeight="1" x14ac:dyDescent="0.2"/>
    <row r="961" ht="21" customHeight="1" x14ac:dyDescent="0.2"/>
    <row r="962" ht="21" customHeight="1" x14ac:dyDescent="0.2"/>
    <row r="963" ht="21" customHeight="1" x14ac:dyDescent="0.2"/>
    <row r="964" ht="21" customHeight="1" x14ac:dyDescent="0.2"/>
    <row r="965" ht="21" customHeight="1" x14ac:dyDescent="0.2"/>
    <row r="966" ht="21" customHeight="1" x14ac:dyDescent="0.2"/>
    <row r="967" ht="21" customHeight="1" x14ac:dyDescent="0.2"/>
    <row r="968" ht="21" customHeight="1" x14ac:dyDescent="0.2"/>
    <row r="969" ht="21" customHeight="1" x14ac:dyDescent="0.2"/>
    <row r="970" ht="21" customHeight="1" x14ac:dyDescent="0.2"/>
    <row r="971" ht="21" customHeight="1" x14ac:dyDescent="0.2"/>
    <row r="972" ht="21" customHeight="1" x14ac:dyDescent="0.2"/>
    <row r="973" ht="21" customHeight="1" x14ac:dyDescent="0.2"/>
    <row r="974" ht="21" customHeight="1" x14ac:dyDescent="0.2"/>
    <row r="975" ht="21" customHeight="1" x14ac:dyDescent="0.2"/>
    <row r="976" ht="21" customHeight="1" x14ac:dyDescent="0.2"/>
    <row r="977" ht="21" customHeight="1" x14ac:dyDescent="0.2"/>
    <row r="978" ht="21" customHeight="1" x14ac:dyDescent="0.2"/>
    <row r="979" ht="21" customHeight="1" x14ac:dyDescent="0.2"/>
    <row r="980" ht="21" customHeight="1" x14ac:dyDescent="0.2"/>
    <row r="981" ht="21" customHeight="1" x14ac:dyDescent="0.2"/>
    <row r="982" ht="21" customHeight="1" x14ac:dyDescent="0.2"/>
    <row r="983" ht="21" customHeight="1" x14ac:dyDescent="0.2"/>
    <row r="984" ht="21" customHeight="1" x14ac:dyDescent="0.2"/>
    <row r="985" ht="21" customHeight="1" x14ac:dyDescent="0.2"/>
    <row r="986" ht="21" customHeight="1" x14ac:dyDescent="0.2"/>
    <row r="987" ht="21" customHeight="1" x14ac:dyDescent="0.2"/>
    <row r="988" ht="21" customHeight="1" x14ac:dyDescent="0.2"/>
    <row r="989" ht="21" customHeight="1" x14ac:dyDescent="0.2"/>
    <row r="990" ht="21" customHeight="1" x14ac:dyDescent="0.2"/>
    <row r="991" ht="21" customHeight="1" x14ac:dyDescent="0.2"/>
    <row r="992" ht="21" customHeight="1" x14ac:dyDescent="0.2"/>
    <row r="993" ht="21" customHeight="1" x14ac:dyDescent="0.2"/>
    <row r="994" ht="21" customHeight="1" x14ac:dyDescent="0.2"/>
    <row r="995" ht="21" customHeight="1" x14ac:dyDescent="0.2"/>
    <row r="996" ht="21" customHeight="1" x14ac:dyDescent="0.2"/>
    <row r="997" ht="21" customHeight="1" x14ac:dyDescent="0.2"/>
    <row r="998" ht="21" customHeight="1" x14ac:dyDescent="0.2"/>
    <row r="999" ht="21" customHeight="1" x14ac:dyDescent="0.2"/>
    <row r="1000" ht="21" customHeight="1" x14ac:dyDescent="0.2"/>
  </sheetData>
  <hyperlinks>
    <hyperlink ref="C2" r:id="rId1" xr:uid="{00000000-0004-0000-0200-000000000000}"/>
    <hyperlink ref="C3" r:id="rId2" xr:uid="{00000000-0004-0000-0200-000001000000}"/>
    <hyperlink ref="C4" r:id="rId3" xr:uid="{00000000-0004-0000-0200-000002000000}"/>
    <hyperlink ref="C5" r:id="rId4" xr:uid="{00000000-0004-0000-0200-000003000000}"/>
    <hyperlink ref="C6" r:id="rId5" xr:uid="{00000000-0004-0000-0200-000004000000}"/>
    <hyperlink ref="C7" r:id="rId6" xr:uid="{00000000-0004-0000-0200-000005000000}"/>
    <hyperlink ref="C8" r:id="rId7" xr:uid="{00000000-0004-0000-0200-000006000000}"/>
    <hyperlink ref="C9" r:id="rId8" xr:uid="{00000000-0004-0000-0200-000007000000}"/>
    <hyperlink ref="C10" r:id="rId9" xr:uid="{00000000-0004-0000-0200-000008000000}"/>
    <hyperlink ref="C11" r:id="rId10" xr:uid="{00000000-0004-0000-0200-000009000000}"/>
    <hyperlink ref="C12" r:id="rId11" xr:uid="{00000000-0004-0000-0200-00000A000000}"/>
    <hyperlink ref="C13" r:id="rId12" xr:uid="{00000000-0004-0000-0200-00000B000000}"/>
    <hyperlink ref="C14" r:id="rId13" xr:uid="{00000000-0004-0000-0200-00000C000000}"/>
    <hyperlink ref="C15" r:id="rId14" xr:uid="{00000000-0004-0000-0200-00000D000000}"/>
    <hyperlink ref="C16" r:id="rId15" xr:uid="{00000000-0004-0000-0200-00000E000000}"/>
    <hyperlink ref="C17" r:id="rId16" xr:uid="{00000000-0004-0000-0200-00000F000000}"/>
    <hyperlink ref="C18" r:id="rId17" xr:uid="{00000000-0004-0000-0200-000010000000}"/>
    <hyperlink ref="C19" r:id="rId18" xr:uid="{00000000-0004-0000-0200-000011000000}"/>
    <hyperlink ref="C20" r:id="rId19" xr:uid="{00000000-0004-0000-0200-000012000000}"/>
    <hyperlink ref="C21" r:id="rId20" xr:uid="{00000000-0004-0000-0200-000013000000}"/>
    <hyperlink ref="C22" r:id="rId21" xr:uid="{00000000-0004-0000-0200-000014000000}"/>
    <hyperlink ref="C23" r:id="rId22" xr:uid="{00000000-0004-0000-0200-000015000000}"/>
    <hyperlink ref="C24" r:id="rId23" xr:uid="{00000000-0004-0000-0200-000016000000}"/>
    <hyperlink ref="C25" r:id="rId24" xr:uid="{00000000-0004-0000-0200-000017000000}"/>
    <hyperlink ref="C26" r:id="rId25" xr:uid="{00000000-0004-0000-0200-000018000000}"/>
    <hyperlink ref="C28" r:id="rId26" xr:uid="{00000000-0004-0000-0200-000019000000}"/>
    <hyperlink ref="C29" r:id="rId27" xr:uid="{00000000-0004-0000-0200-00001A000000}"/>
    <hyperlink ref="C30" r:id="rId28" xr:uid="{00000000-0004-0000-0200-00001B000000}"/>
    <hyperlink ref="C31" r:id="rId29" xr:uid="{00000000-0004-0000-0200-00001C000000}"/>
    <hyperlink ref="C32" r:id="rId30" xr:uid="{00000000-0004-0000-0200-00001D000000}"/>
    <hyperlink ref="C33" r:id="rId31" xr:uid="{00000000-0004-0000-0200-00001E000000}"/>
    <hyperlink ref="C34" r:id="rId32" xr:uid="{00000000-0004-0000-0200-00001F000000}"/>
    <hyperlink ref="C35" r:id="rId33" xr:uid="{00000000-0004-0000-0200-000020000000}"/>
    <hyperlink ref="C36" r:id="rId34" xr:uid="{00000000-0004-0000-0200-000021000000}"/>
    <hyperlink ref="C37" r:id="rId35" xr:uid="{00000000-0004-0000-0200-000022000000}"/>
    <hyperlink ref="C38" r:id="rId36" xr:uid="{00000000-0004-0000-0200-000023000000}"/>
    <hyperlink ref="C39" r:id="rId37" xr:uid="{00000000-0004-0000-0200-000024000000}"/>
    <hyperlink ref="C40" r:id="rId38" xr:uid="{00000000-0004-0000-0200-000025000000}"/>
    <hyperlink ref="C41" r:id="rId39" xr:uid="{00000000-0004-0000-0200-000026000000}"/>
  </hyperlinks>
  <pageMargins left="0.7" right="0.7" top="0.75" bottom="0.75" header="0.3" footer="0.3"/>
  <drawing r:id="rId4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5" defaultRowHeight="15" x14ac:dyDescent="0.2"/>
  <cols>
    <col min="1" max="1" width="10.83203125" customWidth="1"/>
    <col min="2" max="2" width="46.1640625" customWidth="1"/>
    <col min="3" max="3" width="5.83203125" customWidth="1"/>
    <col min="4" max="4" width="7.33203125" customWidth="1"/>
    <col min="5" max="5" width="53" customWidth="1"/>
    <col min="6" max="6" width="25.6640625" customWidth="1"/>
    <col min="7" max="7" width="30.83203125" customWidth="1"/>
    <col min="8" max="8" width="23.83203125" customWidth="1"/>
    <col min="9" max="9" width="21.83203125" customWidth="1"/>
    <col min="10" max="26" width="10.6640625" customWidth="1"/>
  </cols>
  <sheetData>
    <row r="1" spans="1:26" ht="16" x14ac:dyDescent="0.2">
      <c r="A1" s="4" t="s">
        <v>0</v>
      </c>
      <c r="B1" s="5" t="s">
        <v>1</v>
      </c>
      <c r="C1" s="4" t="s">
        <v>2</v>
      </c>
      <c r="D1" s="4" t="s">
        <v>3</v>
      </c>
      <c r="E1" s="5" t="s">
        <v>1421</v>
      </c>
      <c r="F1" s="5" t="s">
        <v>1422</v>
      </c>
      <c r="G1" s="5" t="s">
        <v>1502</v>
      </c>
      <c r="H1" s="5" t="s">
        <v>1503</v>
      </c>
      <c r="I1" s="6" t="s">
        <v>1504</v>
      </c>
      <c r="J1" s="7"/>
      <c r="K1" s="7"/>
      <c r="L1" s="7"/>
      <c r="M1" s="7"/>
      <c r="N1" s="7"/>
      <c r="O1" s="7"/>
      <c r="P1" s="7"/>
      <c r="Q1" s="7"/>
      <c r="R1" s="7"/>
      <c r="S1" s="7"/>
      <c r="T1" s="7"/>
      <c r="U1" s="7"/>
      <c r="V1" s="7"/>
      <c r="W1" s="7"/>
      <c r="X1" s="7"/>
      <c r="Y1" s="7"/>
      <c r="Z1" s="7"/>
    </row>
    <row r="2" spans="1:26" ht="60" customHeight="1" x14ac:dyDescent="0.2">
      <c r="A2" s="4" t="s">
        <v>11</v>
      </c>
      <c r="B2" s="5" t="s">
        <v>118</v>
      </c>
      <c r="C2" s="8" t="s">
        <v>119</v>
      </c>
      <c r="D2" s="4" t="s">
        <v>120</v>
      </c>
      <c r="E2" s="5" t="s">
        <v>1423</v>
      </c>
      <c r="F2" s="5" t="s">
        <v>1505</v>
      </c>
      <c r="G2" s="5" t="s">
        <v>1506</v>
      </c>
      <c r="H2" s="5" t="s">
        <v>1507</v>
      </c>
      <c r="I2" s="6" t="s">
        <v>1508</v>
      </c>
      <c r="J2" s="7"/>
      <c r="K2" s="7"/>
      <c r="L2" s="7"/>
      <c r="M2" s="7"/>
      <c r="N2" s="7"/>
      <c r="O2" s="7"/>
      <c r="P2" s="7"/>
      <c r="Q2" s="7"/>
      <c r="R2" s="7"/>
      <c r="S2" s="7"/>
      <c r="T2" s="7"/>
      <c r="U2" s="7"/>
      <c r="V2" s="7"/>
      <c r="W2" s="7"/>
      <c r="X2" s="7"/>
      <c r="Y2" s="7"/>
      <c r="Z2" s="7"/>
    </row>
    <row r="3" spans="1:26" ht="137" customHeight="1" x14ac:dyDescent="0.2">
      <c r="A3" s="4" t="s">
        <v>415</v>
      </c>
      <c r="B3" s="5" t="s">
        <v>539</v>
      </c>
      <c r="C3" s="8" t="s">
        <v>540</v>
      </c>
      <c r="D3" s="4" t="s">
        <v>541</v>
      </c>
      <c r="E3" s="5" t="s">
        <v>1509</v>
      </c>
      <c r="F3" s="5" t="s">
        <v>1425</v>
      </c>
      <c r="G3" s="5" t="s">
        <v>1510</v>
      </c>
      <c r="H3" s="5" t="s">
        <v>1511</v>
      </c>
      <c r="I3" s="6" t="s">
        <v>1512</v>
      </c>
      <c r="J3" s="7"/>
      <c r="K3" s="7"/>
      <c r="L3" s="7"/>
      <c r="M3" s="7"/>
      <c r="N3" s="7"/>
      <c r="O3" s="7"/>
      <c r="P3" s="7"/>
      <c r="Q3" s="7"/>
      <c r="R3" s="7"/>
      <c r="S3" s="7"/>
      <c r="T3" s="7"/>
      <c r="U3" s="7"/>
      <c r="V3" s="7"/>
      <c r="W3" s="7"/>
      <c r="X3" s="7"/>
      <c r="Y3" s="7"/>
      <c r="Z3" s="7"/>
    </row>
    <row r="4" spans="1:26" ht="64" x14ac:dyDescent="0.2">
      <c r="A4" s="4" t="s">
        <v>666</v>
      </c>
      <c r="B4" s="5" t="s">
        <v>1103</v>
      </c>
      <c r="C4" s="8" t="s">
        <v>1104</v>
      </c>
      <c r="D4" s="4" t="s">
        <v>1105</v>
      </c>
      <c r="E4" s="5" t="s">
        <v>1426</v>
      </c>
      <c r="F4" s="5" t="s">
        <v>1427</v>
      </c>
      <c r="G4" s="5" t="s">
        <v>1513</v>
      </c>
      <c r="H4" s="5" t="s">
        <v>1514</v>
      </c>
      <c r="I4" s="6"/>
      <c r="J4" s="7"/>
      <c r="K4" s="7"/>
      <c r="L4" s="7"/>
      <c r="M4" s="7"/>
      <c r="N4" s="7"/>
      <c r="O4" s="7"/>
      <c r="P4" s="7"/>
      <c r="Q4" s="7"/>
      <c r="R4" s="7"/>
      <c r="S4" s="7"/>
      <c r="T4" s="7"/>
      <c r="U4" s="7"/>
      <c r="V4" s="7"/>
      <c r="W4" s="7"/>
      <c r="X4" s="7"/>
      <c r="Y4" s="7"/>
      <c r="Z4" s="7"/>
    </row>
    <row r="5" spans="1:26" ht="128" customHeight="1" x14ac:dyDescent="0.2">
      <c r="A5" s="4" t="s">
        <v>415</v>
      </c>
      <c r="B5" s="5" t="s">
        <v>522</v>
      </c>
      <c r="C5" s="8" t="s">
        <v>523</v>
      </c>
      <c r="D5" s="4" t="s">
        <v>524</v>
      </c>
      <c r="E5" s="5" t="s">
        <v>1515</v>
      </c>
      <c r="F5" s="5" t="s">
        <v>1429</v>
      </c>
      <c r="G5" s="5" t="s">
        <v>1516</v>
      </c>
      <c r="H5" s="5" t="s">
        <v>1517</v>
      </c>
      <c r="I5" s="6" t="s">
        <v>1518</v>
      </c>
      <c r="J5" s="7"/>
      <c r="K5" s="7"/>
      <c r="L5" s="7"/>
      <c r="M5" s="7"/>
      <c r="N5" s="7"/>
      <c r="O5" s="7"/>
      <c r="P5" s="7"/>
      <c r="Q5" s="7"/>
      <c r="R5" s="7"/>
      <c r="S5" s="7"/>
      <c r="T5" s="7"/>
      <c r="U5" s="7"/>
      <c r="V5" s="7"/>
      <c r="W5" s="7"/>
      <c r="X5" s="7"/>
      <c r="Y5" s="7"/>
      <c r="Z5" s="7"/>
    </row>
    <row r="6" spans="1:26" ht="376" customHeight="1" x14ac:dyDescent="0.2">
      <c r="A6" s="4" t="s">
        <v>11</v>
      </c>
      <c r="B6" s="5" t="s">
        <v>109</v>
      </c>
      <c r="C6" s="8" t="s">
        <v>110</v>
      </c>
      <c r="D6" s="4" t="s">
        <v>111</v>
      </c>
      <c r="E6" s="5" t="s">
        <v>1430</v>
      </c>
      <c r="F6" s="5" t="s">
        <v>1431</v>
      </c>
      <c r="G6" s="5" t="s">
        <v>1519</v>
      </c>
      <c r="H6" s="5" t="s">
        <v>1520</v>
      </c>
      <c r="I6" s="6" t="s">
        <v>1521</v>
      </c>
      <c r="J6" s="7"/>
      <c r="K6" s="7"/>
      <c r="L6" s="7"/>
      <c r="M6" s="7"/>
      <c r="N6" s="7"/>
      <c r="O6" s="7"/>
      <c r="P6" s="7"/>
      <c r="Q6" s="7"/>
      <c r="R6" s="7"/>
      <c r="S6" s="7"/>
      <c r="T6" s="7"/>
      <c r="U6" s="7"/>
      <c r="V6" s="7"/>
      <c r="W6" s="7"/>
      <c r="X6" s="7"/>
      <c r="Y6" s="7"/>
      <c r="Z6" s="7"/>
    </row>
    <row r="7" spans="1:26" ht="96" x14ac:dyDescent="0.2">
      <c r="A7" s="4" t="s">
        <v>1178</v>
      </c>
      <c r="B7" s="5" t="s">
        <v>1233</v>
      </c>
      <c r="C7" s="8" t="s">
        <v>1234</v>
      </c>
      <c r="D7" s="4" t="s">
        <v>1235</v>
      </c>
      <c r="E7" s="5" t="s">
        <v>1432</v>
      </c>
      <c r="F7" s="5" t="s">
        <v>1433</v>
      </c>
      <c r="G7" s="5" t="s">
        <v>1522</v>
      </c>
      <c r="H7" s="5" t="s">
        <v>1523</v>
      </c>
      <c r="I7" s="6"/>
      <c r="J7" s="7"/>
      <c r="K7" s="7"/>
      <c r="L7" s="7"/>
      <c r="M7" s="7"/>
      <c r="N7" s="7"/>
      <c r="O7" s="7"/>
      <c r="P7" s="7"/>
      <c r="Q7" s="7"/>
      <c r="R7" s="7"/>
      <c r="S7" s="7"/>
      <c r="T7" s="7"/>
      <c r="U7" s="7"/>
      <c r="V7" s="7"/>
      <c r="W7" s="7"/>
      <c r="X7" s="7"/>
      <c r="Y7" s="7"/>
      <c r="Z7" s="7"/>
    </row>
    <row r="8" spans="1:26" ht="102" customHeight="1" x14ac:dyDescent="0.2">
      <c r="A8" s="4" t="s">
        <v>415</v>
      </c>
      <c r="B8" s="5" t="s">
        <v>479</v>
      </c>
      <c r="C8" s="8" t="s">
        <v>480</v>
      </c>
      <c r="D8" s="4" t="s">
        <v>481</v>
      </c>
      <c r="E8" s="5" t="s">
        <v>1434</v>
      </c>
      <c r="F8" s="5" t="s">
        <v>1435</v>
      </c>
      <c r="G8" s="5" t="s">
        <v>1524</v>
      </c>
      <c r="H8" s="5" t="s">
        <v>1514</v>
      </c>
      <c r="I8" s="6"/>
      <c r="J8" s="7"/>
      <c r="K8" s="7"/>
      <c r="L8" s="7"/>
      <c r="M8" s="7"/>
      <c r="N8" s="7"/>
      <c r="O8" s="7"/>
      <c r="P8" s="7"/>
      <c r="Q8" s="7"/>
      <c r="R8" s="7"/>
      <c r="S8" s="7"/>
      <c r="T8" s="7"/>
      <c r="U8" s="7"/>
      <c r="V8" s="7"/>
      <c r="W8" s="7"/>
      <c r="X8" s="7"/>
      <c r="Y8" s="7"/>
      <c r="Z8" s="7"/>
    </row>
    <row r="9" spans="1:26" ht="150" customHeight="1" x14ac:dyDescent="0.2">
      <c r="A9" s="4" t="s">
        <v>666</v>
      </c>
      <c r="B9" s="5" t="s">
        <v>1078</v>
      </c>
      <c r="C9" s="8" t="s">
        <v>1079</v>
      </c>
      <c r="D9" s="4" t="s">
        <v>1080</v>
      </c>
      <c r="E9" s="5" t="s">
        <v>1436</v>
      </c>
      <c r="F9" s="5" t="s">
        <v>1437</v>
      </c>
      <c r="G9" s="5" t="s">
        <v>1525</v>
      </c>
      <c r="H9" s="5" t="s">
        <v>1526</v>
      </c>
      <c r="I9" s="6" t="s">
        <v>1527</v>
      </c>
      <c r="J9" s="7"/>
      <c r="K9" s="7"/>
      <c r="L9" s="7"/>
      <c r="M9" s="7"/>
      <c r="N9" s="7"/>
      <c r="O9" s="7"/>
      <c r="P9" s="7"/>
      <c r="Q9" s="7"/>
      <c r="R9" s="7"/>
      <c r="S9" s="7"/>
      <c r="T9" s="7"/>
      <c r="U9" s="7"/>
      <c r="V9" s="7"/>
      <c r="W9" s="7"/>
      <c r="X9" s="7"/>
      <c r="Y9" s="7"/>
      <c r="Z9" s="7"/>
    </row>
    <row r="10" spans="1:26" ht="214" customHeight="1" x14ac:dyDescent="0.2">
      <c r="A10" s="4" t="s">
        <v>11</v>
      </c>
      <c r="B10" s="5" t="s">
        <v>277</v>
      </c>
      <c r="C10" s="8" t="s">
        <v>278</v>
      </c>
      <c r="D10" s="4" t="s">
        <v>279</v>
      </c>
      <c r="E10" s="5" t="s">
        <v>1438</v>
      </c>
      <c r="F10" s="5" t="s">
        <v>1439</v>
      </c>
      <c r="G10" s="5" t="s">
        <v>1528</v>
      </c>
      <c r="H10" s="5" t="s">
        <v>1529</v>
      </c>
      <c r="I10" s="6" t="s">
        <v>1530</v>
      </c>
      <c r="J10" s="7"/>
      <c r="K10" s="7"/>
      <c r="L10" s="7"/>
      <c r="M10" s="7"/>
      <c r="N10" s="7"/>
      <c r="O10" s="7"/>
      <c r="P10" s="7"/>
      <c r="Q10" s="7"/>
      <c r="R10" s="7"/>
      <c r="S10" s="7"/>
      <c r="T10" s="7"/>
      <c r="U10" s="7"/>
      <c r="V10" s="7"/>
      <c r="W10" s="7"/>
      <c r="X10" s="7"/>
      <c r="Y10" s="7"/>
      <c r="Z10" s="7"/>
    </row>
    <row r="11" spans="1:26" ht="181" customHeight="1" x14ac:dyDescent="0.2">
      <c r="A11" s="4" t="s">
        <v>666</v>
      </c>
      <c r="B11" s="5" t="s">
        <v>1032</v>
      </c>
      <c r="C11" s="8" t="s">
        <v>1033</v>
      </c>
      <c r="D11" s="4" t="s">
        <v>1034</v>
      </c>
      <c r="E11" s="5" t="s">
        <v>1440</v>
      </c>
      <c r="F11" s="5" t="s">
        <v>1441</v>
      </c>
      <c r="G11" s="5" t="s">
        <v>1531</v>
      </c>
      <c r="H11" s="5" t="s">
        <v>1532</v>
      </c>
      <c r="I11" s="6" t="s">
        <v>1533</v>
      </c>
      <c r="J11" s="7"/>
      <c r="K11" s="7"/>
      <c r="L11" s="7"/>
      <c r="M11" s="7"/>
      <c r="N11" s="7"/>
      <c r="O11" s="7"/>
      <c r="P11" s="7"/>
      <c r="Q11" s="7"/>
      <c r="R11" s="7"/>
      <c r="S11" s="7"/>
      <c r="T11" s="7"/>
      <c r="U11" s="7"/>
      <c r="V11" s="7"/>
      <c r="W11" s="7"/>
      <c r="X11" s="7"/>
      <c r="Y11" s="7"/>
      <c r="Z11" s="7"/>
    </row>
    <row r="12" spans="1:26" ht="137" customHeight="1" x14ac:dyDescent="0.2">
      <c r="A12" s="4" t="s">
        <v>11</v>
      </c>
      <c r="B12" s="5" t="s">
        <v>377</v>
      </c>
      <c r="C12" s="8" t="s">
        <v>378</v>
      </c>
      <c r="D12" s="4" t="s">
        <v>379</v>
      </c>
      <c r="E12" s="5" t="s">
        <v>1534</v>
      </c>
      <c r="F12" s="5" t="s">
        <v>1443</v>
      </c>
      <c r="G12" s="5" t="s">
        <v>1535</v>
      </c>
      <c r="H12" s="5" t="s">
        <v>1536</v>
      </c>
      <c r="I12" s="6" t="s">
        <v>1537</v>
      </c>
      <c r="J12" s="7"/>
      <c r="K12" s="7"/>
      <c r="L12" s="7"/>
      <c r="M12" s="7"/>
      <c r="N12" s="7"/>
      <c r="O12" s="7"/>
      <c r="P12" s="7"/>
      <c r="Q12" s="7"/>
      <c r="R12" s="7"/>
      <c r="S12" s="7"/>
      <c r="T12" s="7"/>
      <c r="U12" s="7"/>
      <c r="V12" s="7"/>
      <c r="W12" s="7"/>
      <c r="X12" s="7"/>
      <c r="Y12" s="7"/>
      <c r="Z12" s="7"/>
    </row>
    <row r="13" spans="1:26" ht="172" customHeight="1" x14ac:dyDescent="0.2">
      <c r="A13" s="4" t="s">
        <v>666</v>
      </c>
      <c r="B13" s="5" t="s">
        <v>703</v>
      </c>
      <c r="C13" s="8" t="s">
        <v>704</v>
      </c>
      <c r="D13" s="4" t="s">
        <v>705</v>
      </c>
      <c r="E13" s="5" t="s">
        <v>1444</v>
      </c>
      <c r="F13" s="5" t="s">
        <v>1445</v>
      </c>
      <c r="G13" s="5" t="s">
        <v>1538</v>
      </c>
      <c r="H13" s="5" t="s">
        <v>1539</v>
      </c>
      <c r="I13" s="6" t="s">
        <v>1540</v>
      </c>
      <c r="J13" s="7"/>
      <c r="K13" s="7"/>
      <c r="L13" s="7"/>
      <c r="M13" s="7"/>
      <c r="N13" s="7"/>
      <c r="O13" s="7"/>
      <c r="P13" s="7"/>
      <c r="Q13" s="7"/>
      <c r="R13" s="7"/>
      <c r="S13" s="7"/>
      <c r="T13" s="7"/>
      <c r="U13" s="7"/>
      <c r="V13" s="7"/>
      <c r="W13" s="7"/>
      <c r="X13" s="7"/>
      <c r="Y13" s="7"/>
      <c r="Z13" s="7"/>
    </row>
    <row r="14" spans="1:26" ht="268" customHeight="1" x14ac:dyDescent="0.2">
      <c r="A14" s="4" t="s">
        <v>11</v>
      </c>
      <c r="B14" s="5" t="s">
        <v>282</v>
      </c>
      <c r="C14" s="8" t="s">
        <v>283</v>
      </c>
      <c r="D14" s="4" t="s">
        <v>284</v>
      </c>
      <c r="E14" s="5" t="s">
        <v>1446</v>
      </c>
      <c r="F14" s="5" t="s">
        <v>1447</v>
      </c>
      <c r="G14" s="5" t="s">
        <v>1541</v>
      </c>
      <c r="H14" s="5" t="s">
        <v>1542</v>
      </c>
      <c r="I14" s="6" t="s">
        <v>1543</v>
      </c>
      <c r="J14" s="7"/>
      <c r="K14" s="7"/>
      <c r="L14" s="7"/>
      <c r="M14" s="7"/>
      <c r="N14" s="7"/>
      <c r="O14" s="7"/>
      <c r="P14" s="7"/>
      <c r="Q14" s="7"/>
      <c r="R14" s="7"/>
      <c r="S14" s="7"/>
      <c r="T14" s="7"/>
      <c r="U14" s="7"/>
      <c r="V14" s="7"/>
      <c r="W14" s="7"/>
      <c r="X14" s="7"/>
      <c r="Y14" s="7"/>
      <c r="Z14" s="7"/>
    </row>
    <row r="15" spans="1:26" ht="365" x14ac:dyDescent="0.2">
      <c r="A15" s="4" t="s">
        <v>415</v>
      </c>
      <c r="B15" s="5" t="s">
        <v>657</v>
      </c>
      <c r="C15" s="8" t="s">
        <v>658</v>
      </c>
      <c r="D15" s="4" t="s">
        <v>659</v>
      </c>
      <c r="E15" s="5" t="s">
        <v>1448</v>
      </c>
      <c r="F15" s="5" t="s">
        <v>1449</v>
      </c>
      <c r="G15" s="5" t="s">
        <v>1544</v>
      </c>
      <c r="H15" s="5" t="s">
        <v>1545</v>
      </c>
      <c r="I15" s="6" t="s">
        <v>1546</v>
      </c>
      <c r="J15" s="7"/>
      <c r="K15" s="7"/>
      <c r="L15" s="7"/>
      <c r="M15" s="7"/>
      <c r="N15" s="7"/>
      <c r="O15" s="7"/>
      <c r="P15" s="7"/>
      <c r="Q15" s="7"/>
      <c r="R15" s="7"/>
      <c r="S15" s="7"/>
      <c r="T15" s="7"/>
      <c r="U15" s="7"/>
      <c r="V15" s="7"/>
      <c r="W15" s="7"/>
      <c r="X15" s="7"/>
      <c r="Y15" s="7"/>
      <c r="Z15" s="7"/>
    </row>
    <row r="16" spans="1:26" ht="288" x14ac:dyDescent="0.2">
      <c r="A16" s="4" t="s">
        <v>415</v>
      </c>
      <c r="B16" s="5" t="s">
        <v>589</v>
      </c>
      <c r="C16" s="8" t="s">
        <v>590</v>
      </c>
      <c r="D16" s="4" t="s">
        <v>591</v>
      </c>
      <c r="E16" s="5" t="s">
        <v>1450</v>
      </c>
      <c r="F16" s="5" t="s">
        <v>1451</v>
      </c>
      <c r="G16" s="5" t="s">
        <v>1547</v>
      </c>
      <c r="H16" s="5" t="s">
        <v>1548</v>
      </c>
      <c r="I16" s="6" t="s">
        <v>1549</v>
      </c>
      <c r="J16" s="7"/>
      <c r="K16" s="7"/>
      <c r="L16" s="7"/>
      <c r="M16" s="7"/>
      <c r="N16" s="7"/>
      <c r="O16" s="7"/>
      <c r="P16" s="7"/>
      <c r="Q16" s="7"/>
      <c r="R16" s="7"/>
      <c r="S16" s="7"/>
      <c r="T16" s="7"/>
      <c r="U16" s="7"/>
      <c r="V16" s="7"/>
      <c r="W16" s="7"/>
      <c r="X16" s="7"/>
      <c r="Y16" s="7"/>
      <c r="Z16" s="7"/>
    </row>
    <row r="17" spans="1:26" ht="208" x14ac:dyDescent="0.2">
      <c r="A17" s="4" t="s">
        <v>1178</v>
      </c>
      <c r="B17" s="5" t="s">
        <v>1253</v>
      </c>
      <c r="C17" s="8" t="s">
        <v>1254</v>
      </c>
      <c r="D17" s="4" t="s">
        <v>1255</v>
      </c>
      <c r="E17" s="5" t="s">
        <v>1452</v>
      </c>
      <c r="F17" s="5" t="s">
        <v>1453</v>
      </c>
      <c r="G17" s="5" t="s">
        <v>1550</v>
      </c>
      <c r="H17" s="5" t="s">
        <v>1551</v>
      </c>
      <c r="I17" s="6" t="s">
        <v>1552</v>
      </c>
      <c r="J17" s="7"/>
      <c r="K17" s="7"/>
      <c r="L17" s="7"/>
      <c r="M17" s="7"/>
      <c r="N17" s="7"/>
      <c r="O17" s="7"/>
      <c r="P17" s="7"/>
      <c r="Q17" s="7"/>
      <c r="R17" s="7"/>
      <c r="S17" s="7"/>
      <c r="T17" s="7"/>
      <c r="U17" s="7"/>
      <c r="V17" s="7"/>
      <c r="W17" s="7"/>
      <c r="X17" s="7"/>
      <c r="Y17" s="7"/>
      <c r="Z17" s="7"/>
    </row>
    <row r="18" spans="1:26" ht="272" x14ac:dyDescent="0.2">
      <c r="A18" s="4" t="s">
        <v>666</v>
      </c>
      <c r="B18" s="5" t="s">
        <v>904</v>
      </c>
      <c r="C18" s="8" t="s">
        <v>905</v>
      </c>
      <c r="D18" s="4" t="s">
        <v>906</v>
      </c>
      <c r="E18" s="5" t="s">
        <v>1454</v>
      </c>
      <c r="F18" s="5" t="s">
        <v>1455</v>
      </c>
      <c r="G18" s="5" t="s">
        <v>1553</v>
      </c>
      <c r="H18" s="5" t="s">
        <v>1554</v>
      </c>
      <c r="I18" s="6" t="s">
        <v>1555</v>
      </c>
      <c r="J18" s="7"/>
      <c r="K18" s="7"/>
      <c r="L18" s="7"/>
      <c r="M18" s="7"/>
      <c r="N18" s="7"/>
      <c r="O18" s="7"/>
      <c r="P18" s="7"/>
      <c r="Q18" s="7"/>
      <c r="R18" s="7"/>
      <c r="S18" s="7"/>
      <c r="T18" s="7"/>
      <c r="U18" s="7"/>
      <c r="V18" s="7"/>
      <c r="W18" s="7"/>
      <c r="X18" s="7"/>
      <c r="Y18" s="7"/>
      <c r="Z18" s="7"/>
    </row>
    <row r="19" spans="1:26" ht="320" x14ac:dyDescent="0.2">
      <c r="A19" s="4" t="s">
        <v>666</v>
      </c>
      <c r="B19" s="5" t="s">
        <v>748</v>
      </c>
      <c r="C19" s="8" t="s">
        <v>749</v>
      </c>
      <c r="D19" s="4" t="s">
        <v>750</v>
      </c>
      <c r="E19" s="5" t="s">
        <v>1456</v>
      </c>
      <c r="F19" s="5" t="s">
        <v>1457</v>
      </c>
      <c r="G19" s="5" t="s">
        <v>1556</v>
      </c>
      <c r="H19" s="5" t="s">
        <v>1557</v>
      </c>
      <c r="I19" s="6" t="s">
        <v>1558</v>
      </c>
      <c r="J19" s="7"/>
      <c r="K19" s="7"/>
      <c r="L19" s="7"/>
      <c r="M19" s="7"/>
      <c r="N19" s="7"/>
      <c r="O19" s="7"/>
      <c r="P19" s="7"/>
      <c r="Q19" s="7"/>
      <c r="R19" s="7"/>
      <c r="S19" s="7"/>
      <c r="T19" s="7"/>
      <c r="U19" s="7"/>
      <c r="V19" s="7"/>
      <c r="W19" s="7"/>
      <c r="X19" s="7"/>
      <c r="Y19" s="7"/>
      <c r="Z19" s="7"/>
    </row>
    <row r="20" spans="1:26" ht="272" x14ac:dyDescent="0.2">
      <c r="A20" s="4" t="s">
        <v>11</v>
      </c>
      <c r="B20" s="5" t="s">
        <v>389</v>
      </c>
      <c r="C20" s="8" t="s">
        <v>390</v>
      </c>
      <c r="D20" s="4" t="s">
        <v>391</v>
      </c>
      <c r="E20" s="5" t="s">
        <v>1458</v>
      </c>
      <c r="F20" s="5" t="s">
        <v>1459</v>
      </c>
      <c r="G20" s="5" t="s">
        <v>1559</v>
      </c>
      <c r="H20" s="5" t="s">
        <v>1560</v>
      </c>
      <c r="I20" s="6" t="s">
        <v>1561</v>
      </c>
      <c r="J20" s="7"/>
      <c r="K20" s="7"/>
      <c r="L20" s="7"/>
      <c r="M20" s="7"/>
      <c r="N20" s="7"/>
      <c r="O20" s="7"/>
      <c r="P20" s="7"/>
      <c r="Q20" s="7"/>
      <c r="R20" s="7"/>
      <c r="S20" s="7"/>
      <c r="T20" s="7"/>
      <c r="U20" s="7"/>
      <c r="V20" s="7"/>
      <c r="W20" s="7"/>
      <c r="X20" s="7"/>
      <c r="Y20" s="7"/>
      <c r="Z20" s="7"/>
    </row>
    <row r="21" spans="1:26" ht="21" customHeight="1" x14ac:dyDescent="0.2">
      <c r="A21" s="4" t="s">
        <v>666</v>
      </c>
      <c r="B21" s="5" t="s">
        <v>851</v>
      </c>
      <c r="C21" s="8" t="s">
        <v>852</v>
      </c>
      <c r="D21" s="4" t="s">
        <v>853</v>
      </c>
      <c r="E21" s="5" t="s">
        <v>1460</v>
      </c>
      <c r="F21" s="5" t="s">
        <v>1461</v>
      </c>
      <c r="G21" s="5" t="s">
        <v>1562</v>
      </c>
      <c r="H21" s="5" t="s">
        <v>1563</v>
      </c>
      <c r="I21" s="6" t="s">
        <v>1564</v>
      </c>
      <c r="J21" s="7"/>
      <c r="K21" s="7"/>
      <c r="L21" s="7"/>
      <c r="M21" s="7"/>
      <c r="N21" s="7"/>
      <c r="O21" s="7"/>
      <c r="P21" s="7"/>
      <c r="Q21" s="7"/>
      <c r="R21" s="7"/>
      <c r="S21" s="7"/>
      <c r="T21" s="7"/>
      <c r="U21" s="7"/>
      <c r="V21" s="7"/>
      <c r="W21" s="7"/>
      <c r="X21" s="7"/>
      <c r="Y21" s="7"/>
      <c r="Z21" s="7"/>
    </row>
    <row r="22" spans="1:26" ht="21" customHeight="1" x14ac:dyDescent="0.2">
      <c r="A22" s="4" t="s">
        <v>11</v>
      </c>
      <c r="B22" s="5" t="s">
        <v>246</v>
      </c>
      <c r="C22" s="8" t="s">
        <v>247</v>
      </c>
      <c r="D22" s="4" t="s">
        <v>248</v>
      </c>
      <c r="E22" s="5" t="s">
        <v>1462</v>
      </c>
      <c r="F22" s="5" t="s">
        <v>1463</v>
      </c>
      <c r="G22" s="5" t="s">
        <v>1565</v>
      </c>
      <c r="H22" s="5" t="s">
        <v>1566</v>
      </c>
      <c r="I22" s="6" t="s">
        <v>1567</v>
      </c>
      <c r="J22" s="7"/>
      <c r="K22" s="7"/>
      <c r="L22" s="7"/>
      <c r="M22" s="7"/>
      <c r="N22" s="7"/>
      <c r="O22" s="7"/>
      <c r="P22" s="7"/>
      <c r="Q22" s="7"/>
      <c r="R22" s="7"/>
      <c r="S22" s="7"/>
      <c r="T22" s="7"/>
      <c r="U22" s="7"/>
      <c r="V22" s="7"/>
      <c r="W22" s="7"/>
      <c r="X22" s="7"/>
      <c r="Y22" s="7"/>
      <c r="Z22" s="7"/>
    </row>
    <row r="23" spans="1:26" ht="21" customHeight="1" x14ac:dyDescent="0.2">
      <c r="A23" s="4" t="s">
        <v>415</v>
      </c>
      <c r="B23" s="5" t="s">
        <v>509</v>
      </c>
      <c r="C23" s="8" t="s">
        <v>510</v>
      </c>
      <c r="D23" s="4" t="s">
        <v>511</v>
      </c>
      <c r="E23" s="5" t="s">
        <v>1464</v>
      </c>
      <c r="F23" s="5" t="s">
        <v>1465</v>
      </c>
      <c r="G23" s="5" t="s">
        <v>1568</v>
      </c>
      <c r="H23" s="5" t="s">
        <v>1569</v>
      </c>
      <c r="I23" s="6" t="s">
        <v>1570</v>
      </c>
      <c r="J23" s="7"/>
      <c r="K23" s="7"/>
      <c r="L23" s="7"/>
      <c r="M23" s="7"/>
      <c r="N23" s="7"/>
      <c r="O23" s="7"/>
      <c r="P23" s="7"/>
      <c r="Q23" s="7"/>
      <c r="R23" s="7"/>
      <c r="S23" s="7"/>
      <c r="T23" s="7"/>
      <c r="U23" s="7"/>
      <c r="V23" s="7"/>
      <c r="W23" s="7"/>
      <c r="X23" s="7"/>
      <c r="Y23" s="7"/>
      <c r="Z23" s="7"/>
    </row>
    <row r="24" spans="1:26" ht="21" customHeight="1" x14ac:dyDescent="0.2">
      <c r="A24" s="4" t="s">
        <v>1178</v>
      </c>
      <c r="B24" s="5" t="s">
        <v>1396</v>
      </c>
      <c r="C24" s="8" t="s">
        <v>1397</v>
      </c>
      <c r="D24" s="4" t="s">
        <v>1398</v>
      </c>
      <c r="E24" s="5" t="s">
        <v>1466</v>
      </c>
      <c r="F24" s="5" t="s">
        <v>1467</v>
      </c>
      <c r="G24" s="5" t="s">
        <v>1571</v>
      </c>
      <c r="H24" s="5" t="s">
        <v>1572</v>
      </c>
      <c r="I24" s="6" t="s">
        <v>1573</v>
      </c>
      <c r="J24" s="7"/>
      <c r="K24" s="7"/>
      <c r="L24" s="7"/>
      <c r="M24" s="7"/>
      <c r="N24" s="7"/>
      <c r="O24" s="7"/>
      <c r="P24" s="7"/>
      <c r="Q24" s="7"/>
      <c r="R24" s="7"/>
      <c r="S24" s="7"/>
      <c r="T24" s="7"/>
      <c r="U24" s="7"/>
      <c r="V24" s="7"/>
      <c r="W24" s="7"/>
      <c r="X24" s="7"/>
      <c r="Y24" s="7"/>
      <c r="Z24" s="7"/>
    </row>
    <row r="25" spans="1:26" ht="21" customHeight="1" x14ac:dyDescent="0.2">
      <c r="A25" s="4" t="s">
        <v>1178</v>
      </c>
      <c r="B25" s="5" t="s">
        <v>1328</v>
      </c>
      <c r="C25" s="8" t="s">
        <v>1329</v>
      </c>
      <c r="D25" s="4" t="s">
        <v>1330</v>
      </c>
      <c r="E25" s="5" t="s">
        <v>1468</v>
      </c>
      <c r="F25" s="5" t="s">
        <v>1469</v>
      </c>
      <c r="G25" s="5" t="s">
        <v>1574</v>
      </c>
      <c r="H25" s="5" t="s">
        <v>1575</v>
      </c>
      <c r="I25" s="6" t="s">
        <v>1576</v>
      </c>
      <c r="J25" s="7"/>
      <c r="K25" s="7"/>
      <c r="L25" s="7"/>
      <c r="M25" s="7"/>
      <c r="N25" s="7"/>
      <c r="O25" s="7"/>
      <c r="P25" s="7"/>
      <c r="Q25" s="7"/>
      <c r="R25" s="7"/>
      <c r="S25" s="7"/>
      <c r="T25" s="7"/>
      <c r="U25" s="7"/>
      <c r="V25" s="7"/>
      <c r="W25" s="7"/>
      <c r="X25" s="7"/>
      <c r="Y25" s="7"/>
      <c r="Z25" s="7"/>
    </row>
    <row r="26" spans="1:26" ht="21" customHeight="1" x14ac:dyDescent="0.2">
      <c r="A26" s="4" t="s">
        <v>1178</v>
      </c>
      <c r="B26" s="5" t="s">
        <v>1400</v>
      </c>
      <c r="C26" s="8" t="s">
        <v>1401</v>
      </c>
      <c r="D26" s="4" t="s">
        <v>1402</v>
      </c>
      <c r="E26" s="5" t="s">
        <v>1470</v>
      </c>
      <c r="F26" s="5" t="s">
        <v>1471</v>
      </c>
      <c r="G26" s="5" t="s">
        <v>1577</v>
      </c>
      <c r="H26" s="5" t="s">
        <v>1578</v>
      </c>
      <c r="I26" s="6" t="s">
        <v>1579</v>
      </c>
      <c r="J26" s="7"/>
      <c r="K26" s="7"/>
      <c r="L26" s="7"/>
      <c r="M26" s="7"/>
      <c r="N26" s="7"/>
      <c r="O26" s="7"/>
      <c r="P26" s="7"/>
      <c r="Q26" s="7"/>
      <c r="R26" s="7"/>
      <c r="S26" s="7"/>
      <c r="T26" s="7"/>
      <c r="U26" s="7"/>
      <c r="V26" s="7"/>
      <c r="W26" s="7"/>
      <c r="X26" s="7"/>
      <c r="Y26" s="7"/>
      <c r="Z26" s="7"/>
    </row>
    <row r="27" spans="1:26" ht="21" customHeight="1" x14ac:dyDescent="0.2">
      <c r="A27" s="4" t="s">
        <v>11</v>
      </c>
      <c r="B27" s="5" t="s">
        <v>187</v>
      </c>
      <c r="C27" s="4" t="s">
        <v>188</v>
      </c>
      <c r="D27" s="4" t="s">
        <v>189</v>
      </c>
      <c r="E27" s="5" t="s">
        <v>1472</v>
      </c>
      <c r="F27" s="5" t="s">
        <v>1473</v>
      </c>
      <c r="G27" s="5" t="s">
        <v>1580</v>
      </c>
      <c r="H27" s="5" t="s">
        <v>1581</v>
      </c>
      <c r="I27" s="6" t="s">
        <v>1582</v>
      </c>
      <c r="J27" s="7"/>
      <c r="K27" s="7"/>
      <c r="L27" s="7"/>
      <c r="M27" s="7"/>
      <c r="N27" s="7"/>
      <c r="O27" s="7"/>
      <c r="P27" s="7"/>
      <c r="Q27" s="7"/>
      <c r="R27" s="7"/>
      <c r="S27" s="7"/>
      <c r="T27" s="7"/>
      <c r="U27" s="7"/>
      <c r="V27" s="7"/>
      <c r="W27" s="7"/>
      <c r="X27" s="7"/>
      <c r="Y27" s="7"/>
      <c r="Z27" s="7"/>
    </row>
    <row r="28" spans="1:26" ht="21" customHeight="1" x14ac:dyDescent="0.2">
      <c r="A28" s="4" t="s">
        <v>1178</v>
      </c>
      <c r="B28" s="5" t="s">
        <v>1216</v>
      </c>
      <c r="C28" s="8" t="s">
        <v>1217</v>
      </c>
      <c r="D28" s="4" t="s">
        <v>1218</v>
      </c>
      <c r="E28" s="5" t="s">
        <v>1474</v>
      </c>
      <c r="F28" s="5" t="s">
        <v>1475</v>
      </c>
      <c r="G28" s="5" t="s">
        <v>1583</v>
      </c>
      <c r="H28" s="5" t="s">
        <v>1572</v>
      </c>
      <c r="I28" s="6" t="s">
        <v>1584</v>
      </c>
      <c r="J28" s="7"/>
      <c r="K28" s="7"/>
      <c r="L28" s="7"/>
      <c r="M28" s="7"/>
      <c r="N28" s="7"/>
      <c r="O28" s="7"/>
      <c r="P28" s="7"/>
      <c r="Q28" s="7"/>
      <c r="R28" s="7"/>
      <c r="S28" s="7"/>
      <c r="T28" s="7"/>
      <c r="U28" s="7"/>
      <c r="V28" s="7"/>
      <c r="W28" s="7"/>
      <c r="X28" s="7"/>
      <c r="Y28" s="7"/>
      <c r="Z28" s="7"/>
    </row>
    <row r="29" spans="1:26" ht="21" customHeight="1" x14ac:dyDescent="0.2">
      <c r="A29" s="4" t="s">
        <v>1178</v>
      </c>
      <c r="B29" s="5" t="s">
        <v>1228</v>
      </c>
      <c r="C29" s="8" t="s">
        <v>1229</v>
      </c>
      <c r="D29" s="4" t="s">
        <v>1230</v>
      </c>
      <c r="E29" s="5" t="s">
        <v>1476</v>
      </c>
      <c r="F29" s="5" t="s">
        <v>1477</v>
      </c>
      <c r="G29" s="5" t="s">
        <v>1585</v>
      </c>
      <c r="H29" s="5" t="s">
        <v>1586</v>
      </c>
      <c r="I29" s="6" t="s">
        <v>1587</v>
      </c>
      <c r="J29" s="7"/>
      <c r="K29" s="7"/>
      <c r="L29" s="7"/>
      <c r="M29" s="7"/>
      <c r="N29" s="7"/>
      <c r="O29" s="7"/>
      <c r="P29" s="7"/>
      <c r="Q29" s="7"/>
      <c r="R29" s="7"/>
      <c r="S29" s="7"/>
      <c r="T29" s="7"/>
      <c r="U29" s="7"/>
      <c r="V29" s="7"/>
      <c r="W29" s="7"/>
      <c r="X29" s="7"/>
      <c r="Y29" s="7"/>
      <c r="Z29" s="7"/>
    </row>
    <row r="30" spans="1:26" ht="21" customHeight="1" x14ac:dyDescent="0.2">
      <c r="A30" s="4" t="s">
        <v>11</v>
      </c>
      <c r="B30" s="5" t="s">
        <v>66</v>
      </c>
      <c r="C30" s="8" t="s">
        <v>67</v>
      </c>
      <c r="D30" s="4" t="s">
        <v>68</v>
      </c>
      <c r="E30" s="5" t="s">
        <v>1478</v>
      </c>
      <c r="F30" s="5" t="s">
        <v>1479</v>
      </c>
      <c r="G30" s="5" t="s">
        <v>1588</v>
      </c>
      <c r="H30" s="5" t="s">
        <v>1589</v>
      </c>
      <c r="I30" s="6" t="s">
        <v>1590</v>
      </c>
      <c r="J30" s="7"/>
      <c r="K30" s="7"/>
      <c r="L30" s="7"/>
      <c r="M30" s="7"/>
      <c r="N30" s="7"/>
      <c r="O30" s="7"/>
      <c r="P30" s="7"/>
      <c r="Q30" s="7"/>
      <c r="R30" s="7"/>
      <c r="S30" s="7"/>
      <c r="T30" s="7"/>
      <c r="U30" s="7"/>
      <c r="V30" s="7"/>
      <c r="W30" s="7"/>
      <c r="X30" s="7"/>
      <c r="Y30" s="7"/>
      <c r="Z30" s="7"/>
    </row>
    <row r="31" spans="1:26" ht="21" customHeight="1" x14ac:dyDescent="0.2">
      <c r="A31" s="4" t="s">
        <v>666</v>
      </c>
      <c r="B31" s="5" t="s">
        <v>687</v>
      </c>
      <c r="C31" s="8" t="s">
        <v>688</v>
      </c>
      <c r="D31" s="4" t="s">
        <v>689</v>
      </c>
      <c r="E31" s="5" t="s">
        <v>1480</v>
      </c>
      <c r="F31" s="5" t="s">
        <v>1481</v>
      </c>
      <c r="G31" s="5" t="s">
        <v>1591</v>
      </c>
      <c r="H31" s="5" t="s">
        <v>1592</v>
      </c>
      <c r="I31" s="6" t="s">
        <v>1593</v>
      </c>
      <c r="J31" s="7"/>
      <c r="K31" s="7"/>
      <c r="L31" s="7"/>
      <c r="M31" s="7"/>
      <c r="N31" s="7"/>
      <c r="O31" s="7"/>
      <c r="P31" s="7"/>
      <c r="Q31" s="7"/>
      <c r="R31" s="7"/>
      <c r="S31" s="7"/>
      <c r="T31" s="7"/>
      <c r="U31" s="7"/>
      <c r="V31" s="7"/>
      <c r="W31" s="7"/>
      <c r="X31" s="7"/>
      <c r="Y31" s="7"/>
      <c r="Z31" s="7"/>
    </row>
    <row r="32" spans="1:26" ht="21" customHeight="1" x14ac:dyDescent="0.2">
      <c r="A32" s="4" t="s">
        <v>1178</v>
      </c>
      <c r="B32" s="5" t="s">
        <v>1261</v>
      </c>
      <c r="C32" s="8" t="s">
        <v>1262</v>
      </c>
      <c r="D32" s="4" t="s">
        <v>1263</v>
      </c>
      <c r="E32" s="5" t="s">
        <v>1482</v>
      </c>
      <c r="F32" s="5" t="s">
        <v>1483</v>
      </c>
      <c r="G32" s="5" t="s">
        <v>1531</v>
      </c>
      <c r="H32" s="5" t="s">
        <v>1594</v>
      </c>
      <c r="I32" s="6" t="s">
        <v>1595</v>
      </c>
      <c r="J32" s="7"/>
      <c r="K32" s="7"/>
      <c r="L32" s="7"/>
      <c r="M32" s="7"/>
      <c r="N32" s="7"/>
      <c r="O32" s="7"/>
      <c r="P32" s="7"/>
      <c r="Q32" s="7"/>
      <c r="R32" s="7"/>
      <c r="S32" s="7"/>
      <c r="T32" s="7"/>
      <c r="U32" s="7"/>
      <c r="V32" s="7"/>
      <c r="W32" s="7"/>
      <c r="X32" s="7"/>
      <c r="Y32" s="7"/>
      <c r="Z32" s="7"/>
    </row>
    <row r="33" spans="1:26" ht="21" customHeight="1" x14ac:dyDescent="0.2">
      <c r="A33" s="4" t="s">
        <v>11</v>
      </c>
      <c r="B33" s="5" t="s">
        <v>164</v>
      </c>
      <c r="C33" s="8" t="s">
        <v>165</v>
      </c>
      <c r="D33" s="4" t="s">
        <v>166</v>
      </c>
      <c r="E33" s="5" t="s">
        <v>1484</v>
      </c>
      <c r="F33" s="5" t="s">
        <v>1485</v>
      </c>
      <c r="G33" s="5" t="s">
        <v>1596</v>
      </c>
      <c r="H33" s="5" t="s">
        <v>1597</v>
      </c>
      <c r="I33" s="6" t="s">
        <v>1598</v>
      </c>
      <c r="J33" s="7"/>
      <c r="K33" s="7"/>
      <c r="L33" s="7"/>
      <c r="M33" s="7"/>
      <c r="N33" s="7"/>
      <c r="O33" s="7"/>
      <c r="P33" s="7"/>
      <c r="Q33" s="7"/>
      <c r="R33" s="7"/>
      <c r="S33" s="7"/>
      <c r="T33" s="7"/>
      <c r="U33" s="7"/>
      <c r="V33" s="7"/>
      <c r="W33" s="7"/>
      <c r="X33" s="7"/>
      <c r="Y33" s="7"/>
      <c r="Z33" s="7"/>
    </row>
    <row r="34" spans="1:26" ht="21" customHeight="1" x14ac:dyDescent="0.2">
      <c r="A34" s="4" t="s">
        <v>1178</v>
      </c>
      <c r="B34" s="5" t="s">
        <v>1345</v>
      </c>
      <c r="C34" s="8" t="s">
        <v>1346</v>
      </c>
      <c r="D34" s="4" t="s">
        <v>1347</v>
      </c>
      <c r="E34" s="5" t="s">
        <v>1486</v>
      </c>
      <c r="F34" s="5" t="s">
        <v>1487</v>
      </c>
      <c r="G34" s="5" t="s">
        <v>1599</v>
      </c>
      <c r="H34" s="5" t="s">
        <v>1600</v>
      </c>
      <c r="I34" s="6" t="s">
        <v>1601</v>
      </c>
      <c r="J34" s="7"/>
      <c r="K34" s="7"/>
      <c r="L34" s="7"/>
      <c r="M34" s="7"/>
      <c r="N34" s="7"/>
      <c r="O34" s="7"/>
      <c r="P34" s="7"/>
      <c r="Q34" s="7"/>
      <c r="R34" s="7"/>
      <c r="S34" s="7"/>
      <c r="T34" s="7"/>
      <c r="U34" s="7"/>
      <c r="V34" s="7"/>
      <c r="W34" s="7"/>
      <c r="X34" s="7"/>
      <c r="Y34" s="7"/>
      <c r="Z34" s="7"/>
    </row>
    <row r="35" spans="1:26" ht="21" customHeight="1" x14ac:dyDescent="0.2">
      <c r="A35" s="4" t="s">
        <v>11</v>
      </c>
      <c r="B35" s="5" t="s">
        <v>393</v>
      </c>
      <c r="C35" s="8" t="s">
        <v>394</v>
      </c>
      <c r="D35" s="4" t="s">
        <v>395</v>
      </c>
      <c r="E35" s="5" t="s">
        <v>1488</v>
      </c>
      <c r="F35" s="5" t="s">
        <v>1489</v>
      </c>
      <c r="G35" s="5" t="s">
        <v>1510</v>
      </c>
      <c r="H35" s="5" t="s">
        <v>1602</v>
      </c>
      <c r="I35" s="6" t="s">
        <v>1603</v>
      </c>
      <c r="J35" s="7"/>
      <c r="K35" s="7"/>
      <c r="L35" s="7"/>
      <c r="M35" s="7"/>
      <c r="N35" s="7"/>
      <c r="O35" s="7"/>
      <c r="P35" s="7"/>
      <c r="Q35" s="7"/>
      <c r="R35" s="7"/>
      <c r="S35" s="7"/>
      <c r="T35" s="7"/>
      <c r="U35" s="7"/>
      <c r="V35" s="7"/>
      <c r="W35" s="7"/>
      <c r="X35" s="7"/>
      <c r="Y35" s="7"/>
      <c r="Z35" s="7"/>
    </row>
    <row r="36" spans="1:26" ht="21" customHeight="1" x14ac:dyDescent="0.2">
      <c r="A36" s="4" t="s">
        <v>666</v>
      </c>
      <c r="B36" s="5" t="s">
        <v>1091</v>
      </c>
      <c r="C36" s="8" t="s">
        <v>1092</v>
      </c>
      <c r="D36" s="4" t="s">
        <v>1093</v>
      </c>
      <c r="E36" s="5" t="s">
        <v>1490</v>
      </c>
      <c r="F36" s="5" t="s">
        <v>1491</v>
      </c>
      <c r="G36" s="5" t="s">
        <v>1524</v>
      </c>
      <c r="H36" s="5" t="s">
        <v>1604</v>
      </c>
      <c r="I36" s="6" t="s">
        <v>1605</v>
      </c>
      <c r="J36" s="7"/>
      <c r="K36" s="7"/>
      <c r="L36" s="7"/>
      <c r="M36" s="7"/>
      <c r="N36" s="7"/>
      <c r="O36" s="7"/>
      <c r="P36" s="7"/>
      <c r="Q36" s="7"/>
      <c r="R36" s="7"/>
      <c r="S36" s="7"/>
      <c r="T36" s="7"/>
      <c r="U36" s="7"/>
      <c r="V36" s="7"/>
      <c r="W36" s="7"/>
      <c r="X36" s="7"/>
      <c r="Y36" s="7"/>
      <c r="Z36" s="7"/>
    </row>
    <row r="37" spans="1:26" ht="21" customHeight="1" x14ac:dyDescent="0.2">
      <c r="A37" s="4" t="s">
        <v>666</v>
      </c>
      <c r="B37" s="5" t="s">
        <v>879</v>
      </c>
      <c r="C37" s="8" t="s">
        <v>880</v>
      </c>
      <c r="D37" s="4" t="s">
        <v>881</v>
      </c>
      <c r="E37" s="5" t="s">
        <v>1492</v>
      </c>
      <c r="F37" s="5" t="s">
        <v>1493</v>
      </c>
      <c r="G37" s="5" t="s">
        <v>1556</v>
      </c>
      <c r="H37" s="5" t="s">
        <v>1606</v>
      </c>
      <c r="I37" s="6" t="s">
        <v>1607</v>
      </c>
      <c r="J37" s="7"/>
      <c r="K37" s="7"/>
      <c r="L37" s="7"/>
      <c r="M37" s="7"/>
      <c r="N37" s="7"/>
      <c r="O37" s="7"/>
      <c r="P37" s="7"/>
      <c r="Q37" s="7"/>
      <c r="R37" s="7"/>
      <c r="S37" s="7"/>
      <c r="T37" s="7"/>
      <c r="U37" s="7"/>
      <c r="V37" s="7"/>
      <c r="W37" s="7"/>
      <c r="X37" s="7"/>
      <c r="Y37" s="7"/>
      <c r="Z37" s="7"/>
    </row>
    <row r="38" spans="1:26" ht="21" customHeight="1" x14ac:dyDescent="0.2">
      <c r="A38" s="4" t="s">
        <v>666</v>
      </c>
      <c r="B38" s="5" t="s">
        <v>691</v>
      </c>
      <c r="C38" s="8" t="s">
        <v>692</v>
      </c>
      <c r="D38" s="4" t="s">
        <v>693</v>
      </c>
      <c r="E38" s="5" t="s">
        <v>1494</v>
      </c>
      <c r="F38" s="5" t="s">
        <v>1495</v>
      </c>
      <c r="G38" s="5" t="s">
        <v>1608</v>
      </c>
      <c r="H38" s="5" t="s">
        <v>1609</v>
      </c>
      <c r="I38" s="6" t="s">
        <v>1610</v>
      </c>
      <c r="J38" s="7"/>
      <c r="K38" s="7"/>
      <c r="L38" s="7"/>
      <c r="M38" s="7"/>
      <c r="N38" s="7"/>
      <c r="O38" s="7"/>
      <c r="P38" s="7"/>
      <c r="Q38" s="7"/>
      <c r="R38" s="7"/>
      <c r="S38" s="7"/>
      <c r="T38" s="7"/>
      <c r="U38" s="7"/>
      <c r="V38" s="7"/>
      <c r="W38" s="7"/>
      <c r="X38" s="7"/>
      <c r="Y38" s="7"/>
      <c r="Z38" s="7"/>
    </row>
    <row r="39" spans="1:26" ht="21" customHeight="1" x14ac:dyDescent="0.2">
      <c r="A39" s="4" t="s">
        <v>666</v>
      </c>
      <c r="B39" s="5" t="s">
        <v>1086</v>
      </c>
      <c r="C39" s="8" t="s">
        <v>1087</v>
      </c>
      <c r="D39" s="4" t="s">
        <v>1088</v>
      </c>
      <c r="E39" s="5" t="s">
        <v>1496</v>
      </c>
      <c r="F39" s="5" t="s">
        <v>1497</v>
      </c>
      <c r="G39" s="5" t="s">
        <v>1611</v>
      </c>
      <c r="H39" s="5" t="s">
        <v>1612</v>
      </c>
      <c r="I39" s="6" t="s">
        <v>1613</v>
      </c>
      <c r="J39" s="7"/>
      <c r="K39" s="7"/>
      <c r="L39" s="7"/>
      <c r="M39" s="7"/>
      <c r="N39" s="7"/>
      <c r="O39" s="7"/>
      <c r="P39" s="7"/>
      <c r="Q39" s="7"/>
      <c r="R39" s="7"/>
      <c r="S39" s="7"/>
      <c r="T39" s="7"/>
      <c r="U39" s="7"/>
      <c r="V39" s="7"/>
      <c r="W39" s="7"/>
      <c r="X39" s="7"/>
      <c r="Y39" s="7"/>
      <c r="Z39" s="7"/>
    </row>
    <row r="40" spans="1:26" ht="21" customHeight="1" x14ac:dyDescent="0.2">
      <c r="A40" s="4" t="s">
        <v>1178</v>
      </c>
      <c r="B40" s="5" t="s">
        <v>1376</v>
      </c>
      <c r="C40" s="8" t="s">
        <v>1377</v>
      </c>
      <c r="D40" s="4" t="s">
        <v>1378</v>
      </c>
      <c r="E40" s="5" t="s">
        <v>1498</v>
      </c>
      <c r="F40" s="5" t="s">
        <v>1499</v>
      </c>
      <c r="G40" s="5" t="s">
        <v>1614</v>
      </c>
      <c r="H40" s="5" t="s">
        <v>1615</v>
      </c>
      <c r="I40" s="6" t="s">
        <v>1616</v>
      </c>
      <c r="J40" s="7"/>
      <c r="K40" s="7"/>
      <c r="L40" s="7"/>
      <c r="M40" s="7"/>
      <c r="N40" s="7"/>
      <c r="O40" s="7"/>
      <c r="P40" s="7"/>
      <c r="Q40" s="7"/>
      <c r="R40" s="7"/>
      <c r="S40" s="7"/>
      <c r="T40" s="7"/>
      <c r="U40" s="7"/>
      <c r="V40" s="7"/>
      <c r="W40" s="7"/>
      <c r="X40" s="7"/>
      <c r="Y40" s="7"/>
      <c r="Z40" s="7"/>
    </row>
    <row r="41" spans="1:26" ht="21" customHeight="1" x14ac:dyDescent="0.2">
      <c r="A41" s="4" t="s">
        <v>1178</v>
      </c>
      <c r="B41" s="5" t="s">
        <v>1282</v>
      </c>
      <c r="C41" s="8" t="s">
        <v>1283</v>
      </c>
      <c r="D41" s="4" t="s">
        <v>1284</v>
      </c>
      <c r="E41" s="5" t="s">
        <v>1500</v>
      </c>
      <c r="F41" s="5" t="s">
        <v>1501</v>
      </c>
      <c r="G41" s="5" t="s">
        <v>1617</v>
      </c>
      <c r="H41" s="5" t="s">
        <v>1618</v>
      </c>
      <c r="I41" s="6" t="s">
        <v>1619</v>
      </c>
      <c r="J41" s="7"/>
      <c r="K41" s="7"/>
      <c r="L41" s="7"/>
      <c r="M41" s="7"/>
      <c r="N41" s="7"/>
      <c r="O41" s="7"/>
      <c r="P41" s="7"/>
      <c r="Q41" s="7"/>
      <c r="R41" s="7"/>
      <c r="S41" s="7"/>
      <c r="T41" s="7"/>
      <c r="U41" s="7"/>
      <c r="V41" s="7"/>
      <c r="W41" s="7"/>
      <c r="X41" s="7"/>
      <c r="Y41" s="7"/>
      <c r="Z41" s="7"/>
    </row>
    <row r="42" spans="1:26" ht="21" customHeight="1" x14ac:dyDescent="0.2">
      <c r="A42" s="7"/>
      <c r="B42" s="6"/>
      <c r="C42" s="7"/>
      <c r="D42" s="7"/>
      <c r="E42" s="6"/>
      <c r="F42" s="6"/>
      <c r="G42" s="6"/>
      <c r="H42" s="6"/>
      <c r="I42" s="6"/>
      <c r="J42" s="7"/>
      <c r="K42" s="7"/>
      <c r="L42" s="7"/>
      <c r="M42" s="7"/>
      <c r="N42" s="7"/>
      <c r="O42" s="7"/>
      <c r="P42" s="7"/>
      <c r="Q42" s="7"/>
      <c r="R42" s="7"/>
      <c r="S42" s="7"/>
      <c r="T42" s="7"/>
      <c r="U42" s="7"/>
      <c r="V42" s="7"/>
      <c r="W42" s="7"/>
      <c r="X42" s="7"/>
      <c r="Y42" s="7"/>
      <c r="Z42" s="7"/>
    </row>
    <row r="43" spans="1:26" ht="21" customHeight="1" x14ac:dyDescent="0.2">
      <c r="A43" s="7"/>
      <c r="B43" s="6"/>
      <c r="C43" s="7"/>
      <c r="D43" s="7"/>
      <c r="E43" s="6"/>
      <c r="F43" s="6"/>
      <c r="G43" s="6"/>
      <c r="H43" s="6"/>
      <c r="I43" s="6"/>
      <c r="J43" s="7"/>
      <c r="K43" s="7"/>
      <c r="L43" s="7"/>
      <c r="M43" s="7"/>
      <c r="N43" s="7"/>
      <c r="O43" s="7"/>
      <c r="P43" s="7"/>
      <c r="Q43" s="7"/>
      <c r="R43" s="7"/>
      <c r="S43" s="7"/>
      <c r="T43" s="7"/>
      <c r="U43" s="7"/>
      <c r="V43" s="7"/>
      <c r="W43" s="7"/>
      <c r="X43" s="7"/>
      <c r="Y43" s="7"/>
      <c r="Z43" s="7"/>
    </row>
    <row r="44" spans="1:26" ht="21" customHeight="1" x14ac:dyDescent="0.2">
      <c r="A44" s="7"/>
      <c r="B44" s="6"/>
      <c r="C44" s="7"/>
      <c r="D44" s="7"/>
      <c r="E44" s="6"/>
      <c r="F44" s="6"/>
      <c r="G44" s="6"/>
      <c r="H44" s="6"/>
      <c r="I44" s="6"/>
      <c r="J44" s="7"/>
      <c r="K44" s="7"/>
      <c r="L44" s="7"/>
      <c r="M44" s="7"/>
      <c r="N44" s="7"/>
      <c r="O44" s="7"/>
      <c r="P44" s="7"/>
      <c r="Q44" s="7"/>
      <c r="R44" s="7"/>
      <c r="S44" s="7"/>
      <c r="T44" s="7"/>
      <c r="U44" s="7"/>
      <c r="V44" s="7"/>
      <c r="W44" s="7"/>
      <c r="X44" s="7"/>
      <c r="Y44" s="7"/>
      <c r="Z44" s="7"/>
    </row>
    <row r="45" spans="1:26" ht="21" customHeight="1" x14ac:dyDescent="0.2">
      <c r="A45" s="7"/>
      <c r="B45" s="6"/>
      <c r="C45" s="7"/>
      <c r="D45" s="7"/>
      <c r="E45" s="6"/>
      <c r="F45" s="6"/>
      <c r="G45" s="6"/>
      <c r="H45" s="6"/>
      <c r="I45" s="6"/>
      <c r="J45" s="7"/>
      <c r="K45" s="7"/>
      <c r="L45" s="7"/>
      <c r="M45" s="7"/>
      <c r="N45" s="7"/>
      <c r="O45" s="7"/>
      <c r="P45" s="7"/>
      <c r="Q45" s="7"/>
      <c r="R45" s="7"/>
      <c r="S45" s="7"/>
      <c r="T45" s="7"/>
      <c r="U45" s="7"/>
      <c r="V45" s="7"/>
      <c r="W45" s="7"/>
      <c r="X45" s="7"/>
      <c r="Y45" s="7"/>
      <c r="Z45" s="7"/>
    </row>
    <row r="46" spans="1:26" ht="21" customHeight="1" x14ac:dyDescent="0.2">
      <c r="A46" s="7"/>
      <c r="B46" s="6"/>
      <c r="C46" s="7"/>
      <c r="D46" s="7"/>
      <c r="E46" s="6"/>
      <c r="F46" s="6"/>
      <c r="G46" s="6"/>
      <c r="H46" s="6"/>
      <c r="I46" s="6"/>
      <c r="J46" s="7"/>
      <c r="K46" s="7"/>
      <c r="L46" s="7"/>
      <c r="M46" s="7"/>
      <c r="N46" s="7"/>
      <c r="O46" s="7"/>
      <c r="P46" s="7"/>
      <c r="Q46" s="7"/>
      <c r="R46" s="7"/>
      <c r="S46" s="7"/>
      <c r="T46" s="7"/>
      <c r="U46" s="7"/>
      <c r="V46" s="7"/>
      <c r="W46" s="7"/>
      <c r="X46" s="7"/>
      <c r="Y46" s="7"/>
      <c r="Z46" s="7"/>
    </row>
    <row r="47" spans="1:26" ht="21" customHeight="1" x14ac:dyDescent="0.2">
      <c r="A47" s="7"/>
      <c r="B47" s="6"/>
      <c r="C47" s="7"/>
      <c r="D47" s="7"/>
      <c r="E47" s="6"/>
      <c r="F47" s="6"/>
      <c r="G47" s="6"/>
      <c r="H47" s="6"/>
      <c r="I47" s="6"/>
      <c r="J47" s="7"/>
      <c r="K47" s="7"/>
      <c r="L47" s="7"/>
      <c r="M47" s="7"/>
      <c r="N47" s="7"/>
      <c r="O47" s="7"/>
      <c r="P47" s="7"/>
      <c r="Q47" s="7"/>
      <c r="R47" s="7"/>
      <c r="S47" s="7"/>
      <c r="T47" s="7"/>
      <c r="U47" s="7"/>
      <c r="V47" s="7"/>
      <c r="W47" s="7"/>
      <c r="X47" s="7"/>
      <c r="Y47" s="7"/>
      <c r="Z47" s="7"/>
    </row>
    <row r="48" spans="1:26" ht="21" customHeight="1" x14ac:dyDescent="0.2">
      <c r="A48" s="7"/>
      <c r="B48" s="6"/>
      <c r="C48" s="7"/>
      <c r="D48" s="7"/>
      <c r="E48" s="6"/>
      <c r="F48" s="6"/>
      <c r="G48" s="6"/>
      <c r="H48" s="6"/>
      <c r="I48" s="6"/>
      <c r="J48" s="7"/>
      <c r="K48" s="7"/>
      <c r="L48" s="7"/>
      <c r="M48" s="7"/>
      <c r="N48" s="7"/>
      <c r="O48" s="7"/>
      <c r="P48" s="7"/>
      <c r="Q48" s="7"/>
      <c r="R48" s="7"/>
      <c r="S48" s="7"/>
      <c r="T48" s="7"/>
      <c r="U48" s="7"/>
      <c r="V48" s="7"/>
      <c r="W48" s="7"/>
      <c r="X48" s="7"/>
      <c r="Y48" s="7"/>
      <c r="Z48" s="7"/>
    </row>
    <row r="49" spans="1:26" ht="21" customHeight="1" x14ac:dyDescent="0.2">
      <c r="A49" s="7"/>
      <c r="B49" s="6"/>
      <c r="C49" s="7"/>
      <c r="D49" s="7"/>
      <c r="E49" s="6"/>
      <c r="F49" s="6"/>
      <c r="G49" s="6"/>
      <c r="H49" s="6"/>
      <c r="I49" s="6"/>
      <c r="J49" s="7"/>
      <c r="K49" s="7"/>
      <c r="L49" s="7"/>
      <c r="M49" s="7"/>
      <c r="N49" s="7"/>
      <c r="O49" s="7"/>
      <c r="P49" s="7"/>
      <c r="Q49" s="7"/>
      <c r="R49" s="7"/>
      <c r="S49" s="7"/>
      <c r="T49" s="7"/>
      <c r="U49" s="7"/>
      <c r="V49" s="7"/>
      <c r="W49" s="7"/>
      <c r="X49" s="7"/>
      <c r="Y49" s="7"/>
      <c r="Z49" s="7"/>
    </row>
    <row r="50" spans="1:26" ht="21" customHeight="1" x14ac:dyDescent="0.2">
      <c r="A50" s="7"/>
      <c r="B50" s="6"/>
      <c r="C50" s="7"/>
      <c r="D50" s="7"/>
      <c r="E50" s="6"/>
      <c r="F50" s="6"/>
      <c r="G50" s="6"/>
      <c r="H50" s="6"/>
      <c r="I50" s="6"/>
      <c r="J50" s="7"/>
      <c r="K50" s="7"/>
      <c r="L50" s="7"/>
      <c r="M50" s="7"/>
      <c r="N50" s="7"/>
      <c r="O50" s="7"/>
      <c r="P50" s="7"/>
      <c r="Q50" s="7"/>
      <c r="R50" s="7"/>
      <c r="S50" s="7"/>
      <c r="T50" s="7"/>
      <c r="U50" s="7"/>
      <c r="V50" s="7"/>
      <c r="W50" s="7"/>
      <c r="X50" s="7"/>
      <c r="Y50" s="7"/>
      <c r="Z50" s="7"/>
    </row>
    <row r="51" spans="1:26" ht="21" customHeight="1" x14ac:dyDescent="0.2">
      <c r="A51" s="7"/>
      <c r="B51" s="6"/>
      <c r="C51" s="7"/>
      <c r="D51" s="7"/>
      <c r="E51" s="6"/>
      <c r="F51" s="6"/>
      <c r="G51" s="6"/>
      <c r="H51" s="6"/>
      <c r="I51" s="6"/>
      <c r="J51" s="7"/>
      <c r="K51" s="7"/>
      <c r="L51" s="7"/>
      <c r="M51" s="7"/>
      <c r="N51" s="7"/>
      <c r="O51" s="7"/>
      <c r="P51" s="7"/>
      <c r="Q51" s="7"/>
      <c r="R51" s="7"/>
      <c r="S51" s="7"/>
      <c r="T51" s="7"/>
      <c r="U51" s="7"/>
      <c r="V51" s="7"/>
      <c r="W51" s="7"/>
      <c r="X51" s="7"/>
      <c r="Y51" s="7"/>
      <c r="Z51" s="7"/>
    </row>
    <row r="52" spans="1:26" ht="21" customHeight="1" x14ac:dyDescent="0.2">
      <c r="A52" s="7"/>
      <c r="B52" s="6"/>
      <c r="C52" s="7"/>
      <c r="D52" s="7"/>
      <c r="E52" s="6"/>
      <c r="F52" s="6"/>
      <c r="G52" s="6"/>
      <c r="H52" s="6"/>
      <c r="I52" s="6"/>
      <c r="J52" s="7"/>
      <c r="K52" s="7"/>
      <c r="L52" s="7"/>
      <c r="M52" s="7"/>
      <c r="N52" s="7"/>
      <c r="O52" s="7"/>
      <c r="P52" s="7"/>
      <c r="Q52" s="7"/>
      <c r="R52" s="7"/>
      <c r="S52" s="7"/>
      <c r="T52" s="7"/>
      <c r="U52" s="7"/>
      <c r="V52" s="7"/>
      <c r="W52" s="7"/>
      <c r="X52" s="7"/>
      <c r="Y52" s="7"/>
      <c r="Z52" s="7"/>
    </row>
    <row r="53" spans="1:26" ht="21" customHeight="1" x14ac:dyDescent="0.2">
      <c r="A53" s="7"/>
      <c r="B53" s="6"/>
      <c r="C53" s="7"/>
      <c r="D53" s="7"/>
      <c r="E53" s="6"/>
      <c r="F53" s="6"/>
      <c r="G53" s="6"/>
      <c r="H53" s="6"/>
      <c r="I53" s="6"/>
      <c r="J53" s="7"/>
      <c r="K53" s="7"/>
      <c r="L53" s="7"/>
      <c r="M53" s="7"/>
      <c r="N53" s="7"/>
      <c r="O53" s="7"/>
      <c r="P53" s="7"/>
      <c r="Q53" s="7"/>
      <c r="R53" s="7"/>
      <c r="S53" s="7"/>
      <c r="T53" s="7"/>
      <c r="U53" s="7"/>
      <c r="V53" s="7"/>
      <c r="W53" s="7"/>
      <c r="X53" s="7"/>
      <c r="Y53" s="7"/>
      <c r="Z53" s="7"/>
    </row>
    <row r="54" spans="1:26" ht="21" customHeight="1" x14ac:dyDescent="0.2">
      <c r="A54" s="7"/>
      <c r="B54" s="6"/>
      <c r="C54" s="7"/>
      <c r="D54" s="7"/>
      <c r="E54" s="6"/>
      <c r="F54" s="6"/>
      <c r="G54" s="6"/>
      <c r="H54" s="6"/>
      <c r="I54" s="6"/>
      <c r="J54" s="7"/>
      <c r="K54" s="7"/>
      <c r="L54" s="7"/>
      <c r="M54" s="7"/>
      <c r="N54" s="7"/>
      <c r="O54" s="7"/>
      <c r="P54" s="7"/>
      <c r="Q54" s="7"/>
      <c r="R54" s="7"/>
      <c r="S54" s="7"/>
      <c r="T54" s="7"/>
      <c r="U54" s="7"/>
      <c r="V54" s="7"/>
      <c r="W54" s="7"/>
      <c r="X54" s="7"/>
      <c r="Y54" s="7"/>
      <c r="Z54" s="7"/>
    </row>
    <row r="55" spans="1:26" ht="21" customHeight="1" x14ac:dyDescent="0.2">
      <c r="A55" s="7"/>
      <c r="B55" s="6"/>
      <c r="C55" s="7"/>
      <c r="D55" s="7"/>
      <c r="E55" s="6"/>
      <c r="F55" s="6"/>
      <c r="G55" s="6"/>
      <c r="H55" s="6"/>
      <c r="I55" s="6"/>
      <c r="J55" s="7"/>
      <c r="K55" s="7"/>
      <c r="L55" s="7"/>
      <c r="M55" s="7"/>
      <c r="N55" s="7"/>
      <c r="O55" s="7"/>
      <c r="P55" s="7"/>
      <c r="Q55" s="7"/>
      <c r="R55" s="7"/>
      <c r="S55" s="7"/>
      <c r="T55" s="7"/>
      <c r="U55" s="7"/>
      <c r="V55" s="7"/>
      <c r="W55" s="7"/>
      <c r="X55" s="7"/>
      <c r="Y55" s="7"/>
      <c r="Z55" s="7"/>
    </row>
    <row r="56" spans="1:26" ht="21" customHeight="1" x14ac:dyDescent="0.2">
      <c r="A56" s="7"/>
      <c r="B56" s="6"/>
      <c r="C56" s="7"/>
      <c r="D56" s="7"/>
      <c r="E56" s="6"/>
      <c r="F56" s="6"/>
      <c r="G56" s="6"/>
      <c r="H56" s="6"/>
      <c r="I56" s="6"/>
      <c r="J56" s="7"/>
      <c r="K56" s="7"/>
      <c r="L56" s="7"/>
      <c r="M56" s="7"/>
      <c r="N56" s="7"/>
      <c r="O56" s="7"/>
      <c r="P56" s="7"/>
      <c r="Q56" s="7"/>
      <c r="R56" s="7"/>
      <c r="S56" s="7"/>
      <c r="T56" s="7"/>
      <c r="U56" s="7"/>
      <c r="V56" s="7"/>
      <c r="W56" s="7"/>
      <c r="X56" s="7"/>
      <c r="Y56" s="7"/>
      <c r="Z56" s="7"/>
    </row>
    <row r="57" spans="1:26" ht="21" customHeight="1" x14ac:dyDescent="0.2">
      <c r="A57" s="7"/>
      <c r="B57" s="6"/>
      <c r="C57" s="7"/>
      <c r="D57" s="7"/>
      <c r="E57" s="6"/>
      <c r="F57" s="6"/>
      <c r="G57" s="6"/>
      <c r="H57" s="6"/>
      <c r="I57" s="6"/>
      <c r="J57" s="7"/>
      <c r="K57" s="7"/>
      <c r="L57" s="7"/>
      <c r="M57" s="7"/>
      <c r="N57" s="7"/>
      <c r="O57" s="7"/>
      <c r="P57" s="7"/>
      <c r="Q57" s="7"/>
      <c r="R57" s="7"/>
      <c r="S57" s="7"/>
      <c r="T57" s="7"/>
      <c r="U57" s="7"/>
      <c r="V57" s="7"/>
      <c r="W57" s="7"/>
      <c r="X57" s="7"/>
      <c r="Y57" s="7"/>
      <c r="Z57" s="7"/>
    </row>
    <row r="58" spans="1:26" ht="21" customHeight="1" x14ac:dyDescent="0.2">
      <c r="A58" s="7"/>
      <c r="B58" s="6"/>
      <c r="C58" s="7"/>
      <c r="D58" s="7"/>
      <c r="E58" s="6"/>
      <c r="F58" s="6"/>
      <c r="G58" s="6"/>
      <c r="H58" s="6"/>
      <c r="I58" s="6"/>
      <c r="J58" s="7"/>
      <c r="K58" s="7"/>
      <c r="L58" s="7"/>
      <c r="M58" s="7"/>
      <c r="N58" s="7"/>
      <c r="O58" s="7"/>
      <c r="P58" s="7"/>
      <c r="Q58" s="7"/>
      <c r="R58" s="7"/>
      <c r="S58" s="7"/>
      <c r="T58" s="7"/>
      <c r="U58" s="7"/>
      <c r="V58" s="7"/>
      <c r="W58" s="7"/>
      <c r="X58" s="7"/>
      <c r="Y58" s="7"/>
      <c r="Z58" s="7"/>
    </row>
    <row r="59" spans="1:26" ht="21" customHeight="1" x14ac:dyDescent="0.2">
      <c r="A59" s="7"/>
      <c r="B59" s="6"/>
      <c r="C59" s="7"/>
      <c r="D59" s="7"/>
      <c r="E59" s="6"/>
      <c r="F59" s="6"/>
      <c r="G59" s="6"/>
      <c r="H59" s="6"/>
      <c r="I59" s="6"/>
      <c r="J59" s="7"/>
      <c r="K59" s="7"/>
      <c r="L59" s="7"/>
      <c r="M59" s="7"/>
      <c r="N59" s="7"/>
      <c r="O59" s="7"/>
      <c r="P59" s="7"/>
      <c r="Q59" s="7"/>
      <c r="R59" s="7"/>
      <c r="S59" s="7"/>
      <c r="T59" s="7"/>
      <c r="U59" s="7"/>
      <c r="V59" s="7"/>
      <c r="W59" s="7"/>
      <c r="X59" s="7"/>
      <c r="Y59" s="7"/>
      <c r="Z59" s="7"/>
    </row>
    <row r="60" spans="1:26" ht="21" customHeight="1" x14ac:dyDescent="0.2">
      <c r="A60" s="7"/>
      <c r="B60" s="6"/>
      <c r="C60" s="7"/>
      <c r="D60" s="7"/>
      <c r="E60" s="6"/>
      <c r="F60" s="6"/>
      <c r="G60" s="6"/>
      <c r="H60" s="6"/>
      <c r="I60" s="6"/>
      <c r="J60" s="7"/>
      <c r="K60" s="7"/>
      <c r="L60" s="7"/>
      <c r="M60" s="7"/>
      <c r="N60" s="7"/>
      <c r="O60" s="7"/>
      <c r="P60" s="7"/>
      <c r="Q60" s="7"/>
      <c r="R60" s="7"/>
      <c r="S60" s="7"/>
      <c r="T60" s="7"/>
      <c r="U60" s="7"/>
      <c r="V60" s="7"/>
      <c r="W60" s="7"/>
      <c r="X60" s="7"/>
      <c r="Y60" s="7"/>
      <c r="Z60" s="7"/>
    </row>
    <row r="61" spans="1:26" ht="21" customHeight="1" x14ac:dyDescent="0.2">
      <c r="A61" s="7"/>
      <c r="B61" s="6"/>
      <c r="C61" s="7"/>
      <c r="D61" s="7"/>
      <c r="E61" s="6"/>
      <c r="F61" s="6"/>
      <c r="G61" s="6"/>
      <c r="H61" s="6"/>
      <c r="I61" s="6"/>
      <c r="J61" s="7"/>
      <c r="K61" s="7"/>
      <c r="L61" s="7"/>
      <c r="M61" s="7"/>
      <c r="N61" s="7"/>
      <c r="O61" s="7"/>
      <c r="P61" s="7"/>
      <c r="Q61" s="7"/>
      <c r="R61" s="7"/>
      <c r="S61" s="7"/>
      <c r="T61" s="7"/>
      <c r="U61" s="7"/>
      <c r="V61" s="7"/>
      <c r="W61" s="7"/>
      <c r="X61" s="7"/>
      <c r="Y61" s="7"/>
      <c r="Z61" s="7"/>
    </row>
    <row r="62" spans="1:26" ht="21" customHeight="1" x14ac:dyDescent="0.2">
      <c r="A62" s="7"/>
      <c r="B62" s="6"/>
      <c r="C62" s="7"/>
      <c r="D62" s="7"/>
      <c r="E62" s="6"/>
      <c r="F62" s="6"/>
      <c r="G62" s="6"/>
      <c r="H62" s="6"/>
      <c r="I62" s="6"/>
      <c r="J62" s="7"/>
      <c r="K62" s="7"/>
      <c r="L62" s="7"/>
      <c r="M62" s="7"/>
      <c r="N62" s="7"/>
      <c r="O62" s="7"/>
      <c r="P62" s="7"/>
      <c r="Q62" s="7"/>
      <c r="R62" s="7"/>
      <c r="S62" s="7"/>
      <c r="T62" s="7"/>
      <c r="U62" s="7"/>
      <c r="V62" s="7"/>
      <c r="W62" s="7"/>
      <c r="X62" s="7"/>
      <c r="Y62" s="7"/>
      <c r="Z62" s="7"/>
    </row>
    <row r="63" spans="1:26" ht="21" customHeight="1" x14ac:dyDescent="0.2">
      <c r="A63" s="7"/>
      <c r="B63" s="6"/>
      <c r="C63" s="7"/>
      <c r="D63" s="7"/>
      <c r="E63" s="6"/>
      <c r="F63" s="6"/>
      <c r="G63" s="6"/>
      <c r="H63" s="6"/>
      <c r="I63" s="6"/>
      <c r="J63" s="7"/>
      <c r="K63" s="7"/>
      <c r="L63" s="7"/>
      <c r="M63" s="7"/>
      <c r="N63" s="7"/>
      <c r="O63" s="7"/>
      <c r="P63" s="7"/>
      <c r="Q63" s="7"/>
      <c r="R63" s="7"/>
      <c r="S63" s="7"/>
      <c r="T63" s="7"/>
      <c r="U63" s="7"/>
      <c r="V63" s="7"/>
      <c r="W63" s="7"/>
      <c r="X63" s="7"/>
      <c r="Y63" s="7"/>
      <c r="Z63" s="7"/>
    </row>
    <row r="64" spans="1:26" ht="21" customHeight="1" x14ac:dyDescent="0.2">
      <c r="A64" s="7"/>
      <c r="B64" s="6"/>
      <c r="C64" s="7"/>
      <c r="D64" s="7"/>
      <c r="E64" s="6"/>
      <c r="F64" s="6"/>
      <c r="G64" s="6"/>
      <c r="H64" s="6"/>
      <c r="I64" s="6"/>
      <c r="J64" s="7"/>
      <c r="K64" s="7"/>
      <c r="L64" s="7"/>
      <c r="M64" s="7"/>
      <c r="N64" s="7"/>
      <c r="O64" s="7"/>
      <c r="P64" s="7"/>
      <c r="Q64" s="7"/>
      <c r="R64" s="7"/>
      <c r="S64" s="7"/>
      <c r="T64" s="7"/>
      <c r="U64" s="7"/>
      <c r="V64" s="7"/>
      <c r="W64" s="7"/>
      <c r="X64" s="7"/>
      <c r="Y64" s="7"/>
      <c r="Z64" s="7"/>
    </row>
    <row r="65" spans="1:26" ht="21" customHeight="1" x14ac:dyDescent="0.2">
      <c r="A65" s="7"/>
      <c r="B65" s="6"/>
      <c r="C65" s="7"/>
      <c r="D65" s="7"/>
      <c r="E65" s="6"/>
      <c r="F65" s="6"/>
      <c r="G65" s="6"/>
      <c r="H65" s="6"/>
      <c r="I65" s="6"/>
      <c r="J65" s="7"/>
      <c r="K65" s="7"/>
      <c r="L65" s="7"/>
      <c r="M65" s="7"/>
      <c r="N65" s="7"/>
      <c r="O65" s="7"/>
      <c r="P65" s="7"/>
      <c r="Q65" s="7"/>
      <c r="R65" s="7"/>
      <c r="S65" s="7"/>
      <c r="T65" s="7"/>
      <c r="U65" s="7"/>
      <c r="V65" s="7"/>
      <c r="W65" s="7"/>
      <c r="X65" s="7"/>
      <c r="Y65" s="7"/>
      <c r="Z65" s="7"/>
    </row>
    <row r="66" spans="1:26" ht="21" customHeight="1" x14ac:dyDescent="0.2">
      <c r="A66" s="7"/>
      <c r="B66" s="6"/>
      <c r="C66" s="7"/>
      <c r="D66" s="7"/>
      <c r="E66" s="6"/>
      <c r="F66" s="6"/>
      <c r="G66" s="6"/>
      <c r="H66" s="6"/>
      <c r="I66" s="6"/>
      <c r="J66" s="7"/>
      <c r="K66" s="7"/>
      <c r="L66" s="7"/>
      <c r="M66" s="7"/>
      <c r="N66" s="7"/>
      <c r="O66" s="7"/>
      <c r="P66" s="7"/>
      <c r="Q66" s="7"/>
      <c r="R66" s="7"/>
      <c r="S66" s="7"/>
      <c r="T66" s="7"/>
      <c r="U66" s="7"/>
      <c r="V66" s="7"/>
      <c r="W66" s="7"/>
      <c r="X66" s="7"/>
      <c r="Y66" s="7"/>
      <c r="Z66" s="7"/>
    </row>
    <row r="67" spans="1:26" ht="21" customHeight="1" x14ac:dyDescent="0.2">
      <c r="A67" s="7"/>
      <c r="B67" s="6"/>
      <c r="C67" s="7"/>
      <c r="D67" s="7"/>
      <c r="E67" s="6"/>
      <c r="F67" s="6"/>
      <c r="G67" s="6"/>
      <c r="H67" s="6"/>
      <c r="I67" s="6"/>
      <c r="J67" s="7"/>
      <c r="K67" s="7"/>
      <c r="L67" s="7"/>
      <c r="M67" s="7"/>
      <c r="N67" s="7"/>
      <c r="O67" s="7"/>
      <c r="P67" s="7"/>
      <c r="Q67" s="7"/>
      <c r="R67" s="7"/>
      <c r="S67" s="7"/>
      <c r="T67" s="7"/>
      <c r="U67" s="7"/>
      <c r="V67" s="7"/>
      <c r="W67" s="7"/>
      <c r="X67" s="7"/>
      <c r="Y67" s="7"/>
      <c r="Z67" s="7"/>
    </row>
    <row r="68" spans="1:26" ht="21" customHeight="1" x14ac:dyDescent="0.2">
      <c r="A68" s="7"/>
      <c r="B68" s="6"/>
      <c r="C68" s="7"/>
      <c r="D68" s="7"/>
      <c r="E68" s="6"/>
      <c r="F68" s="6"/>
      <c r="G68" s="6"/>
      <c r="H68" s="6"/>
      <c r="I68" s="6"/>
      <c r="J68" s="7"/>
      <c r="K68" s="7"/>
      <c r="L68" s="7"/>
      <c r="M68" s="7"/>
      <c r="N68" s="7"/>
      <c r="O68" s="7"/>
      <c r="P68" s="7"/>
      <c r="Q68" s="7"/>
      <c r="R68" s="7"/>
      <c r="S68" s="7"/>
      <c r="T68" s="7"/>
      <c r="U68" s="7"/>
      <c r="V68" s="7"/>
      <c r="W68" s="7"/>
      <c r="X68" s="7"/>
      <c r="Y68" s="7"/>
      <c r="Z68" s="7"/>
    </row>
    <row r="69" spans="1:26" ht="21" customHeight="1" x14ac:dyDescent="0.2">
      <c r="A69" s="7"/>
      <c r="B69" s="6"/>
      <c r="C69" s="7"/>
      <c r="D69" s="7"/>
      <c r="E69" s="6"/>
      <c r="F69" s="6"/>
      <c r="G69" s="6"/>
      <c r="H69" s="6"/>
      <c r="I69" s="6"/>
      <c r="J69" s="7"/>
      <c r="K69" s="7"/>
      <c r="L69" s="7"/>
      <c r="M69" s="7"/>
      <c r="N69" s="7"/>
      <c r="O69" s="7"/>
      <c r="P69" s="7"/>
      <c r="Q69" s="7"/>
      <c r="R69" s="7"/>
      <c r="S69" s="7"/>
      <c r="T69" s="7"/>
      <c r="U69" s="7"/>
      <c r="V69" s="7"/>
      <c r="W69" s="7"/>
      <c r="X69" s="7"/>
      <c r="Y69" s="7"/>
      <c r="Z69" s="7"/>
    </row>
    <row r="70" spans="1:26" ht="21" customHeight="1" x14ac:dyDescent="0.2">
      <c r="A70" s="7"/>
      <c r="B70" s="6"/>
      <c r="C70" s="7"/>
      <c r="D70" s="7"/>
      <c r="E70" s="6"/>
      <c r="F70" s="6"/>
      <c r="G70" s="6"/>
      <c r="H70" s="6"/>
      <c r="I70" s="6"/>
      <c r="J70" s="7"/>
      <c r="K70" s="7"/>
      <c r="L70" s="7"/>
      <c r="M70" s="7"/>
      <c r="N70" s="7"/>
      <c r="O70" s="7"/>
      <c r="P70" s="7"/>
      <c r="Q70" s="7"/>
      <c r="R70" s="7"/>
      <c r="S70" s="7"/>
      <c r="T70" s="7"/>
      <c r="U70" s="7"/>
      <c r="V70" s="7"/>
      <c r="W70" s="7"/>
      <c r="X70" s="7"/>
      <c r="Y70" s="7"/>
      <c r="Z70" s="7"/>
    </row>
    <row r="71" spans="1:26" ht="21" customHeight="1" x14ac:dyDescent="0.2">
      <c r="A71" s="7"/>
      <c r="B71" s="6"/>
      <c r="C71" s="7"/>
      <c r="D71" s="7"/>
      <c r="E71" s="6"/>
      <c r="F71" s="6"/>
      <c r="G71" s="6"/>
      <c r="H71" s="6"/>
      <c r="I71" s="6"/>
      <c r="J71" s="7"/>
      <c r="K71" s="7"/>
      <c r="L71" s="7"/>
      <c r="M71" s="7"/>
      <c r="N71" s="7"/>
      <c r="O71" s="7"/>
      <c r="P71" s="7"/>
      <c r="Q71" s="7"/>
      <c r="R71" s="7"/>
      <c r="S71" s="7"/>
      <c r="T71" s="7"/>
      <c r="U71" s="7"/>
      <c r="V71" s="7"/>
      <c r="W71" s="7"/>
      <c r="X71" s="7"/>
      <c r="Y71" s="7"/>
      <c r="Z71" s="7"/>
    </row>
    <row r="72" spans="1:26" ht="21" customHeight="1" x14ac:dyDescent="0.2">
      <c r="A72" s="7"/>
      <c r="B72" s="6"/>
      <c r="C72" s="7"/>
      <c r="D72" s="7"/>
      <c r="E72" s="6"/>
      <c r="F72" s="6"/>
      <c r="G72" s="6"/>
      <c r="H72" s="6"/>
      <c r="I72" s="6"/>
      <c r="J72" s="7"/>
      <c r="K72" s="7"/>
      <c r="L72" s="7"/>
      <c r="M72" s="7"/>
      <c r="N72" s="7"/>
      <c r="O72" s="7"/>
      <c r="P72" s="7"/>
      <c r="Q72" s="7"/>
      <c r="R72" s="7"/>
      <c r="S72" s="7"/>
      <c r="T72" s="7"/>
      <c r="U72" s="7"/>
      <c r="V72" s="7"/>
      <c r="W72" s="7"/>
      <c r="X72" s="7"/>
      <c r="Y72" s="7"/>
      <c r="Z72" s="7"/>
    </row>
    <row r="73" spans="1:26" ht="21" customHeight="1" x14ac:dyDescent="0.2">
      <c r="A73" s="7"/>
      <c r="B73" s="6"/>
      <c r="C73" s="7"/>
      <c r="D73" s="7"/>
      <c r="E73" s="6"/>
      <c r="F73" s="6"/>
      <c r="G73" s="6"/>
      <c r="H73" s="6"/>
      <c r="I73" s="6"/>
      <c r="J73" s="7"/>
      <c r="K73" s="7"/>
      <c r="L73" s="7"/>
      <c r="M73" s="7"/>
      <c r="N73" s="7"/>
      <c r="O73" s="7"/>
      <c r="P73" s="7"/>
      <c r="Q73" s="7"/>
      <c r="R73" s="7"/>
      <c r="S73" s="7"/>
      <c r="T73" s="7"/>
      <c r="U73" s="7"/>
      <c r="V73" s="7"/>
      <c r="W73" s="7"/>
      <c r="X73" s="7"/>
      <c r="Y73" s="7"/>
      <c r="Z73" s="7"/>
    </row>
    <row r="74" spans="1:26" ht="21" customHeight="1" x14ac:dyDescent="0.2">
      <c r="A74" s="7"/>
      <c r="B74" s="6"/>
      <c r="C74" s="7"/>
      <c r="D74" s="7"/>
      <c r="E74" s="6"/>
      <c r="F74" s="6"/>
      <c r="G74" s="6"/>
      <c r="H74" s="6"/>
      <c r="I74" s="6"/>
      <c r="J74" s="7"/>
      <c r="K74" s="7"/>
      <c r="L74" s="7"/>
      <c r="M74" s="7"/>
      <c r="N74" s="7"/>
      <c r="O74" s="7"/>
      <c r="P74" s="7"/>
      <c r="Q74" s="7"/>
      <c r="R74" s="7"/>
      <c r="S74" s="7"/>
      <c r="T74" s="7"/>
      <c r="U74" s="7"/>
      <c r="V74" s="7"/>
      <c r="W74" s="7"/>
      <c r="X74" s="7"/>
      <c r="Y74" s="7"/>
      <c r="Z74" s="7"/>
    </row>
    <row r="75" spans="1:26" ht="21" customHeight="1" x14ac:dyDescent="0.2">
      <c r="A75" s="7"/>
      <c r="B75" s="6"/>
      <c r="C75" s="7"/>
      <c r="D75" s="7"/>
      <c r="E75" s="6"/>
      <c r="F75" s="6"/>
      <c r="G75" s="6"/>
      <c r="H75" s="6"/>
      <c r="I75" s="6"/>
      <c r="J75" s="7"/>
      <c r="K75" s="7"/>
      <c r="L75" s="7"/>
      <c r="M75" s="7"/>
      <c r="N75" s="7"/>
      <c r="O75" s="7"/>
      <c r="P75" s="7"/>
      <c r="Q75" s="7"/>
      <c r="R75" s="7"/>
      <c r="S75" s="7"/>
      <c r="T75" s="7"/>
      <c r="U75" s="7"/>
      <c r="V75" s="7"/>
      <c r="W75" s="7"/>
      <c r="X75" s="7"/>
      <c r="Y75" s="7"/>
      <c r="Z75" s="7"/>
    </row>
    <row r="76" spans="1:26" ht="21" customHeight="1" x14ac:dyDescent="0.2">
      <c r="A76" s="7"/>
      <c r="B76" s="6"/>
      <c r="C76" s="7"/>
      <c r="D76" s="7"/>
      <c r="E76" s="6"/>
      <c r="F76" s="6"/>
      <c r="G76" s="6"/>
      <c r="H76" s="6"/>
      <c r="I76" s="6"/>
      <c r="J76" s="7"/>
      <c r="K76" s="7"/>
      <c r="L76" s="7"/>
      <c r="M76" s="7"/>
      <c r="N76" s="7"/>
      <c r="O76" s="7"/>
      <c r="P76" s="7"/>
      <c r="Q76" s="7"/>
      <c r="R76" s="7"/>
      <c r="S76" s="7"/>
      <c r="T76" s="7"/>
      <c r="U76" s="7"/>
      <c r="V76" s="7"/>
      <c r="W76" s="7"/>
      <c r="X76" s="7"/>
      <c r="Y76" s="7"/>
      <c r="Z76" s="7"/>
    </row>
    <row r="77" spans="1:26" ht="21" customHeight="1" x14ac:dyDescent="0.2">
      <c r="A77" s="7"/>
      <c r="B77" s="6"/>
      <c r="C77" s="7"/>
      <c r="D77" s="7"/>
      <c r="E77" s="6"/>
      <c r="F77" s="6"/>
      <c r="G77" s="6"/>
      <c r="H77" s="6"/>
      <c r="I77" s="6"/>
      <c r="J77" s="7"/>
      <c r="K77" s="7"/>
      <c r="L77" s="7"/>
      <c r="M77" s="7"/>
      <c r="N77" s="7"/>
      <c r="O77" s="7"/>
      <c r="P77" s="7"/>
      <c r="Q77" s="7"/>
      <c r="R77" s="7"/>
      <c r="S77" s="7"/>
      <c r="T77" s="7"/>
      <c r="U77" s="7"/>
      <c r="V77" s="7"/>
      <c r="W77" s="7"/>
      <c r="X77" s="7"/>
      <c r="Y77" s="7"/>
      <c r="Z77" s="7"/>
    </row>
    <row r="78" spans="1:26" ht="21" customHeight="1" x14ac:dyDescent="0.2">
      <c r="A78" s="7"/>
      <c r="B78" s="6"/>
      <c r="C78" s="7"/>
      <c r="D78" s="7"/>
      <c r="E78" s="6"/>
      <c r="F78" s="6"/>
      <c r="G78" s="6"/>
      <c r="H78" s="6"/>
      <c r="I78" s="6"/>
      <c r="J78" s="7"/>
      <c r="K78" s="7"/>
      <c r="L78" s="7"/>
      <c r="M78" s="7"/>
      <c r="N78" s="7"/>
      <c r="O78" s="7"/>
      <c r="P78" s="7"/>
      <c r="Q78" s="7"/>
      <c r="R78" s="7"/>
      <c r="S78" s="7"/>
      <c r="T78" s="7"/>
      <c r="U78" s="7"/>
      <c r="V78" s="7"/>
      <c r="W78" s="7"/>
      <c r="X78" s="7"/>
      <c r="Y78" s="7"/>
      <c r="Z78" s="7"/>
    </row>
    <row r="79" spans="1:26" ht="21" customHeight="1" x14ac:dyDescent="0.2">
      <c r="A79" s="7"/>
      <c r="B79" s="6"/>
      <c r="C79" s="7"/>
      <c r="D79" s="7"/>
      <c r="E79" s="6"/>
      <c r="F79" s="6"/>
      <c r="G79" s="6"/>
      <c r="H79" s="6"/>
      <c r="I79" s="6"/>
      <c r="J79" s="7"/>
      <c r="K79" s="7"/>
      <c r="L79" s="7"/>
      <c r="M79" s="7"/>
      <c r="N79" s="7"/>
      <c r="O79" s="7"/>
      <c r="P79" s="7"/>
      <c r="Q79" s="7"/>
      <c r="R79" s="7"/>
      <c r="S79" s="7"/>
      <c r="T79" s="7"/>
      <c r="U79" s="7"/>
      <c r="V79" s="7"/>
      <c r="W79" s="7"/>
      <c r="X79" s="7"/>
      <c r="Y79" s="7"/>
      <c r="Z79" s="7"/>
    </row>
    <row r="80" spans="1:26" ht="21" customHeight="1" x14ac:dyDescent="0.2">
      <c r="A80" s="7"/>
      <c r="B80" s="6"/>
      <c r="C80" s="7"/>
      <c r="D80" s="7"/>
      <c r="E80" s="6"/>
      <c r="F80" s="6"/>
      <c r="G80" s="6"/>
      <c r="H80" s="6"/>
      <c r="I80" s="6"/>
      <c r="J80" s="7"/>
      <c r="K80" s="7"/>
      <c r="L80" s="7"/>
      <c r="M80" s="7"/>
      <c r="N80" s="7"/>
      <c r="O80" s="7"/>
      <c r="P80" s="7"/>
      <c r="Q80" s="7"/>
      <c r="R80" s="7"/>
      <c r="S80" s="7"/>
      <c r="T80" s="7"/>
      <c r="U80" s="7"/>
      <c r="V80" s="7"/>
      <c r="W80" s="7"/>
      <c r="X80" s="7"/>
      <c r="Y80" s="7"/>
      <c r="Z80" s="7"/>
    </row>
    <row r="81" spans="1:26" ht="21" customHeight="1" x14ac:dyDescent="0.2">
      <c r="A81" s="7"/>
      <c r="B81" s="6"/>
      <c r="C81" s="7"/>
      <c r="D81" s="7"/>
      <c r="E81" s="6"/>
      <c r="F81" s="6"/>
      <c r="G81" s="6"/>
      <c r="H81" s="6"/>
      <c r="I81" s="6"/>
      <c r="J81" s="7"/>
      <c r="K81" s="7"/>
      <c r="L81" s="7"/>
      <c r="M81" s="7"/>
      <c r="N81" s="7"/>
      <c r="O81" s="7"/>
      <c r="P81" s="7"/>
      <c r="Q81" s="7"/>
      <c r="R81" s="7"/>
      <c r="S81" s="7"/>
      <c r="T81" s="7"/>
      <c r="U81" s="7"/>
      <c r="V81" s="7"/>
      <c r="W81" s="7"/>
      <c r="X81" s="7"/>
      <c r="Y81" s="7"/>
      <c r="Z81" s="7"/>
    </row>
    <row r="82" spans="1:26" ht="21" customHeight="1" x14ac:dyDescent="0.2">
      <c r="A82" s="7"/>
      <c r="B82" s="6"/>
      <c r="C82" s="7"/>
      <c r="D82" s="7"/>
      <c r="E82" s="6"/>
      <c r="F82" s="6"/>
      <c r="G82" s="6"/>
      <c r="H82" s="6"/>
      <c r="I82" s="6"/>
      <c r="J82" s="7"/>
      <c r="K82" s="7"/>
      <c r="L82" s="7"/>
      <c r="M82" s="7"/>
      <c r="N82" s="7"/>
      <c r="O82" s="7"/>
      <c r="P82" s="7"/>
      <c r="Q82" s="7"/>
      <c r="R82" s="7"/>
      <c r="S82" s="7"/>
      <c r="T82" s="7"/>
      <c r="U82" s="7"/>
      <c r="V82" s="7"/>
      <c r="W82" s="7"/>
      <c r="X82" s="7"/>
      <c r="Y82" s="7"/>
      <c r="Z82" s="7"/>
    </row>
    <row r="83" spans="1:26" ht="21" customHeight="1" x14ac:dyDescent="0.2">
      <c r="A83" s="7"/>
      <c r="B83" s="6"/>
      <c r="C83" s="7"/>
      <c r="D83" s="7"/>
      <c r="E83" s="6"/>
      <c r="F83" s="6"/>
      <c r="G83" s="6"/>
      <c r="H83" s="6"/>
      <c r="I83" s="6"/>
      <c r="J83" s="7"/>
      <c r="K83" s="7"/>
      <c r="L83" s="7"/>
      <c r="M83" s="7"/>
      <c r="N83" s="7"/>
      <c r="O83" s="7"/>
      <c r="P83" s="7"/>
      <c r="Q83" s="7"/>
      <c r="R83" s="7"/>
      <c r="S83" s="7"/>
      <c r="T83" s="7"/>
      <c r="U83" s="7"/>
      <c r="V83" s="7"/>
      <c r="W83" s="7"/>
      <c r="X83" s="7"/>
      <c r="Y83" s="7"/>
      <c r="Z83" s="7"/>
    </row>
    <row r="84" spans="1:26" ht="21" customHeight="1" x14ac:dyDescent="0.2">
      <c r="A84" s="7"/>
      <c r="B84" s="6"/>
      <c r="C84" s="7"/>
      <c r="D84" s="7"/>
      <c r="E84" s="6"/>
      <c r="F84" s="6"/>
      <c r="G84" s="6"/>
      <c r="H84" s="6"/>
      <c r="I84" s="6"/>
      <c r="J84" s="7"/>
      <c r="K84" s="7"/>
      <c r="L84" s="7"/>
      <c r="M84" s="7"/>
      <c r="N84" s="7"/>
      <c r="O84" s="7"/>
      <c r="P84" s="7"/>
      <c r="Q84" s="7"/>
      <c r="R84" s="7"/>
      <c r="S84" s="7"/>
      <c r="T84" s="7"/>
      <c r="U84" s="7"/>
      <c r="V84" s="7"/>
      <c r="W84" s="7"/>
      <c r="X84" s="7"/>
      <c r="Y84" s="7"/>
      <c r="Z84" s="7"/>
    </row>
    <row r="85" spans="1:26" ht="21" customHeight="1" x14ac:dyDescent="0.2">
      <c r="A85" s="7"/>
      <c r="B85" s="6"/>
      <c r="C85" s="7"/>
      <c r="D85" s="7"/>
      <c r="E85" s="6"/>
      <c r="F85" s="6"/>
      <c r="G85" s="6"/>
      <c r="H85" s="6"/>
      <c r="I85" s="6"/>
      <c r="J85" s="7"/>
      <c r="K85" s="7"/>
      <c r="L85" s="7"/>
      <c r="M85" s="7"/>
      <c r="N85" s="7"/>
      <c r="O85" s="7"/>
      <c r="P85" s="7"/>
      <c r="Q85" s="7"/>
      <c r="R85" s="7"/>
      <c r="S85" s="7"/>
      <c r="T85" s="7"/>
      <c r="U85" s="7"/>
      <c r="V85" s="7"/>
      <c r="W85" s="7"/>
      <c r="X85" s="7"/>
      <c r="Y85" s="7"/>
      <c r="Z85" s="7"/>
    </row>
    <row r="86" spans="1:26" ht="21" customHeight="1" x14ac:dyDescent="0.2">
      <c r="A86" s="7"/>
      <c r="B86" s="6"/>
      <c r="C86" s="7"/>
      <c r="D86" s="7"/>
      <c r="E86" s="6"/>
      <c r="F86" s="6"/>
      <c r="G86" s="6"/>
      <c r="H86" s="6"/>
      <c r="I86" s="6"/>
      <c r="J86" s="7"/>
      <c r="K86" s="7"/>
      <c r="L86" s="7"/>
      <c r="M86" s="7"/>
      <c r="N86" s="7"/>
      <c r="O86" s="7"/>
      <c r="P86" s="7"/>
      <c r="Q86" s="7"/>
      <c r="R86" s="7"/>
      <c r="S86" s="7"/>
      <c r="T86" s="7"/>
      <c r="U86" s="7"/>
      <c r="V86" s="7"/>
      <c r="W86" s="7"/>
      <c r="X86" s="7"/>
      <c r="Y86" s="7"/>
      <c r="Z86" s="7"/>
    </row>
    <row r="87" spans="1:26" ht="21" customHeight="1" x14ac:dyDescent="0.2">
      <c r="A87" s="7"/>
      <c r="B87" s="6"/>
      <c r="C87" s="7"/>
      <c r="D87" s="7"/>
      <c r="E87" s="6"/>
      <c r="F87" s="6"/>
      <c r="G87" s="6"/>
      <c r="H87" s="6"/>
      <c r="I87" s="6"/>
      <c r="J87" s="7"/>
      <c r="K87" s="7"/>
      <c r="L87" s="7"/>
      <c r="M87" s="7"/>
      <c r="N87" s="7"/>
      <c r="O87" s="7"/>
      <c r="P87" s="7"/>
      <c r="Q87" s="7"/>
      <c r="R87" s="7"/>
      <c r="S87" s="7"/>
      <c r="T87" s="7"/>
      <c r="U87" s="7"/>
      <c r="V87" s="7"/>
      <c r="W87" s="7"/>
      <c r="X87" s="7"/>
      <c r="Y87" s="7"/>
      <c r="Z87" s="7"/>
    </row>
    <row r="88" spans="1:26" ht="21" customHeight="1" x14ac:dyDescent="0.2">
      <c r="A88" s="7"/>
      <c r="B88" s="6"/>
      <c r="C88" s="7"/>
      <c r="D88" s="7"/>
      <c r="E88" s="6"/>
      <c r="F88" s="6"/>
      <c r="G88" s="6"/>
      <c r="H88" s="6"/>
      <c r="I88" s="6"/>
      <c r="J88" s="7"/>
      <c r="K88" s="7"/>
      <c r="L88" s="7"/>
      <c r="M88" s="7"/>
      <c r="N88" s="7"/>
      <c r="O88" s="7"/>
      <c r="P88" s="7"/>
      <c r="Q88" s="7"/>
      <c r="R88" s="7"/>
      <c r="S88" s="7"/>
      <c r="T88" s="7"/>
      <c r="U88" s="7"/>
      <c r="V88" s="7"/>
      <c r="W88" s="7"/>
      <c r="X88" s="7"/>
      <c r="Y88" s="7"/>
      <c r="Z88" s="7"/>
    </row>
    <row r="89" spans="1:26" ht="21" customHeight="1" x14ac:dyDescent="0.2">
      <c r="A89" s="7"/>
      <c r="B89" s="6"/>
      <c r="C89" s="7"/>
      <c r="D89" s="7"/>
      <c r="E89" s="6"/>
      <c r="F89" s="6"/>
      <c r="G89" s="6"/>
      <c r="H89" s="6"/>
      <c r="I89" s="6"/>
      <c r="J89" s="7"/>
      <c r="K89" s="7"/>
      <c r="L89" s="7"/>
      <c r="M89" s="7"/>
      <c r="N89" s="7"/>
      <c r="O89" s="7"/>
      <c r="P89" s="7"/>
      <c r="Q89" s="7"/>
      <c r="R89" s="7"/>
      <c r="S89" s="7"/>
      <c r="T89" s="7"/>
      <c r="U89" s="7"/>
      <c r="V89" s="7"/>
      <c r="W89" s="7"/>
      <c r="X89" s="7"/>
      <c r="Y89" s="7"/>
      <c r="Z89" s="7"/>
    </row>
    <row r="90" spans="1:26" ht="21" customHeight="1" x14ac:dyDescent="0.2">
      <c r="A90" s="7"/>
      <c r="B90" s="6"/>
      <c r="C90" s="7"/>
      <c r="D90" s="7"/>
      <c r="E90" s="6"/>
      <c r="F90" s="6"/>
      <c r="G90" s="6"/>
      <c r="H90" s="6"/>
      <c r="I90" s="6"/>
      <c r="J90" s="7"/>
      <c r="K90" s="7"/>
      <c r="L90" s="7"/>
      <c r="M90" s="7"/>
      <c r="N90" s="7"/>
      <c r="O90" s="7"/>
      <c r="P90" s="7"/>
      <c r="Q90" s="7"/>
      <c r="R90" s="7"/>
      <c r="S90" s="7"/>
      <c r="T90" s="7"/>
      <c r="U90" s="7"/>
      <c r="V90" s="7"/>
      <c r="W90" s="7"/>
      <c r="X90" s="7"/>
      <c r="Y90" s="7"/>
      <c r="Z90" s="7"/>
    </row>
    <row r="91" spans="1:26" ht="21" customHeight="1" x14ac:dyDescent="0.2">
      <c r="A91" s="7"/>
      <c r="B91" s="6"/>
      <c r="C91" s="7"/>
      <c r="D91" s="7"/>
      <c r="E91" s="6"/>
      <c r="F91" s="6"/>
      <c r="G91" s="6"/>
      <c r="H91" s="6"/>
      <c r="I91" s="6"/>
      <c r="J91" s="7"/>
      <c r="K91" s="7"/>
      <c r="L91" s="7"/>
      <c r="M91" s="7"/>
      <c r="N91" s="7"/>
      <c r="O91" s="7"/>
      <c r="P91" s="7"/>
      <c r="Q91" s="7"/>
      <c r="R91" s="7"/>
      <c r="S91" s="7"/>
      <c r="T91" s="7"/>
      <c r="U91" s="7"/>
      <c r="V91" s="7"/>
      <c r="W91" s="7"/>
      <c r="X91" s="7"/>
      <c r="Y91" s="7"/>
      <c r="Z91" s="7"/>
    </row>
    <row r="92" spans="1:26" ht="21" customHeight="1" x14ac:dyDescent="0.2">
      <c r="A92" s="7"/>
      <c r="B92" s="6"/>
      <c r="C92" s="7"/>
      <c r="D92" s="7"/>
      <c r="E92" s="6"/>
      <c r="F92" s="6"/>
      <c r="G92" s="6"/>
      <c r="H92" s="6"/>
      <c r="I92" s="6"/>
      <c r="J92" s="7"/>
      <c r="K92" s="7"/>
      <c r="L92" s="7"/>
      <c r="M92" s="7"/>
      <c r="N92" s="7"/>
      <c r="O92" s="7"/>
      <c r="P92" s="7"/>
      <c r="Q92" s="7"/>
      <c r="R92" s="7"/>
      <c r="S92" s="7"/>
      <c r="T92" s="7"/>
      <c r="U92" s="7"/>
      <c r="V92" s="7"/>
      <c r="W92" s="7"/>
      <c r="X92" s="7"/>
      <c r="Y92" s="7"/>
      <c r="Z92" s="7"/>
    </row>
    <row r="93" spans="1:26" ht="21" customHeight="1" x14ac:dyDescent="0.2">
      <c r="A93" s="7"/>
      <c r="B93" s="6"/>
      <c r="C93" s="7"/>
      <c r="D93" s="7"/>
      <c r="E93" s="6"/>
      <c r="F93" s="6"/>
      <c r="G93" s="6"/>
      <c r="H93" s="6"/>
      <c r="I93" s="6"/>
      <c r="J93" s="7"/>
      <c r="K93" s="7"/>
      <c r="L93" s="7"/>
      <c r="M93" s="7"/>
      <c r="N93" s="7"/>
      <c r="O93" s="7"/>
      <c r="P93" s="7"/>
      <c r="Q93" s="7"/>
      <c r="R93" s="7"/>
      <c r="S93" s="7"/>
      <c r="T93" s="7"/>
      <c r="U93" s="7"/>
      <c r="V93" s="7"/>
      <c r="W93" s="7"/>
      <c r="X93" s="7"/>
      <c r="Y93" s="7"/>
      <c r="Z93" s="7"/>
    </row>
    <row r="94" spans="1:26" ht="21" customHeight="1" x14ac:dyDescent="0.2">
      <c r="A94" s="7"/>
      <c r="B94" s="6"/>
      <c r="C94" s="7"/>
      <c r="D94" s="7"/>
      <c r="E94" s="6"/>
      <c r="F94" s="6"/>
      <c r="G94" s="6"/>
      <c r="H94" s="6"/>
      <c r="I94" s="6"/>
      <c r="J94" s="7"/>
      <c r="K94" s="7"/>
      <c r="L94" s="7"/>
      <c r="M94" s="7"/>
      <c r="N94" s="7"/>
      <c r="O94" s="7"/>
      <c r="P94" s="7"/>
      <c r="Q94" s="7"/>
      <c r="R94" s="7"/>
      <c r="S94" s="7"/>
      <c r="T94" s="7"/>
      <c r="U94" s="7"/>
      <c r="V94" s="7"/>
      <c r="W94" s="7"/>
      <c r="X94" s="7"/>
      <c r="Y94" s="7"/>
      <c r="Z94" s="7"/>
    </row>
    <row r="95" spans="1:26" ht="21" customHeight="1" x14ac:dyDescent="0.2">
      <c r="A95" s="7"/>
      <c r="B95" s="6"/>
      <c r="C95" s="7"/>
      <c r="D95" s="7"/>
      <c r="E95" s="6"/>
      <c r="F95" s="6"/>
      <c r="G95" s="6"/>
      <c r="H95" s="6"/>
      <c r="I95" s="6"/>
      <c r="J95" s="7"/>
      <c r="K95" s="7"/>
      <c r="L95" s="7"/>
      <c r="M95" s="7"/>
      <c r="N95" s="7"/>
      <c r="O95" s="7"/>
      <c r="P95" s="7"/>
      <c r="Q95" s="7"/>
      <c r="R95" s="7"/>
      <c r="S95" s="7"/>
      <c r="T95" s="7"/>
      <c r="U95" s="7"/>
      <c r="V95" s="7"/>
      <c r="W95" s="7"/>
      <c r="X95" s="7"/>
      <c r="Y95" s="7"/>
      <c r="Z95" s="7"/>
    </row>
    <row r="96" spans="1:26" ht="21" customHeight="1" x14ac:dyDescent="0.2">
      <c r="A96" s="7"/>
      <c r="B96" s="6"/>
      <c r="C96" s="7"/>
      <c r="D96" s="7"/>
      <c r="E96" s="6"/>
      <c r="F96" s="6"/>
      <c r="G96" s="6"/>
      <c r="H96" s="6"/>
      <c r="I96" s="6"/>
      <c r="J96" s="7"/>
      <c r="K96" s="7"/>
      <c r="L96" s="7"/>
      <c r="M96" s="7"/>
      <c r="N96" s="7"/>
      <c r="O96" s="7"/>
      <c r="P96" s="7"/>
      <c r="Q96" s="7"/>
      <c r="R96" s="7"/>
      <c r="S96" s="7"/>
      <c r="T96" s="7"/>
      <c r="U96" s="7"/>
      <c r="V96" s="7"/>
      <c r="W96" s="7"/>
      <c r="X96" s="7"/>
      <c r="Y96" s="7"/>
      <c r="Z96" s="7"/>
    </row>
    <row r="97" spans="1:26" ht="21" customHeight="1" x14ac:dyDescent="0.2">
      <c r="A97" s="7"/>
      <c r="B97" s="6"/>
      <c r="C97" s="7"/>
      <c r="D97" s="7"/>
      <c r="E97" s="6"/>
      <c r="F97" s="6"/>
      <c r="G97" s="6"/>
      <c r="H97" s="6"/>
      <c r="I97" s="6"/>
      <c r="J97" s="7"/>
      <c r="K97" s="7"/>
      <c r="L97" s="7"/>
      <c r="M97" s="7"/>
      <c r="N97" s="7"/>
      <c r="O97" s="7"/>
      <c r="P97" s="7"/>
      <c r="Q97" s="7"/>
      <c r="R97" s="7"/>
      <c r="S97" s="7"/>
      <c r="T97" s="7"/>
      <c r="U97" s="7"/>
      <c r="V97" s="7"/>
      <c r="W97" s="7"/>
      <c r="X97" s="7"/>
      <c r="Y97" s="7"/>
      <c r="Z97" s="7"/>
    </row>
    <row r="98" spans="1:26" ht="21" customHeight="1" x14ac:dyDescent="0.2">
      <c r="A98" s="7"/>
      <c r="B98" s="6"/>
      <c r="C98" s="7"/>
      <c r="D98" s="7"/>
      <c r="E98" s="6"/>
      <c r="F98" s="6"/>
      <c r="G98" s="6"/>
      <c r="H98" s="6"/>
      <c r="I98" s="6"/>
      <c r="J98" s="7"/>
      <c r="K98" s="7"/>
      <c r="L98" s="7"/>
      <c r="M98" s="7"/>
      <c r="N98" s="7"/>
      <c r="O98" s="7"/>
      <c r="P98" s="7"/>
      <c r="Q98" s="7"/>
      <c r="R98" s="7"/>
      <c r="S98" s="7"/>
      <c r="T98" s="7"/>
      <c r="U98" s="7"/>
      <c r="V98" s="7"/>
      <c r="W98" s="7"/>
      <c r="X98" s="7"/>
      <c r="Y98" s="7"/>
      <c r="Z98" s="7"/>
    </row>
    <row r="99" spans="1:26" ht="21" customHeight="1" x14ac:dyDescent="0.2">
      <c r="A99" s="7"/>
      <c r="B99" s="6"/>
      <c r="C99" s="7"/>
      <c r="D99" s="7"/>
      <c r="E99" s="6"/>
      <c r="F99" s="6"/>
      <c r="G99" s="6"/>
      <c r="H99" s="6"/>
      <c r="I99" s="6"/>
      <c r="J99" s="7"/>
      <c r="K99" s="7"/>
      <c r="L99" s="7"/>
      <c r="M99" s="7"/>
      <c r="N99" s="7"/>
      <c r="O99" s="7"/>
      <c r="P99" s="7"/>
      <c r="Q99" s="7"/>
      <c r="R99" s="7"/>
      <c r="S99" s="7"/>
      <c r="T99" s="7"/>
      <c r="U99" s="7"/>
      <c r="V99" s="7"/>
      <c r="W99" s="7"/>
      <c r="X99" s="7"/>
      <c r="Y99" s="7"/>
      <c r="Z99" s="7"/>
    </row>
    <row r="100" spans="1:26" ht="21" customHeight="1" x14ac:dyDescent="0.2">
      <c r="A100" s="7"/>
      <c r="B100" s="6"/>
      <c r="C100" s="7"/>
      <c r="D100" s="7"/>
      <c r="E100" s="6"/>
      <c r="F100" s="6"/>
      <c r="G100" s="6"/>
      <c r="H100" s="6"/>
      <c r="I100" s="6"/>
      <c r="J100" s="7"/>
      <c r="K100" s="7"/>
      <c r="L100" s="7"/>
      <c r="M100" s="7"/>
      <c r="N100" s="7"/>
      <c r="O100" s="7"/>
      <c r="P100" s="7"/>
      <c r="Q100" s="7"/>
      <c r="R100" s="7"/>
      <c r="S100" s="7"/>
      <c r="T100" s="7"/>
      <c r="U100" s="7"/>
      <c r="V100" s="7"/>
      <c r="W100" s="7"/>
      <c r="X100" s="7"/>
      <c r="Y100" s="7"/>
      <c r="Z100" s="7"/>
    </row>
    <row r="101" spans="1:26" ht="21" customHeight="1" x14ac:dyDescent="0.2">
      <c r="A101" s="7"/>
      <c r="B101" s="6"/>
      <c r="C101" s="7"/>
      <c r="D101" s="7"/>
      <c r="E101" s="6"/>
      <c r="F101" s="6"/>
      <c r="G101" s="6"/>
      <c r="H101" s="6"/>
      <c r="I101" s="6"/>
      <c r="J101" s="7"/>
      <c r="K101" s="7"/>
      <c r="L101" s="7"/>
      <c r="M101" s="7"/>
      <c r="N101" s="7"/>
      <c r="O101" s="7"/>
      <c r="P101" s="7"/>
      <c r="Q101" s="7"/>
      <c r="R101" s="7"/>
      <c r="S101" s="7"/>
      <c r="T101" s="7"/>
      <c r="U101" s="7"/>
      <c r="V101" s="7"/>
      <c r="W101" s="7"/>
      <c r="X101" s="7"/>
      <c r="Y101" s="7"/>
      <c r="Z101" s="7"/>
    </row>
    <row r="102" spans="1:26" ht="21" customHeight="1" x14ac:dyDescent="0.2">
      <c r="A102" s="7"/>
      <c r="B102" s="6"/>
      <c r="C102" s="7"/>
      <c r="D102" s="7"/>
      <c r="E102" s="6"/>
      <c r="F102" s="6"/>
      <c r="G102" s="6"/>
      <c r="H102" s="6"/>
      <c r="I102" s="6"/>
      <c r="J102" s="7"/>
      <c r="K102" s="7"/>
      <c r="L102" s="7"/>
      <c r="M102" s="7"/>
      <c r="N102" s="7"/>
      <c r="O102" s="7"/>
      <c r="P102" s="7"/>
      <c r="Q102" s="7"/>
      <c r="R102" s="7"/>
      <c r="S102" s="7"/>
      <c r="T102" s="7"/>
      <c r="U102" s="7"/>
      <c r="V102" s="7"/>
      <c r="W102" s="7"/>
      <c r="X102" s="7"/>
      <c r="Y102" s="7"/>
      <c r="Z102" s="7"/>
    </row>
    <row r="103" spans="1:26" ht="21" customHeight="1" x14ac:dyDescent="0.2">
      <c r="A103" s="7"/>
      <c r="B103" s="6"/>
      <c r="C103" s="7"/>
      <c r="D103" s="7"/>
      <c r="E103" s="6"/>
      <c r="F103" s="6"/>
      <c r="G103" s="6"/>
      <c r="H103" s="6"/>
      <c r="I103" s="6"/>
      <c r="J103" s="7"/>
      <c r="K103" s="7"/>
      <c r="L103" s="7"/>
      <c r="M103" s="7"/>
      <c r="N103" s="7"/>
      <c r="O103" s="7"/>
      <c r="P103" s="7"/>
      <c r="Q103" s="7"/>
      <c r="R103" s="7"/>
      <c r="S103" s="7"/>
      <c r="T103" s="7"/>
      <c r="U103" s="7"/>
      <c r="V103" s="7"/>
      <c r="W103" s="7"/>
      <c r="X103" s="7"/>
      <c r="Y103" s="7"/>
      <c r="Z103" s="7"/>
    </row>
    <row r="104" spans="1:26" ht="21" customHeight="1" x14ac:dyDescent="0.2">
      <c r="A104" s="7"/>
      <c r="B104" s="6"/>
      <c r="C104" s="7"/>
      <c r="D104" s="7"/>
      <c r="E104" s="6"/>
      <c r="F104" s="6"/>
      <c r="G104" s="6"/>
      <c r="H104" s="6"/>
      <c r="I104" s="6"/>
      <c r="J104" s="7"/>
      <c r="K104" s="7"/>
      <c r="L104" s="7"/>
      <c r="M104" s="7"/>
      <c r="N104" s="7"/>
      <c r="O104" s="7"/>
      <c r="P104" s="7"/>
      <c r="Q104" s="7"/>
      <c r="R104" s="7"/>
      <c r="S104" s="7"/>
      <c r="T104" s="7"/>
      <c r="U104" s="7"/>
      <c r="V104" s="7"/>
      <c r="W104" s="7"/>
      <c r="X104" s="7"/>
      <c r="Y104" s="7"/>
      <c r="Z104" s="7"/>
    </row>
    <row r="105" spans="1:26" ht="21" customHeight="1" x14ac:dyDescent="0.2">
      <c r="A105" s="7"/>
      <c r="B105" s="6"/>
      <c r="C105" s="7"/>
      <c r="D105" s="7"/>
      <c r="E105" s="6"/>
      <c r="F105" s="6"/>
      <c r="G105" s="6"/>
      <c r="H105" s="6"/>
      <c r="I105" s="6"/>
      <c r="J105" s="7"/>
      <c r="K105" s="7"/>
      <c r="L105" s="7"/>
      <c r="M105" s="7"/>
      <c r="N105" s="7"/>
      <c r="O105" s="7"/>
      <c r="P105" s="7"/>
      <c r="Q105" s="7"/>
      <c r="R105" s="7"/>
      <c r="S105" s="7"/>
      <c r="T105" s="7"/>
      <c r="U105" s="7"/>
      <c r="V105" s="7"/>
      <c r="W105" s="7"/>
      <c r="X105" s="7"/>
      <c r="Y105" s="7"/>
      <c r="Z105" s="7"/>
    </row>
    <row r="106" spans="1:26" ht="21" customHeight="1" x14ac:dyDescent="0.2">
      <c r="A106" s="7"/>
      <c r="B106" s="6"/>
      <c r="C106" s="7"/>
      <c r="D106" s="7"/>
      <c r="E106" s="6"/>
      <c r="F106" s="6"/>
      <c r="G106" s="6"/>
      <c r="H106" s="6"/>
      <c r="I106" s="6"/>
      <c r="J106" s="7"/>
      <c r="K106" s="7"/>
      <c r="L106" s="7"/>
      <c r="M106" s="7"/>
      <c r="N106" s="7"/>
      <c r="O106" s="7"/>
      <c r="P106" s="7"/>
      <c r="Q106" s="7"/>
      <c r="R106" s="7"/>
      <c r="S106" s="7"/>
      <c r="T106" s="7"/>
      <c r="U106" s="7"/>
      <c r="V106" s="7"/>
      <c r="W106" s="7"/>
      <c r="X106" s="7"/>
      <c r="Y106" s="7"/>
      <c r="Z106" s="7"/>
    </row>
    <row r="107" spans="1:26" ht="21" customHeight="1" x14ac:dyDescent="0.2">
      <c r="A107" s="7"/>
      <c r="B107" s="6"/>
      <c r="C107" s="7"/>
      <c r="D107" s="7"/>
      <c r="E107" s="6"/>
      <c r="F107" s="6"/>
      <c r="G107" s="6"/>
      <c r="H107" s="6"/>
      <c r="I107" s="6"/>
      <c r="J107" s="7"/>
      <c r="K107" s="7"/>
      <c r="L107" s="7"/>
      <c r="M107" s="7"/>
      <c r="N107" s="7"/>
      <c r="O107" s="7"/>
      <c r="P107" s="7"/>
      <c r="Q107" s="7"/>
      <c r="R107" s="7"/>
      <c r="S107" s="7"/>
      <c r="T107" s="7"/>
      <c r="U107" s="7"/>
      <c r="V107" s="7"/>
      <c r="W107" s="7"/>
      <c r="X107" s="7"/>
      <c r="Y107" s="7"/>
      <c r="Z107" s="7"/>
    </row>
    <row r="108" spans="1:26" ht="21" customHeight="1" x14ac:dyDescent="0.2">
      <c r="A108" s="7"/>
      <c r="B108" s="6"/>
      <c r="C108" s="7"/>
      <c r="D108" s="7"/>
      <c r="E108" s="6"/>
      <c r="F108" s="6"/>
      <c r="G108" s="6"/>
      <c r="H108" s="6"/>
      <c r="I108" s="6"/>
      <c r="J108" s="7"/>
      <c r="K108" s="7"/>
      <c r="L108" s="7"/>
      <c r="M108" s="7"/>
      <c r="N108" s="7"/>
      <c r="O108" s="7"/>
      <c r="P108" s="7"/>
      <c r="Q108" s="7"/>
      <c r="R108" s="7"/>
      <c r="S108" s="7"/>
      <c r="T108" s="7"/>
      <c r="U108" s="7"/>
      <c r="V108" s="7"/>
      <c r="W108" s="7"/>
      <c r="X108" s="7"/>
      <c r="Y108" s="7"/>
      <c r="Z108" s="7"/>
    </row>
    <row r="109" spans="1:26" ht="21" customHeight="1" x14ac:dyDescent="0.2">
      <c r="A109" s="7"/>
      <c r="B109" s="6"/>
      <c r="C109" s="7"/>
      <c r="D109" s="7"/>
      <c r="E109" s="6"/>
      <c r="F109" s="6"/>
      <c r="G109" s="6"/>
      <c r="H109" s="6"/>
      <c r="I109" s="6"/>
      <c r="J109" s="7"/>
      <c r="K109" s="7"/>
      <c r="L109" s="7"/>
      <c r="M109" s="7"/>
      <c r="N109" s="7"/>
      <c r="O109" s="7"/>
      <c r="P109" s="7"/>
      <c r="Q109" s="7"/>
      <c r="R109" s="7"/>
      <c r="S109" s="7"/>
      <c r="T109" s="7"/>
      <c r="U109" s="7"/>
      <c r="V109" s="7"/>
      <c r="W109" s="7"/>
      <c r="X109" s="7"/>
      <c r="Y109" s="7"/>
      <c r="Z109" s="7"/>
    </row>
    <row r="110" spans="1:26" ht="21" customHeight="1" x14ac:dyDescent="0.2">
      <c r="A110" s="7"/>
      <c r="B110" s="6"/>
      <c r="C110" s="7"/>
      <c r="D110" s="7"/>
      <c r="E110" s="6"/>
      <c r="F110" s="6"/>
      <c r="G110" s="6"/>
      <c r="H110" s="6"/>
      <c r="I110" s="6"/>
      <c r="J110" s="7"/>
      <c r="K110" s="7"/>
      <c r="L110" s="7"/>
      <c r="M110" s="7"/>
      <c r="N110" s="7"/>
      <c r="O110" s="7"/>
      <c r="P110" s="7"/>
      <c r="Q110" s="7"/>
      <c r="R110" s="7"/>
      <c r="S110" s="7"/>
      <c r="T110" s="7"/>
      <c r="U110" s="7"/>
      <c r="V110" s="7"/>
      <c r="W110" s="7"/>
      <c r="X110" s="7"/>
      <c r="Y110" s="7"/>
      <c r="Z110" s="7"/>
    </row>
    <row r="111" spans="1:26" ht="21" customHeight="1" x14ac:dyDescent="0.2">
      <c r="A111" s="7"/>
      <c r="B111" s="6"/>
      <c r="C111" s="7"/>
      <c r="D111" s="7"/>
      <c r="E111" s="6"/>
      <c r="F111" s="6"/>
      <c r="G111" s="6"/>
      <c r="H111" s="6"/>
      <c r="I111" s="6"/>
      <c r="J111" s="7"/>
      <c r="K111" s="7"/>
      <c r="L111" s="7"/>
      <c r="M111" s="7"/>
      <c r="N111" s="7"/>
      <c r="O111" s="7"/>
      <c r="P111" s="7"/>
      <c r="Q111" s="7"/>
      <c r="R111" s="7"/>
      <c r="S111" s="7"/>
      <c r="T111" s="7"/>
      <c r="U111" s="7"/>
      <c r="V111" s="7"/>
      <c r="W111" s="7"/>
      <c r="X111" s="7"/>
      <c r="Y111" s="7"/>
      <c r="Z111" s="7"/>
    </row>
    <row r="112" spans="1:26" ht="21" customHeight="1" x14ac:dyDescent="0.2">
      <c r="A112" s="7"/>
      <c r="B112" s="6"/>
      <c r="C112" s="7"/>
      <c r="D112" s="7"/>
      <c r="E112" s="6"/>
      <c r="F112" s="6"/>
      <c r="G112" s="6"/>
      <c r="H112" s="6"/>
      <c r="I112" s="6"/>
      <c r="J112" s="7"/>
      <c r="K112" s="7"/>
      <c r="L112" s="7"/>
      <c r="M112" s="7"/>
      <c r="N112" s="7"/>
      <c r="O112" s="7"/>
      <c r="P112" s="7"/>
      <c r="Q112" s="7"/>
      <c r="R112" s="7"/>
      <c r="S112" s="7"/>
      <c r="T112" s="7"/>
      <c r="U112" s="7"/>
      <c r="V112" s="7"/>
      <c r="W112" s="7"/>
      <c r="X112" s="7"/>
      <c r="Y112" s="7"/>
      <c r="Z112" s="7"/>
    </row>
    <row r="113" spans="1:26" ht="21" customHeight="1" x14ac:dyDescent="0.2">
      <c r="A113" s="7"/>
      <c r="B113" s="6"/>
      <c r="C113" s="7"/>
      <c r="D113" s="7"/>
      <c r="E113" s="6"/>
      <c r="F113" s="6"/>
      <c r="G113" s="6"/>
      <c r="H113" s="6"/>
      <c r="I113" s="6"/>
      <c r="J113" s="7"/>
      <c r="K113" s="7"/>
      <c r="L113" s="7"/>
      <c r="M113" s="7"/>
      <c r="N113" s="7"/>
      <c r="O113" s="7"/>
      <c r="P113" s="7"/>
      <c r="Q113" s="7"/>
      <c r="R113" s="7"/>
      <c r="S113" s="7"/>
      <c r="T113" s="7"/>
      <c r="U113" s="7"/>
      <c r="V113" s="7"/>
      <c r="W113" s="7"/>
      <c r="X113" s="7"/>
      <c r="Y113" s="7"/>
      <c r="Z113" s="7"/>
    </row>
    <row r="114" spans="1:26" ht="21" customHeight="1" x14ac:dyDescent="0.2">
      <c r="A114" s="7"/>
      <c r="B114" s="6"/>
      <c r="C114" s="7"/>
      <c r="D114" s="7"/>
      <c r="E114" s="6"/>
      <c r="F114" s="6"/>
      <c r="G114" s="6"/>
      <c r="H114" s="6"/>
      <c r="I114" s="6"/>
      <c r="J114" s="7"/>
      <c r="K114" s="7"/>
      <c r="L114" s="7"/>
      <c r="M114" s="7"/>
      <c r="N114" s="7"/>
      <c r="O114" s="7"/>
      <c r="P114" s="7"/>
      <c r="Q114" s="7"/>
      <c r="R114" s="7"/>
      <c r="S114" s="7"/>
      <c r="T114" s="7"/>
      <c r="U114" s="7"/>
      <c r="V114" s="7"/>
      <c r="W114" s="7"/>
      <c r="X114" s="7"/>
      <c r="Y114" s="7"/>
      <c r="Z114" s="7"/>
    </row>
    <row r="115" spans="1:26" ht="21" customHeight="1" x14ac:dyDescent="0.2">
      <c r="A115" s="7"/>
      <c r="B115" s="6"/>
      <c r="C115" s="7"/>
      <c r="D115" s="7"/>
      <c r="E115" s="6"/>
      <c r="F115" s="6"/>
      <c r="G115" s="6"/>
      <c r="H115" s="6"/>
      <c r="I115" s="6"/>
      <c r="J115" s="7"/>
      <c r="K115" s="7"/>
      <c r="L115" s="7"/>
      <c r="M115" s="7"/>
      <c r="N115" s="7"/>
      <c r="O115" s="7"/>
      <c r="P115" s="7"/>
      <c r="Q115" s="7"/>
      <c r="R115" s="7"/>
      <c r="S115" s="7"/>
      <c r="T115" s="7"/>
      <c r="U115" s="7"/>
      <c r="V115" s="7"/>
      <c r="W115" s="7"/>
      <c r="X115" s="7"/>
      <c r="Y115" s="7"/>
      <c r="Z115" s="7"/>
    </row>
    <row r="116" spans="1:26" ht="21" customHeight="1" x14ac:dyDescent="0.2">
      <c r="A116" s="7"/>
      <c r="B116" s="6"/>
      <c r="C116" s="7"/>
      <c r="D116" s="7"/>
      <c r="E116" s="6"/>
      <c r="F116" s="6"/>
      <c r="G116" s="6"/>
      <c r="H116" s="6"/>
      <c r="I116" s="6"/>
      <c r="J116" s="7"/>
      <c r="K116" s="7"/>
      <c r="L116" s="7"/>
      <c r="M116" s="7"/>
      <c r="N116" s="7"/>
      <c r="O116" s="7"/>
      <c r="P116" s="7"/>
      <c r="Q116" s="7"/>
      <c r="R116" s="7"/>
      <c r="S116" s="7"/>
      <c r="T116" s="7"/>
      <c r="U116" s="7"/>
      <c r="V116" s="7"/>
      <c r="W116" s="7"/>
      <c r="X116" s="7"/>
      <c r="Y116" s="7"/>
      <c r="Z116" s="7"/>
    </row>
    <row r="117" spans="1:26" ht="21" customHeight="1" x14ac:dyDescent="0.2">
      <c r="A117" s="7"/>
      <c r="B117" s="6"/>
      <c r="C117" s="7"/>
      <c r="D117" s="7"/>
      <c r="E117" s="6"/>
      <c r="F117" s="6"/>
      <c r="G117" s="6"/>
      <c r="H117" s="6"/>
      <c r="I117" s="6"/>
      <c r="J117" s="7"/>
      <c r="K117" s="7"/>
      <c r="L117" s="7"/>
      <c r="M117" s="7"/>
      <c r="N117" s="7"/>
      <c r="O117" s="7"/>
      <c r="P117" s="7"/>
      <c r="Q117" s="7"/>
      <c r="R117" s="7"/>
      <c r="S117" s="7"/>
      <c r="T117" s="7"/>
      <c r="U117" s="7"/>
      <c r="V117" s="7"/>
      <c r="W117" s="7"/>
      <c r="X117" s="7"/>
      <c r="Y117" s="7"/>
      <c r="Z117" s="7"/>
    </row>
    <row r="118" spans="1:26" ht="21" customHeight="1" x14ac:dyDescent="0.2">
      <c r="A118" s="7"/>
      <c r="B118" s="6"/>
      <c r="C118" s="7"/>
      <c r="D118" s="7"/>
      <c r="E118" s="6"/>
      <c r="F118" s="6"/>
      <c r="G118" s="6"/>
      <c r="H118" s="6"/>
      <c r="I118" s="6"/>
      <c r="J118" s="7"/>
      <c r="K118" s="7"/>
      <c r="L118" s="7"/>
      <c r="M118" s="7"/>
      <c r="N118" s="7"/>
      <c r="O118" s="7"/>
      <c r="P118" s="7"/>
      <c r="Q118" s="7"/>
      <c r="R118" s="7"/>
      <c r="S118" s="7"/>
      <c r="T118" s="7"/>
      <c r="U118" s="7"/>
      <c r="V118" s="7"/>
      <c r="W118" s="7"/>
      <c r="X118" s="7"/>
      <c r="Y118" s="7"/>
      <c r="Z118" s="7"/>
    </row>
    <row r="119" spans="1:26" ht="21" customHeight="1" x14ac:dyDescent="0.2">
      <c r="A119" s="7"/>
      <c r="B119" s="6"/>
      <c r="C119" s="7"/>
      <c r="D119" s="7"/>
      <c r="E119" s="6"/>
      <c r="F119" s="6"/>
      <c r="G119" s="6"/>
      <c r="H119" s="6"/>
      <c r="I119" s="6"/>
      <c r="J119" s="7"/>
      <c r="K119" s="7"/>
      <c r="L119" s="7"/>
      <c r="M119" s="7"/>
      <c r="N119" s="7"/>
      <c r="O119" s="7"/>
      <c r="P119" s="7"/>
      <c r="Q119" s="7"/>
      <c r="R119" s="7"/>
      <c r="S119" s="7"/>
      <c r="T119" s="7"/>
      <c r="U119" s="7"/>
      <c r="V119" s="7"/>
      <c r="W119" s="7"/>
      <c r="X119" s="7"/>
      <c r="Y119" s="7"/>
      <c r="Z119" s="7"/>
    </row>
    <row r="120" spans="1:26" ht="21" customHeight="1" x14ac:dyDescent="0.2">
      <c r="A120" s="7"/>
      <c r="B120" s="6"/>
      <c r="C120" s="7"/>
      <c r="D120" s="7"/>
      <c r="E120" s="6"/>
      <c r="F120" s="6"/>
      <c r="G120" s="6"/>
      <c r="H120" s="6"/>
      <c r="I120" s="6"/>
      <c r="J120" s="7"/>
      <c r="K120" s="7"/>
      <c r="L120" s="7"/>
      <c r="M120" s="7"/>
      <c r="N120" s="7"/>
      <c r="O120" s="7"/>
      <c r="P120" s="7"/>
      <c r="Q120" s="7"/>
      <c r="R120" s="7"/>
      <c r="S120" s="7"/>
      <c r="T120" s="7"/>
      <c r="U120" s="7"/>
      <c r="V120" s="7"/>
      <c r="W120" s="7"/>
      <c r="X120" s="7"/>
      <c r="Y120" s="7"/>
      <c r="Z120" s="7"/>
    </row>
    <row r="121" spans="1:26" ht="21" customHeight="1" x14ac:dyDescent="0.2">
      <c r="A121" s="7"/>
      <c r="B121" s="6"/>
      <c r="C121" s="7"/>
      <c r="D121" s="7"/>
      <c r="E121" s="6"/>
      <c r="F121" s="6"/>
      <c r="G121" s="6"/>
      <c r="H121" s="6"/>
      <c r="I121" s="6"/>
      <c r="J121" s="7"/>
      <c r="K121" s="7"/>
      <c r="L121" s="7"/>
      <c r="M121" s="7"/>
      <c r="N121" s="7"/>
      <c r="O121" s="7"/>
      <c r="P121" s="7"/>
      <c r="Q121" s="7"/>
      <c r="R121" s="7"/>
      <c r="S121" s="7"/>
      <c r="T121" s="7"/>
      <c r="U121" s="7"/>
      <c r="V121" s="7"/>
      <c r="W121" s="7"/>
      <c r="X121" s="7"/>
      <c r="Y121" s="7"/>
      <c r="Z121" s="7"/>
    </row>
    <row r="122" spans="1:26" ht="21" customHeight="1" x14ac:dyDescent="0.2">
      <c r="A122" s="7"/>
      <c r="B122" s="6"/>
      <c r="C122" s="7"/>
      <c r="D122" s="7"/>
      <c r="E122" s="6"/>
      <c r="F122" s="6"/>
      <c r="G122" s="6"/>
      <c r="H122" s="6"/>
      <c r="I122" s="6"/>
      <c r="J122" s="7"/>
      <c r="K122" s="7"/>
      <c r="L122" s="7"/>
      <c r="M122" s="7"/>
      <c r="N122" s="7"/>
      <c r="O122" s="7"/>
      <c r="P122" s="7"/>
      <c r="Q122" s="7"/>
      <c r="R122" s="7"/>
      <c r="S122" s="7"/>
      <c r="T122" s="7"/>
      <c r="U122" s="7"/>
      <c r="V122" s="7"/>
      <c r="W122" s="7"/>
      <c r="X122" s="7"/>
      <c r="Y122" s="7"/>
      <c r="Z122" s="7"/>
    </row>
    <row r="123" spans="1:26" ht="21" customHeight="1" x14ac:dyDescent="0.2">
      <c r="A123" s="7"/>
      <c r="B123" s="6"/>
      <c r="C123" s="7"/>
      <c r="D123" s="7"/>
      <c r="E123" s="6"/>
      <c r="F123" s="6"/>
      <c r="G123" s="6"/>
      <c r="H123" s="6"/>
      <c r="I123" s="6"/>
      <c r="J123" s="7"/>
      <c r="K123" s="7"/>
      <c r="L123" s="7"/>
      <c r="M123" s="7"/>
      <c r="N123" s="7"/>
      <c r="O123" s="7"/>
      <c r="P123" s="7"/>
      <c r="Q123" s="7"/>
      <c r="R123" s="7"/>
      <c r="S123" s="7"/>
      <c r="T123" s="7"/>
      <c r="U123" s="7"/>
      <c r="V123" s="7"/>
      <c r="W123" s="7"/>
      <c r="X123" s="7"/>
      <c r="Y123" s="7"/>
      <c r="Z123" s="7"/>
    </row>
    <row r="124" spans="1:26" ht="21" customHeight="1" x14ac:dyDescent="0.2">
      <c r="A124" s="7"/>
      <c r="B124" s="6"/>
      <c r="C124" s="7"/>
      <c r="D124" s="7"/>
      <c r="E124" s="6"/>
      <c r="F124" s="6"/>
      <c r="G124" s="6"/>
      <c r="H124" s="6"/>
      <c r="I124" s="6"/>
      <c r="J124" s="7"/>
      <c r="K124" s="7"/>
      <c r="L124" s="7"/>
      <c r="M124" s="7"/>
      <c r="N124" s="7"/>
      <c r="O124" s="7"/>
      <c r="P124" s="7"/>
      <c r="Q124" s="7"/>
      <c r="R124" s="7"/>
      <c r="S124" s="7"/>
      <c r="T124" s="7"/>
      <c r="U124" s="7"/>
      <c r="V124" s="7"/>
      <c r="W124" s="7"/>
      <c r="X124" s="7"/>
      <c r="Y124" s="7"/>
      <c r="Z124" s="7"/>
    </row>
    <row r="125" spans="1:26" ht="21" customHeight="1" x14ac:dyDescent="0.2">
      <c r="A125" s="7"/>
      <c r="B125" s="6"/>
      <c r="C125" s="7"/>
      <c r="D125" s="7"/>
      <c r="E125" s="6"/>
      <c r="F125" s="6"/>
      <c r="G125" s="6"/>
      <c r="H125" s="6"/>
      <c r="I125" s="6"/>
      <c r="J125" s="7"/>
      <c r="K125" s="7"/>
      <c r="L125" s="7"/>
      <c r="M125" s="7"/>
      <c r="N125" s="7"/>
      <c r="O125" s="7"/>
      <c r="P125" s="7"/>
      <c r="Q125" s="7"/>
      <c r="R125" s="7"/>
      <c r="S125" s="7"/>
      <c r="T125" s="7"/>
      <c r="U125" s="7"/>
      <c r="V125" s="7"/>
      <c r="W125" s="7"/>
      <c r="X125" s="7"/>
      <c r="Y125" s="7"/>
      <c r="Z125" s="7"/>
    </row>
    <row r="126" spans="1:26" ht="21" customHeight="1" x14ac:dyDescent="0.2">
      <c r="A126" s="7"/>
      <c r="B126" s="6"/>
      <c r="C126" s="7"/>
      <c r="D126" s="7"/>
      <c r="E126" s="6"/>
      <c r="F126" s="6"/>
      <c r="G126" s="6"/>
      <c r="H126" s="6"/>
      <c r="I126" s="6"/>
      <c r="J126" s="7"/>
      <c r="K126" s="7"/>
      <c r="L126" s="7"/>
      <c r="M126" s="7"/>
      <c r="N126" s="7"/>
      <c r="O126" s="7"/>
      <c r="P126" s="7"/>
      <c r="Q126" s="7"/>
      <c r="R126" s="7"/>
      <c r="S126" s="7"/>
      <c r="T126" s="7"/>
      <c r="U126" s="7"/>
      <c r="V126" s="7"/>
      <c r="W126" s="7"/>
      <c r="X126" s="7"/>
      <c r="Y126" s="7"/>
      <c r="Z126" s="7"/>
    </row>
    <row r="127" spans="1:26" ht="21" customHeight="1" x14ac:dyDescent="0.2">
      <c r="A127" s="7"/>
      <c r="B127" s="6"/>
      <c r="C127" s="7"/>
      <c r="D127" s="7"/>
      <c r="E127" s="6"/>
      <c r="F127" s="6"/>
      <c r="G127" s="6"/>
      <c r="H127" s="6"/>
      <c r="I127" s="6"/>
      <c r="J127" s="7"/>
      <c r="K127" s="7"/>
      <c r="L127" s="7"/>
      <c r="M127" s="7"/>
      <c r="N127" s="7"/>
      <c r="O127" s="7"/>
      <c r="P127" s="7"/>
      <c r="Q127" s="7"/>
      <c r="R127" s="7"/>
      <c r="S127" s="7"/>
      <c r="T127" s="7"/>
      <c r="U127" s="7"/>
      <c r="V127" s="7"/>
      <c r="W127" s="7"/>
      <c r="X127" s="7"/>
      <c r="Y127" s="7"/>
      <c r="Z127" s="7"/>
    </row>
    <row r="128" spans="1:26" ht="21" customHeight="1" x14ac:dyDescent="0.2">
      <c r="A128" s="7"/>
      <c r="B128" s="6"/>
      <c r="C128" s="7"/>
      <c r="D128" s="7"/>
      <c r="E128" s="6"/>
      <c r="F128" s="6"/>
      <c r="G128" s="6"/>
      <c r="H128" s="6"/>
      <c r="I128" s="6"/>
      <c r="J128" s="7"/>
      <c r="K128" s="7"/>
      <c r="L128" s="7"/>
      <c r="M128" s="7"/>
      <c r="N128" s="7"/>
      <c r="O128" s="7"/>
      <c r="P128" s="7"/>
      <c r="Q128" s="7"/>
      <c r="R128" s="7"/>
      <c r="S128" s="7"/>
      <c r="T128" s="7"/>
      <c r="U128" s="7"/>
      <c r="V128" s="7"/>
      <c r="W128" s="7"/>
      <c r="X128" s="7"/>
      <c r="Y128" s="7"/>
      <c r="Z128" s="7"/>
    </row>
    <row r="129" spans="1:26" ht="21" customHeight="1" x14ac:dyDescent="0.2">
      <c r="A129" s="7"/>
      <c r="B129" s="6"/>
      <c r="C129" s="7"/>
      <c r="D129" s="7"/>
      <c r="E129" s="6"/>
      <c r="F129" s="6"/>
      <c r="G129" s="6"/>
      <c r="H129" s="6"/>
      <c r="I129" s="6"/>
      <c r="J129" s="7"/>
      <c r="K129" s="7"/>
      <c r="L129" s="7"/>
      <c r="M129" s="7"/>
      <c r="N129" s="7"/>
      <c r="O129" s="7"/>
      <c r="P129" s="7"/>
      <c r="Q129" s="7"/>
      <c r="R129" s="7"/>
      <c r="S129" s="7"/>
      <c r="T129" s="7"/>
      <c r="U129" s="7"/>
      <c r="V129" s="7"/>
      <c r="W129" s="7"/>
      <c r="X129" s="7"/>
      <c r="Y129" s="7"/>
      <c r="Z129" s="7"/>
    </row>
    <row r="130" spans="1:26" ht="21" customHeight="1" x14ac:dyDescent="0.2">
      <c r="A130" s="7"/>
      <c r="B130" s="6"/>
      <c r="C130" s="7"/>
      <c r="D130" s="7"/>
      <c r="E130" s="6"/>
      <c r="F130" s="6"/>
      <c r="G130" s="6"/>
      <c r="H130" s="6"/>
      <c r="I130" s="6"/>
      <c r="J130" s="7"/>
      <c r="K130" s="7"/>
      <c r="L130" s="7"/>
      <c r="M130" s="7"/>
      <c r="N130" s="7"/>
      <c r="O130" s="7"/>
      <c r="P130" s="7"/>
      <c r="Q130" s="7"/>
      <c r="R130" s="7"/>
      <c r="S130" s="7"/>
      <c r="T130" s="7"/>
      <c r="U130" s="7"/>
      <c r="V130" s="7"/>
      <c r="W130" s="7"/>
      <c r="X130" s="7"/>
      <c r="Y130" s="7"/>
      <c r="Z130" s="7"/>
    </row>
    <row r="131" spans="1:26" ht="21" customHeight="1" x14ac:dyDescent="0.2">
      <c r="A131" s="7"/>
      <c r="B131" s="6"/>
      <c r="C131" s="7"/>
      <c r="D131" s="7"/>
      <c r="E131" s="6"/>
      <c r="F131" s="6"/>
      <c r="G131" s="6"/>
      <c r="H131" s="6"/>
      <c r="I131" s="6"/>
      <c r="J131" s="7"/>
      <c r="K131" s="7"/>
      <c r="L131" s="7"/>
      <c r="M131" s="7"/>
      <c r="N131" s="7"/>
      <c r="O131" s="7"/>
      <c r="P131" s="7"/>
      <c r="Q131" s="7"/>
      <c r="R131" s="7"/>
      <c r="S131" s="7"/>
      <c r="T131" s="7"/>
      <c r="U131" s="7"/>
      <c r="V131" s="7"/>
      <c r="W131" s="7"/>
      <c r="X131" s="7"/>
      <c r="Y131" s="7"/>
      <c r="Z131" s="7"/>
    </row>
    <row r="132" spans="1:26" ht="21" customHeight="1" x14ac:dyDescent="0.2">
      <c r="A132" s="7"/>
      <c r="B132" s="6"/>
      <c r="C132" s="7"/>
      <c r="D132" s="7"/>
      <c r="E132" s="6"/>
      <c r="F132" s="6"/>
      <c r="G132" s="6"/>
      <c r="H132" s="6"/>
      <c r="I132" s="6"/>
      <c r="J132" s="7"/>
      <c r="K132" s="7"/>
      <c r="L132" s="7"/>
      <c r="M132" s="7"/>
      <c r="N132" s="7"/>
      <c r="O132" s="7"/>
      <c r="P132" s="7"/>
      <c r="Q132" s="7"/>
      <c r="R132" s="7"/>
      <c r="S132" s="7"/>
      <c r="T132" s="7"/>
      <c r="U132" s="7"/>
      <c r="V132" s="7"/>
      <c r="W132" s="7"/>
      <c r="X132" s="7"/>
      <c r="Y132" s="7"/>
      <c r="Z132" s="7"/>
    </row>
    <row r="133" spans="1:26" ht="21" customHeight="1" x14ac:dyDescent="0.2">
      <c r="A133" s="7"/>
      <c r="B133" s="6"/>
      <c r="C133" s="7"/>
      <c r="D133" s="7"/>
      <c r="E133" s="6"/>
      <c r="F133" s="6"/>
      <c r="G133" s="6"/>
      <c r="H133" s="6"/>
      <c r="I133" s="6"/>
      <c r="J133" s="7"/>
      <c r="K133" s="7"/>
      <c r="L133" s="7"/>
      <c r="M133" s="7"/>
      <c r="N133" s="7"/>
      <c r="O133" s="7"/>
      <c r="P133" s="7"/>
      <c r="Q133" s="7"/>
      <c r="R133" s="7"/>
      <c r="S133" s="7"/>
      <c r="T133" s="7"/>
      <c r="U133" s="7"/>
      <c r="V133" s="7"/>
      <c r="W133" s="7"/>
      <c r="X133" s="7"/>
      <c r="Y133" s="7"/>
      <c r="Z133" s="7"/>
    </row>
    <row r="134" spans="1:26" ht="21" customHeight="1" x14ac:dyDescent="0.2">
      <c r="A134" s="7"/>
      <c r="B134" s="6"/>
      <c r="C134" s="7"/>
      <c r="D134" s="7"/>
      <c r="E134" s="6"/>
      <c r="F134" s="6"/>
      <c r="G134" s="6"/>
      <c r="H134" s="6"/>
      <c r="I134" s="6"/>
      <c r="J134" s="7"/>
      <c r="K134" s="7"/>
      <c r="L134" s="7"/>
      <c r="M134" s="7"/>
      <c r="N134" s="7"/>
      <c r="O134" s="7"/>
      <c r="P134" s="7"/>
      <c r="Q134" s="7"/>
      <c r="R134" s="7"/>
      <c r="S134" s="7"/>
      <c r="T134" s="7"/>
      <c r="U134" s="7"/>
      <c r="V134" s="7"/>
      <c r="W134" s="7"/>
      <c r="X134" s="7"/>
      <c r="Y134" s="7"/>
      <c r="Z134" s="7"/>
    </row>
    <row r="135" spans="1:26" ht="21" customHeight="1" x14ac:dyDescent="0.2">
      <c r="A135" s="7"/>
      <c r="B135" s="6"/>
      <c r="C135" s="7"/>
      <c r="D135" s="7"/>
      <c r="E135" s="6"/>
      <c r="F135" s="6"/>
      <c r="G135" s="6"/>
      <c r="H135" s="6"/>
      <c r="I135" s="6"/>
      <c r="J135" s="7"/>
      <c r="K135" s="7"/>
      <c r="L135" s="7"/>
      <c r="M135" s="7"/>
      <c r="N135" s="7"/>
      <c r="O135" s="7"/>
      <c r="P135" s="7"/>
      <c r="Q135" s="7"/>
      <c r="R135" s="7"/>
      <c r="S135" s="7"/>
      <c r="T135" s="7"/>
      <c r="U135" s="7"/>
      <c r="V135" s="7"/>
      <c r="W135" s="7"/>
      <c r="X135" s="7"/>
      <c r="Y135" s="7"/>
      <c r="Z135" s="7"/>
    </row>
    <row r="136" spans="1:26" ht="21" customHeight="1" x14ac:dyDescent="0.2">
      <c r="A136" s="7"/>
      <c r="B136" s="6"/>
      <c r="C136" s="7"/>
      <c r="D136" s="7"/>
      <c r="E136" s="6"/>
      <c r="F136" s="6"/>
      <c r="G136" s="6"/>
      <c r="H136" s="6"/>
      <c r="I136" s="6"/>
      <c r="J136" s="7"/>
      <c r="K136" s="7"/>
      <c r="L136" s="7"/>
      <c r="M136" s="7"/>
      <c r="N136" s="7"/>
      <c r="O136" s="7"/>
      <c r="P136" s="7"/>
      <c r="Q136" s="7"/>
      <c r="R136" s="7"/>
      <c r="S136" s="7"/>
      <c r="T136" s="7"/>
      <c r="U136" s="7"/>
      <c r="V136" s="7"/>
      <c r="W136" s="7"/>
      <c r="X136" s="7"/>
      <c r="Y136" s="7"/>
      <c r="Z136" s="7"/>
    </row>
    <row r="137" spans="1:26" ht="21" customHeight="1" x14ac:dyDescent="0.2">
      <c r="A137" s="7"/>
      <c r="B137" s="6"/>
      <c r="C137" s="7"/>
      <c r="D137" s="7"/>
      <c r="E137" s="6"/>
      <c r="F137" s="6"/>
      <c r="G137" s="6"/>
      <c r="H137" s="6"/>
      <c r="I137" s="6"/>
      <c r="J137" s="7"/>
      <c r="K137" s="7"/>
      <c r="L137" s="7"/>
      <c r="M137" s="7"/>
      <c r="N137" s="7"/>
      <c r="O137" s="7"/>
      <c r="P137" s="7"/>
      <c r="Q137" s="7"/>
      <c r="R137" s="7"/>
      <c r="S137" s="7"/>
      <c r="T137" s="7"/>
      <c r="U137" s="7"/>
      <c r="V137" s="7"/>
      <c r="W137" s="7"/>
      <c r="X137" s="7"/>
      <c r="Y137" s="7"/>
      <c r="Z137" s="7"/>
    </row>
    <row r="138" spans="1:26" ht="21" customHeight="1" x14ac:dyDescent="0.2">
      <c r="A138" s="7"/>
      <c r="B138" s="6"/>
      <c r="C138" s="7"/>
      <c r="D138" s="7"/>
      <c r="E138" s="6"/>
      <c r="F138" s="6"/>
      <c r="G138" s="6"/>
      <c r="H138" s="6"/>
      <c r="I138" s="6"/>
      <c r="J138" s="7"/>
      <c r="K138" s="7"/>
      <c r="L138" s="7"/>
      <c r="M138" s="7"/>
      <c r="N138" s="7"/>
      <c r="O138" s="7"/>
      <c r="P138" s="7"/>
      <c r="Q138" s="7"/>
      <c r="R138" s="7"/>
      <c r="S138" s="7"/>
      <c r="T138" s="7"/>
      <c r="U138" s="7"/>
      <c r="V138" s="7"/>
      <c r="W138" s="7"/>
      <c r="X138" s="7"/>
      <c r="Y138" s="7"/>
      <c r="Z138" s="7"/>
    </row>
    <row r="139" spans="1:26" ht="21" customHeight="1" x14ac:dyDescent="0.2">
      <c r="A139" s="7"/>
      <c r="B139" s="6"/>
      <c r="C139" s="7"/>
      <c r="D139" s="7"/>
      <c r="E139" s="6"/>
      <c r="F139" s="6"/>
      <c r="G139" s="6"/>
      <c r="H139" s="6"/>
      <c r="I139" s="6"/>
      <c r="J139" s="7"/>
      <c r="K139" s="7"/>
      <c r="L139" s="7"/>
      <c r="M139" s="7"/>
      <c r="N139" s="7"/>
      <c r="O139" s="7"/>
      <c r="P139" s="7"/>
      <c r="Q139" s="7"/>
      <c r="R139" s="7"/>
      <c r="S139" s="7"/>
      <c r="T139" s="7"/>
      <c r="U139" s="7"/>
      <c r="V139" s="7"/>
      <c r="W139" s="7"/>
      <c r="X139" s="7"/>
      <c r="Y139" s="7"/>
      <c r="Z139" s="7"/>
    </row>
    <row r="140" spans="1:26" ht="21" customHeight="1" x14ac:dyDescent="0.2">
      <c r="A140" s="7"/>
      <c r="B140" s="6"/>
      <c r="C140" s="7"/>
      <c r="D140" s="7"/>
      <c r="E140" s="6"/>
      <c r="F140" s="6"/>
      <c r="G140" s="6"/>
      <c r="H140" s="6"/>
      <c r="I140" s="6"/>
      <c r="J140" s="7"/>
      <c r="K140" s="7"/>
      <c r="L140" s="7"/>
      <c r="M140" s="7"/>
      <c r="N140" s="7"/>
      <c r="O140" s="7"/>
      <c r="P140" s="7"/>
      <c r="Q140" s="7"/>
      <c r="R140" s="7"/>
      <c r="S140" s="7"/>
      <c r="T140" s="7"/>
      <c r="U140" s="7"/>
      <c r="V140" s="7"/>
      <c r="W140" s="7"/>
      <c r="X140" s="7"/>
      <c r="Y140" s="7"/>
      <c r="Z140" s="7"/>
    </row>
    <row r="141" spans="1:26" ht="21" customHeight="1" x14ac:dyDescent="0.2">
      <c r="A141" s="7"/>
      <c r="B141" s="6"/>
      <c r="C141" s="7"/>
      <c r="D141" s="7"/>
      <c r="E141" s="6"/>
      <c r="F141" s="6"/>
      <c r="G141" s="6"/>
      <c r="H141" s="6"/>
      <c r="I141" s="6"/>
      <c r="J141" s="7"/>
      <c r="K141" s="7"/>
      <c r="L141" s="7"/>
      <c r="M141" s="7"/>
      <c r="N141" s="7"/>
      <c r="O141" s="7"/>
      <c r="P141" s="7"/>
      <c r="Q141" s="7"/>
      <c r="R141" s="7"/>
      <c r="S141" s="7"/>
      <c r="T141" s="7"/>
      <c r="U141" s="7"/>
      <c r="V141" s="7"/>
      <c r="W141" s="7"/>
      <c r="X141" s="7"/>
      <c r="Y141" s="7"/>
      <c r="Z141" s="7"/>
    </row>
    <row r="142" spans="1:26" ht="21" customHeight="1" x14ac:dyDescent="0.2">
      <c r="A142" s="7"/>
      <c r="B142" s="6"/>
      <c r="C142" s="7"/>
      <c r="D142" s="7"/>
      <c r="E142" s="6"/>
      <c r="F142" s="6"/>
      <c r="G142" s="6"/>
      <c r="H142" s="6"/>
      <c r="I142" s="6"/>
      <c r="J142" s="7"/>
      <c r="K142" s="7"/>
      <c r="L142" s="7"/>
      <c r="M142" s="7"/>
      <c r="N142" s="7"/>
      <c r="O142" s="7"/>
      <c r="P142" s="7"/>
      <c r="Q142" s="7"/>
      <c r="R142" s="7"/>
      <c r="S142" s="7"/>
      <c r="T142" s="7"/>
      <c r="U142" s="7"/>
      <c r="V142" s="7"/>
      <c r="W142" s="7"/>
      <c r="X142" s="7"/>
      <c r="Y142" s="7"/>
      <c r="Z142" s="7"/>
    </row>
    <row r="143" spans="1:26" ht="21" customHeight="1" x14ac:dyDescent="0.2">
      <c r="A143" s="7"/>
      <c r="B143" s="6"/>
      <c r="C143" s="7"/>
      <c r="D143" s="7"/>
      <c r="E143" s="6"/>
      <c r="F143" s="6"/>
      <c r="G143" s="6"/>
      <c r="H143" s="6"/>
      <c r="I143" s="6"/>
      <c r="J143" s="7"/>
      <c r="K143" s="7"/>
      <c r="L143" s="7"/>
      <c r="M143" s="7"/>
      <c r="N143" s="7"/>
      <c r="O143" s="7"/>
      <c r="P143" s="7"/>
      <c r="Q143" s="7"/>
      <c r="R143" s="7"/>
      <c r="S143" s="7"/>
      <c r="T143" s="7"/>
      <c r="U143" s="7"/>
      <c r="V143" s="7"/>
      <c r="W143" s="7"/>
      <c r="X143" s="7"/>
      <c r="Y143" s="7"/>
      <c r="Z143" s="7"/>
    </row>
    <row r="144" spans="1:26" ht="21" customHeight="1" x14ac:dyDescent="0.2">
      <c r="A144" s="7"/>
      <c r="B144" s="6"/>
      <c r="C144" s="7"/>
      <c r="D144" s="7"/>
      <c r="E144" s="6"/>
      <c r="F144" s="6"/>
      <c r="G144" s="6"/>
      <c r="H144" s="6"/>
      <c r="I144" s="6"/>
      <c r="J144" s="7"/>
      <c r="K144" s="7"/>
      <c r="L144" s="7"/>
      <c r="M144" s="7"/>
      <c r="N144" s="7"/>
      <c r="O144" s="7"/>
      <c r="P144" s="7"/>
      <c r="Q144" s="7"/>
      <c r="R144" s="7"/>
      <c r="S144" s="7"/>
      <c r="T144" s="7"/>
      <c r="U144" s="7"/>
      <c r="V144" s="7"/>
      <c r="W144" s="7"/>
      <c r="X144" s="7"/>
      <c r="Y144" s="7"/>
      <c r="Z144" s="7"/>
    </row>
    <row r="145" spans="1:26" ht="21" customHeight="1" x14ac:dyDescent="0.2">
      <c r="A145" s="7"/>
      <c r="B145" s="6"/>
      <c r="C145" s="7"/>
      <c r="D145" s="7"/>
      <c r="E145" s="6"/>
      <c r="F145" s="6"/>
      <c r="G145" s="6"/>
      <c r="H145" s="6"/>
      <c r="I145" s="6"/>
      <c r="J145" s="7"/>
      <c r="K145" s="7"/>
      <c r="L145" s="7"/>
      <c r="M145" s="7"/>
      <c r="N145" s="7"/>
      <c r="O145" s="7"/>
      <c r="P145" s="7"/>
      <c r="Q145" s="7"/>
      <c r="R145" s="7"/>
      <c r="S145" s="7"/>
      <c r="T145" s="7"/>
      <c r="U145" s="7"/>
      <c r="V145" s="7"/>
      <c r="W145" s="7"/>
      <c r="X145" s="7"/>
      <c r="Y145" s="7"/>
      <c r="Z145" s="7"/>
    </row>
    <row r="146" spans="1:26" ht="21" customHeight="1" x14ac:dyDescent="0.2">
      <c r="A146" s="7"/>
      <c r="B146" s="6"/>
      <c r="C146" s="7"/>
      <c r="D146" s="7"/>
      <c r="E146" s="6"/>
      <c r="F146" s="6"/>
      <c r="G146" s="6"/>
      <c r="H146" s="6"/>
      <c r="I146" s="6"/>
      <c r="J146" s="7"/>
      <c r="K146" s="7"/>
      <c r="L146" s="7"/>
      <c r="M146" s="7"/>
      <c r="N146" s="7"/>
      <c r="O146" s="7"/>
      <c r="P146" s="7"/>
      <c r="Q146" s="7"/>
      <c r="R146" s="7"/>
      <c r="S146" s="7"/>
      <c r="T146" s="7"/>
      <c r="U146" s="7"/>
      <c r="V146" s="7"/>
      <c r="W146" s="7"/>
      <c r="X146" s="7"/>
      <c r="Y146" s="7"/>
      <c r="Z146" s="7"/>
    </row>
    <row r="147" spans="1:26" ht="21" customHeight="1" x14ac:dyDescent="0.2">
      <c r="A147" s="7"/>
      <c r="B147" s="6"/>
      <c r="C147" s="7"/>
      <c r="D147" s="7"/>
      <c r="E147" s="6"/>
      <c r="F147" s="6"/>
      <c r="G147" s="6"/>
      <c r="H147" s="6"/>
      <c r="I147" s="6"/>
      <c r="J147" s="7"/>
      <c r="K147" s="7"/>
      <c r="L147" s="7"/>
      <c r="M147" s="7"/>
      <c r="N147" s="7"/>
      <c r="O147" s="7"/>
      <c r="P147" s="7"/>
      <c r="Q147" s="7"/>
      <c r="R147" s="7"/>
      <c r="S147" s="7"/>
      <c r="T147" s="7"/>
      <c r="U147" s="7"/>
      <c r="V147" s="7"/>
      <c r="W147" s="7"/>
      <c r="X147" s="7"/>
      <c r="Y147" s="7"/>
      <c r="Z147" s="7"/>
    </row>
    <row r="148" spans="1:26" ht="21" customHeight="1" x14ac:dyDescent="0.2">
      <c r="A148" s="7"/>
      <c r="B148" s="6"/>
      <c r="C148" s="7"/>
      <c r="D148" s="7"/>
      <c r="E148" s="6"/>
      <c r="F148" s="6"/>
      <c r="G148" s="6"/>
      <c r="H148" s="6"/>
      <c r="I148" s="6"/>
      <c r="J148" s="7"/>
      <c r="K148" s="7"/>
      <c r="L148" s="7"/>
      <c r="M148" s="7"/>
      <c r="N148" s="7"/>
      <c r="O148" s="7"/>
      <c r="P148" s="7"/>
      <c r="Q148" s="7"/>
      <c r="R148" s="7"/>
      <c r="S148" s="7"/>
      <c r="T148" s="7"/>
      <c r="U148" s="7"/>
      <c r="V148" s="7"/>
      <c r="W148" s="7"/>
      <c r="X148" s="7"/>
      <c r="Y148" s="7"/>
      <c r="Z148" s="7"/>
    </row>
    <row r="149" spans="1:26" ht="21" customHeight="1" x14ac:dyDescent="0.2">
      <c r="A149" s="7"/>
      <c r="B149" s="6"/>
      <c r="C149" s="7"/>
      <c r="D149" s="7"/>
      <c r="E149" s="6"/>
      <c r="F149" s="6"/>
      <c r="G149" s="6"/>
      <c r="H149" s="6"/>
      <c r="I149" s="6"/>
      <c r="J149" s="7"/>
      <c r="K149" s="7"/>
      <c r="L149" s="7"/>
      <c r="M149" s="7"/>
      <c r="N149" s="7"/>
      <c r="O149" s="7"/>
      <c r="P149" s="7"/>
      <c r="Q149" s="7"/>
      <c r="R149" s="7"/>
      <c r="S149" s="7"/>
      <c r="T149" s="7"/>
      <c r="U149" s="7"/>
      <c r="V149" s="7"/>
      <c r="W149" s="7"/>
      <c r="X149" s="7"/>
      <c r="Y149" s="7"/>
      <c r="Z149" s="7"/>
    </row>
    <row r="150" spans="1:26" ht="21" customHeight="1" x14ac:dyDescent="0.2">
      <c r="A150" s="7"/>
      <c r="B150" s="6"/>
      <c r="C150" s="7"/>
      <c r="D150" s="7"/>
      <c r="E150" s="6"/>
      <c r="F150" s="6"/>
      <c r="G150" s="6"/>
      <c r="H150" s="6"/>
      <c r="I150" s="6"/>
      <c r="J150" s="7"/>
      <c r="K150" s="7"/>
      <c r="L150" s="7"/>
      <c r="M150" s="7"/>
      <c r="N150" s="7"/>
      <c r="O150" s="7"/>
      <c r="P150" s="7"/>
      <c r="Q150" s="7"/>
      <c r="R150" s="7"/>
      <c r="S150" s="7"/>
      <c r="T150" s="7"/>
      <c r="U150" s="7"/>
      <c r="V150" s="7"/>
      <c r="W150" s="7"/>
      <c r="X150" s="7"/>
      <c r="Y150" s="7"/>
      <c r="Z150" s="7"/>
    </row>
    <row r="151" spans="1:26" ht="21" customHeight="1" x14ac:dyDescent="0.2">
      <c r="A151" s="7"/>
      <c r="B151" s="6"/>
      <c r="C151" s="7"/>
      <c r="D151" s="7"/>
      <c r="E151" s="6"/>
      <c r="F151" s="6"/>
      <c r="G151" s="6"/>
      <c r="H151" s="6"/>
      <c r="I151" s="6"/>
      <c r="J151" s="7"/>
      <c r="K151" s="7"/>
      <c r="L151" s="7"/>
      <c r="M151" s="7"/>
      <c r="N151" s="7"/>
      <c r="O151" s="7"/>
      <c r="P151" s="7"/>
      <c r="Q151" s="7"/>
      <c r="R151" s="7"/>
      <c r="S151" s="7"/>
      <c r="T151" s="7"/>
      <c r="U151" s="7"/>
      <c r="V151" s="7"/>
      <c r="W151" s="7"/>
      <c r="X151" s="7"/>
      <c r="Y151" s="7"/>
      <c r="Z151" s="7"/>
    </row>
    <row r="152" spans="1:26" ht="21" customHeight="1" x14ac:dyDescent="0.2">
      <c r="A152" s="7"/>
      <c r="B152" s="6"/>
      <c r="C152" s="7"/>
      <c r="D152" s="7"/>
      <c r="E152" s="6"/>
      <c r="F152" s="6"/>
      <c r="G152" s="6"/>
      <c r="H152" s="6"/>
      <c r="I152" s="6"/>
      <c r="J152" s="7"/>
      <c r="K152" s="7"/>
      <c r="L152" s="7"/>
      <c r="M152" s="7"/>
      <c r="N152" s="7"/>
      <c r="O152" s="7"/>
      <c r="P152" s="7"/>
      <c r="Q152" s="7"/>
      <c r="R152" s="7"/>
      <c r="S152" s="7"/>
      <c r="T152" s="7"/>
      <c r="U152" s="7"/>
      <c r="V152" s="7"/>
      <c r="W152" s="7"/>
      <c r="X152" s="7"/>
      <c r="Y152" s="7"/>
      <c r="Z152" s="7"/>
    </row>
    <row r="153" spans="1:26" ht="21" customHeight="1" x14ac:dyDescent="0.2">
      <c r="A153" s="7"/>
      <c r="B153" s="6"/>
      <c r="C153" s="7"/>
      <c r="D153" s="7"/>
      <c r="E153" s="6"/>
      <c r="F153" s="6"/>
      <c r="G153" s="6"/>
      <c r="H153" s="6"/>
      <c r="I153" s="6"/>
      <c r="J153" s="7"/>
      <c r="K153" s="7"/>
      <c r="L153" s="7"/>
      <c r="M153" s="7"/>
      <c r="N153" s="7"/>
      <c r="O153" s="7"/>
      <c r="P153" s="7"/>
      <c r="Q153" s="7"/>
      <c r="R153" s="7"/>
      <c r="S153" s="7"/>
      <c r="T153" s="7"/>
      <c r="U153" s="7"/>
      <c r="V153" s="7"/>
      <c r="W153" s="7"/>
      <c r="X153" s="7"/>
      <c r="Y153" s="7"/>
      <c r="Z153" s="7"/>
    </row>
    <row r="154" spans="1:26" ht="21" customHeight="1" x14ac:dyDescent="0.2">
      <c r="A154" s="7"/>
      <c r="B154" s="6"/>
      <c r="C154" s="7"/>
      <c r="D154" s="7"/>
      <c r="E154" s="6"/>
      <c r="F154" s="6"/>
      <c r="G154" s="6"/>
      <c r="H154" s="6"/>
      <c r="I154" s="6"/>
      <c r="J154" s="7"/>
      <c r="K154" s="7"/>
      <c r="L154" s="7"/>
      <c r="M154" s="7"/>
      <c r="N154" s="7"/>
      <c r="O154" s="7"/>
      <c r="P154" s="7"/>
      <c r="Q154" s="7"/>
      <c r="R154" s="7"/>
      <c r="S154" s="7"/>
      <c r="T154" s="7"/>
      <c r="U154" s="7"/>
      <c r="V154" s="7"/>
      <c r="W154" s="7"/>
      <c r="X154" s="7"/>
      <c r="Y154" s="7"/>
      <c r="Z154" s="7"/>
    </row>
    <row r="155" spans="1:26" ht="21" customHeight="1" x14ac:dyDescent="0.2">
      <c r="A155" s="7"/>
      <c r="B155" s="6"/>
      <c r="C155" s="7"/>
      <c r="D155" s="7"/>
      <c r="E155" s="6"/>
      <c r="F155" s="6"/>
      <c r="G155" s="6"/>
      <c r="H155" s="6"/>
      <c r="I155" s="6"/>
      <c r="J155" s="7"/>
      <c r="K155" s="7"/>
      <c r="L155" s="7"/>
      <c r="M155" s="7"/>
      <c r="N155" s="7"/>
      <c r="O155" s="7"/>
      <c r="P155" s="7"/>
      <c r="Q155" s="7"/>
      <c r="R155" s="7"/>
      <c r="S155" s="7"/>
      <c r="T155" s="7"/>
      <c r="U155" s="7"/>
      <c r="V155" s="7"/>
      <c r="W155" s="7"/>
      <c r="X155" s="7"/>
      <c r="Y155" s="7"/>
      <c r="Z155" s="7"/>
    </row>
    <row r="156" spans="1:26" ht="21" customHeight="1" x14ac:dyDescent="0.2">
      <c r="A156" s="7"/>
      <c r="B156" s="6"/>
      <c r="C156" s="7"/>
      <c r="D156" s="7"/>
      <c r="E156" s="6"/>
      <c r="F156" s="6"/>
      <c r="G156" s="6"/>
      <c r="H156" s="6"/>
      <c r="I156" s="6"/>
      <c r="J156" s="7"/>
      <c r="K156" s="7"/>
      <c r="L156" s="7"/>
      <c r="M156" s="7"/>
      <c r="N156" s="7"/>
      <c r="O156" s="7"/>
      <c r="P156" s="7"/>
      <c r="Q156" s="7"/>
      <c r="R156" s="7"/>
      <c r="S156" s="7"/>
      <c r="T156" s="7"/>
      <c r="U156" s="7"/>
      <c r="V156" s="7"/>
      <c r="W156" s="7"/>
      <c r="X156" s="7"/>
      <c r="Y156" s="7"/>
      <c r="Z156" s="7"/>
    </row>
    <row r="157" spans="1:26" ht="21" customHeight="1" x14ac:dyDescent="0.2">
      <c r="A157" s="7"/>
      <c r="B157" s="6"/>
      <c r="C157" s="7"/>
      <c r="D157" s="7"/>
      <c r="E157" s="6"/>
      <c r="F157" s="6"/>
      <c r="G157" s="6"/>
      <c r="H157" s="6"/>
      <c r="I157" s="6"/>
      <c r="J157" s="7"/>
      <c r="K157" s="7"/>
      <c r="L157" s="7"/>
      <c r="M157" s="7"/>
      <c r="N157" s="7"/>
      <c r="O157" s="7"/>
      <c r="P157" s="7"/>
      <c r="Q157" s="7"/>
      <c r="R157" s="7"/>
      <c r="S157" s="7"/>
      <c r="T157" s="7"/>
      <c r="U157" s="7"/>
      <c r="V157" s="7"/>
      <c r="W157" s="7"/>
      <c r="X157" s="7"/>
      <c r="Y157" s="7"/>
      <c r="Z157" s="7"/>
    </row>
    <row r="158" spans="1:26" ht="21" customHeight="1" x14ac:dyDescent="0.2">
      <c r="A158" s="7"/>
      <c r="B158" s="6"/>
      <c r="C158" s="7"/>
      <c r="D158" s="7"/>
      <c r="E158" s="6"/>
      <c r="F158" s="6"/>
      <c r="G158" s="6"/>
      <c r="H158" s="6"/>
      <c r="I158" s="6"/>
      <c r="J158" s="7"/>
      <c r="K158" s="7"/>
      <c r="L158" s="7"/>
      <c r="M158" s="7"/>
      <c r="N158" s="7"/>
      <c r="O158" s="7"/>
      <c r="P158" s="7"/>
      <c r="Q158" s="7"/>
      <c r="R158" s="7"/>
      <c r="S158" s="7"/>
      <c r="T158" s="7"/>
      <c r="U158" s="7"/>
      <c r="V158" s="7"/>
      <c r="W158" s="7"/>
      <c r="X158" s="7"/>
      <c r="Y158" s="7"/>
      <c r="Z158" s="7"/>
    </row>
    <row r="159" spans="1:26" ht="21" customHeight="1" x14ac:dyDescent="0.2">
      <c r="A159" s="7"/>
      <c r="B159" s="6"/>
      <c r="C159" s="7"/>
      <c r="D159" s="7"/>
      <c r="E159" s="6"/>
      <c r="F159" s="6"/>
      <c r="G159" s="6"/>
      <c r="H159" s="6"/>
      <c r="I159" s="6"/>
      <c r="J159" s="7"/>
      <c r="K159" s="7"/>
      <c r="L159" s="7"/>
      <c r="M159" s="7"/>
      <c r="N159" s="7"/>
      <c r="O159" s="7"/>
      <c r="P159" s="7"/>
      <c r="Q159" s="7"/>
      <c r="R159" s="7"/>
      <c r="S159" s="7"/>
      <c r="T159" s="7"/>
      <c r="U159" s="7"/>
      <c r="V159" s="7"/>
      <c r="W159" s="7"/>
      <c r="X159" s="7"/>
      <c r="Y159" s="7"/>
      <c r="Z159" s="7"/>
    </row>
    <row r="160" spans="1:26" ht="21" customHeight="1" x14ac:dyDescent="0.2">
      <c r="A160" s="7"/>
      <c r="B160" s="6"/>
      <c r="C160" s="7"/>
      <c r="D160" s="7"/>
      <c r="E160" s="6"/>
      <c r="F160" s="6"/>
      <c r="G160" s="6"/>
      <c r="H160" s="6"/>
      <c r="I160" s="6"/>
      <c r="J160" s="7"/>
      <c r="K160" s="7"/>
      <c r="L160" s="7"/>
      <c r="M160" s="7"/>
      <c r="N160" s="7"/>
      <c r="O160" s="7"/>
      <c r="P160" s="7"/>
      <c r="Q160" s="7"/>
      <c r="R160" s="7"/>
      <c r="S160" s="7"/>
      <c r="T160" s="7"/>
      <c r="U160" s="7"/>
      <c r="V160" s="7"/>
      <c r="W160" s="7"/>
      <c r="X160" s="7"/>
      <c r="Y160" s="7"/>
      <c r="Z160" s="7"/>
    </row>
    <row r="161" spans="1:26" ht="21" customHeight="1" x14ac:dyDescent="0.2">
      <c r="A161" s="7"/>
      <c r="B161" s="6"/>
      <c r="C161" s="7"/>
      <c r="D161" s="7"/>
      <c r="E161" s="6"/>
      <c r="F161" s="6"/>
      <c r="G161" s="6"/>
      <c r="H161" s="6"/>
      <c r="I161" s="6"/>
      <c r="J161" s="7"/>
      <c r="K161" s="7"/>
      <c r="L161" s="7"/>
      <c r="M161" s="7"/>
      <c r="N161" s="7"/>
      <c r="O161" s="7"/>
      <c r="P161" s="7"/>
      <c r="Q161" s="7"/>
      <c r="R161" s="7"/>
      <c r="S161" s="7"/>
      <c r="T161" s="7"/>
      <c r="U161" s="7"/>
      <c r="V161" s="7"/>
      <c r="W161" s="7"/>
      <c r="X161" s="7"/>
      <c r="Y161" s="7"/>
      <c r="Z161" s="7"/>
    </row>
    <row r="162" spans="1:26" ht="21" customHeight="1" x14ac:dyDescent="0.2">
      <c r="A162" s="7"/>
      <c r="B162" s="6"/>
      <c r="C162" s="7"/>
      <c r="D162" s="7"/>
      <c r="E162" s="6"/>
      <c r="F162" s="6"/>
      <c r="G162" s="6"/>
      <c r="H162" s="6"/>
      <c r="I162" s="6"/>
      <c r="J162" s="7"/>
      <c r="K162" s="7"/>
      <c r="L162" s="7"/>
      <c r="M162" s="7"/>
      <c r="N162" s="7"/>
      <c r="O162" s="7"/>
      <c r="P162" s="7"/>
      <c r="Q162" s="7"/>
      <c r="R162" s="7"/>
      <c r="S162" s="7"/>
      <c r="T162" s="7"/>
      <c r="U162" s="7"/>
      <c r="V162" s="7"/>
      <c r="W162" s="7"/>
      <c r="X162" s="7"/>
      <c r="Y162" s="7"/>
      <c r="Z162" s="7"/>
    </row>
    <row r="163" spans="1:26" ht="21" customHeight="1" x14ac:dyDescent="0.2">
      <c r="A163" s="7"/>
      <c r="B163" s="6"/>
      <c r="C163" s="7"/>
      <c r="D163" s="7"/>
      <c r="E163" s="6"/>
      <c r="F163" s="6"/>
      <c r="G163" s="6"/>
      <c r="H163" s="6"/>
      <c r="I163" s="6"/>
      <c r="J163" s="7"/>
      <c r="K163" s="7"/>
      <c r="L163" s="7"/>
      <c r="M163" s="7"/>
      <c r="N163" s="7"/>
      <c r="O163" s="7"/>
      <c r="P163" s="7"/>
      <c r="Q163" s="7"/>
      <c r="R163" s="7"/>
      <c r="S163" s="7"/>
      <c r="T163" s="7"/>
      <c r="U163" s="7"/>
      <c r="V163" s="7"/>
      <c r="W163" s="7"/>
      <c r="X163" s="7"/>
      <c r="Y163" s="7"/>
      <c r="Z163" s="7"/>
    </row>
    <row r="164" spans="1:26" ht="21" customHeight="1" x14ac:dyDescent="0.2">
      <c r="A164" s="7"/>
      <c r="B164" s="6"/>
      <c r="C164" s="7"/>
      <c r="D164" s="7"/>
      <c r="E164" s="6"/>
      <c r="F164" s="6"/>
      <c r="G164" s="6"/>
      <c r="H164" s="6"/>
      <c r="I164" s="6"/>
      <c r="J164" s="7"/>
      <c r="K164" s="7"/>
      <c r="L164" s="7"/>
      <c r="M164" s="7"/>
      <c r="N164" s="7"/>
      <c r="O164" s="7"/>
      <c r="P164" s="7"/>
      <c r="Q164" s="7"/>
      <c r="R164" s="7"/>
      <c r="S164" s="7"/>
      <c r="T164" s="7"/>
      <c r="U164" s="7"/>
      <c r="V164" s="7"/>
      <c r="W164" s="7"/>
      <c r="X164" s="7"/>
      <c r="Y164" s="7"/>
      <c r="Z164" s="7"/>
    </row>
    <row r="165" spans="1:26" ht="21" customHeight="1" x14ac:dyDescent="0.2">
      <c r="A165" s="7"/>
      <c r="B165" s="6"/>
      <c r="C165" s="7"/>
      <c r="D165" s="7"/>
      <c r="E165" s="6"/>
      <c r="F165" s="6"/>
      <c r="G165" s="6"/>
      <c r="H165" s="6"/>
      <c r="I165" s="6"/>
      <c r="J165" s="7"/>
      <c r="K165" s="7"/>
      <c r="L165" s="7"/>
      <c r="M165" s="7"/>
      <c r="N165" s="7"/>
      <c r="O165" s="7"/>
      <c r="P165" s="7"/>
      <c r="Q165" s="7"/>
      <c r="R165" s="7"/>
      <c r="S165" s="7"/>
      <c r="T165" s="7"/>
      <c r="U165" s="7"/>
      <c r="V165" s="7"/>
      <c r="W165" s="7"/>
      <c r="X165" s="7"/>
      <c r="Y165" s="7"/>
      <c r="Z165" s="7"/>
    </row>
    <row r="166" spans="1:26" ht="21" customHeight="1" x14ac:dyDescent="0.2">
      <c r="A166" s="7"/>
      <c r="B166" s="6"/>
      <c r="C166" s="7"/>
      <c r="D166" s="7"/>
      <c r="E166" s="6"/>
      <c r="F166" s="6"/>
      <c r="G166" s="6"/>
      <c r="H166" s="6"/>
      <c r="I166" s="6"/>
      <c r="J166" s="7"/>
      <c r="K166" s="7"/>
      <c r="L166" s="7"/>
      <c r="M166" s="7"/>
      <c r="N166" s="7"/>
      <c r="O166" s="7"/>
      <c r="P166" s="7"/>
      <c r="Q166" s="7"/>
      <c r="R166" s="7"/>
      <c r="S166" s="7"/>
      <c r="T166" s="7"/>
      <c r="U166" s="7"/>
      <c r="V166" s="7"/>
      <c r="W166" s="7"/>
      <c r="X166" s="7"/>
      <c r="Y166" s="7"/>
      <c r="Z166" s="7"/>
    </row>
    <row r="167" spans="1:26" ht="21" customHeight="1" x14ac:dyDescent="0.2">
      <c r="A167" s="7"/>
      <c r="B167" s="6"/>
      <c r="C167" s="7"/>
      <c r="D167" s="7"/>
      <c r="E167" s="6"/>
      <c r="F167" s="6"/>
      <c r="G167" s="6"/>
      <c r="H167" s="6"/>
      <c r="I167" s="6"/>
      <c r="J167" s="7"/>
      <c r="K167" s="7"/>
      <c r="L167" s="7"/>
      <c r="M167" s="7"/>
      <c r="N167" s="7"/>
      <c r="O167" s="7"/>
      <c r="P167" s="7"/>
      <c r="Q167" s="7"/>
      <c r="R167" s="7"/>
      <c r="S167" s="7"/>
      <c r="T167" s="7"/>
      <c r="U167" s="7"/>
      <c r="V167" s="7"/>
      <c r="W167" s="7"/>
      <c r="X167" s="7"/>
      <c r="Y167" s="7"/>
      <c r="Z167" s="7"/>
    </row>
    <row r="168" spans="1:26" ht="21" customHeight="1" x14ac:dyDescent="0.2">
      <c r="A168" s="7"/>
      <c r="B168" s="6"/>
      <c r="C168" s="7"/>
      <c r="D168" s="7"/>
      <c r="E168" s="6"/>
      <c r="F168" s="6"/>
      <c r="G168" s="6"/>
      <c r="H168" s="6"/>
      <c r="I168" s="6"/>
      <c r="J168" s="7"/>
      <c r="K168" s="7"/>
      <c r="L168" s="7"/>
      <c r="M168" s="7"/>
      <c r="N168" s="7"/>
      <c r="O168" s="7"/>
      <c r="P168" s="7"/>
      <c r="Q168" s="7"/>
      <c r="R168" s="7"/>
      <c r="S168" s="7"/>
      <c r="T168" s="7"/>
      <c r="U168" s="7"/>
      <c r="V168" s="7"/>
      <c r="W168" s="7"/>
      <c r="X168" s="7"/>
      <c r="Y168" s="7"/>
      <c r="Z168" s="7"/>
    </row>
    <row r="169" spans="1:26" ht="21" customHeight="1" x14ac:dyDescent="0.2">
      <c r="A169" s="7"/>
      <c r="B169" s="6"/>
      <c r="C169" s="7"/>
      <c r="D169" s="7"/>
      <c r="E169" s="6"/>
      <c r="F169" s="6"/>
      <c r="G169" s="6"/>
      <c r="H169" s="6"/>
      <c r="I169" s="6"/>
      <c r="J169" s="7"/>
      <c r="K169" s="7"/>
      <c r="L169" s="7"/>
      <c r="M169" s="7"/>
      <c r="N169" s="7"/>
      <c r="O169" s="7"/>
      <c r="P169" s="7"/>
      <c r="Q169" s="7"/>
      <c r="R169" s="7"/>
      <c r="S169" s="7"/>
      <c r="T169" s="7"/>
      <c r="U169" s="7"/>
      <c r="V169" s="7"/>
      <c r="W169" s="7"/>
      <c r="X169" s="7"/>
      <c r="Y169" s="7"/>
      <c r="Z169" s="7"/>
    </row>
    <row r="170" spans="1:26" ht="21" customHeight="1" x14ac:dyDescent="0.2">
      <c r="A170" s="7"/>
      <c r="B170" s="6"/>
      <c r="C170" s="7"/>
      <c r="D170" s="7"/>
      <c r="E170" s="6"/>
      <c r="F170" s="6"/>
      <c r="G170" s="6"/>
      <c r="H170" s="6"/>
      <c r="I170" s="6"/>
      <c r="J170" s="7"/>
      <c r="K170" s="7"/>
      <c r="L170" s="7"/>
      <c r="M170" s="7"/>
      <c r="N170" s="7"/>
      <c r="O170" s="7"/>
      <c r="P170" s="7"/>
      <c r="Q170" s="7"/>
      <c r="R170" s="7"/>
      <c r="S170" s="7"/>
      <c r="T170" s="7"/>
      <c r="U170" s="7"/>
      <c r="V170" s="7"/>
      <c r="W170" s="7"/>
      <c r="X170" s="7"/>
      <c r="Y170" s="7"/>
      <c r="Z170" s="7"/>
    </row>
    <row r="171" spans="1:26" ht="21" customHeight="1" x14ac:dyDescent="0.2">
      <c r="A171" s="7"/>
      <c r="B171" s="6"/>
      <c r="C171" s="7"/>
      <c r="D171" s="7"/>
      <c r="E171" s="6"/>
      <c r="F171" s="6"/>
      <c r="G171" s="6"/>
      <c r="H171" s="6"/>
      <c r="I171" s="6"/>
      <c r="J171" s="7"/>
      <c r="K171" s="7"/>
      <c r="L171" s="7"/>
      <c r="M171" s="7"/>
      <c r="N171" s="7"/>
      <c r="O171" s="7"/>
      <c r="P171" s="7"/>
      <c r="Q171" s="7"/>
      <c r="R171" s="7"/>
      <c r="S171" s="7"/>
      <c r="T171" s="7"/>
      <c r="U171" s="7"/>
      <c r="V171" s="7"/>
      <c r="W171" s="7"/>
      <c r="X171" s="7"/>
      <c r="Y171" s="7"/>
      <c r="Z171" s="7"/>
    </row>
    <row r="172" spans="1:26" ht="21" customHeight="1" x14ac:dyDescent="0.2">
      <c r="A172" s="7"/>
      <c r="B172" s="6"/>
      <c r="C172" s="7"/>
      <c r="D172" s="7"/>
      <c r="E172" s="6"/>
      <c r="F172" s="6"/>
      <c r="G172" s="6"/>
      <c r="H172" s="6"/>
      <c r="I172" s="6"/>
      <c r="J172" s="7"/>
      <c r="K172" s="7"/>
      <c r="L172" s="7"/>
      <c r="M172" s="7"/>
      <c r="N172" s="7"/>
      <c r="O172" s="7"/>
      <c r="P172" s="7"/>
      <c r="Q172" s="7"/>
      <c r="R172" s="7"/>
      <c r="S172" s="7"/>
      <c r="T172" s="7"/>
      <c r="U172" s="7"/>
      <c r="V172" s="7"/>
      <c r="W172" s="7"/>
      <c r="X172" s="7"/>
      <c r="Y172" s="7"/>
      <c r="Z172" s="7"/>
    </row>
    <row r="173" spans="1:26" ht="21" customHeight="1" x14ac:dyDescent="0.2">
      <c r="A173" s="7"/>
      <c r="B173" s="6"/>
      <c r="C173" s="7"/>
      <c r="D173" s="7"/>
      <c r="E173" s="6"/>
      <c r="F173" s="6"/>
      <c r="G173" s="6"/>
      <c r="H173" s="6"/>
      <c r="I173" s="6"/>
      <c r="J173" s="7"/>
      <c r="K173" s="7"/>
      <c r="L173" s="7"/>
      <c r="M173" s="7"/>
      <c r="N173" s="7"/>
      <c r="O173" s="7"/>
      <c r="P173" s="7"/>
      <c r="Q173" s="7"/>
      <c r="R173" s="7"/>
      <c r="S173" s="7"/>
      <c r="T173" s="7"/>
      <c r="U173" s="7"/>
      <c r="V173" s="7"/>
      <c r="W173" s="7"/>
      <c r="X173" s="7"/>
      <c r="Y173" s="7"/>
      <c r="Z173" s="7"/>
    </row>
    <row r="174" spans="1:26" ht="21" customHeight="1" x14ac:dyDescent="0.2">
      <c r="A174" s="7"/>
      <c r="B174" s="6"/>
      <c r="C174" s="7"/>
      <c r="D174" s="7"/>
      <c r="E174" s="6"/>
      <c r="F174" s="6"/>
      <c r="G174" s="6"/>
      <c r="H174" s="6"/>
      <c r="I174" s="6"/>
      <c r="J174" s="7"/>
      <c r="K174" s="7"/>
      <c r="L174" s="7"/>
      <c r="M174" s="7"/>
      <c r="N174" s="7"/>
      <c r="O174" s="7"/>
      <c r="P174" s="7"/>
      <c r="Q174" s="7"/>
      <c r="R174" s="7"/>
      <c r="S174" s="7"/>
      <c r="T174" s="7"/>
      <c r="U174" s="7"/>
      <c r="V174" s="7"/>
      <c r="W174" s="7"/>
      <c r="X174" s="7"/>
      <c r="Y174" s="7"/>
      <c r="Z174" s="7"/>
    </row>
    <row r="175" spans="1:26" ht="21" customHeight="1" x14ac:dyDescent="0.2">
      <c r="A175" s="7"/>
      <c r="B175" s="6"/>
      <c r="C175" s="7"/>
      <c r="D175" s="7"/>
      <c r="E175" s="6"/>
      <c r="F175" s="6"/>
      <c r="G175" s="6"/>
      <c r="H175" s="6"/>
      <c r="I175" s="6"/>
      <c r="J175" s="7"/>
      <c r="K175" s="7"/>
      <c r="L175" s="7"/>
      <c r="M175" s="7"/>
      <c r="N175" s="7"/>
      <c r="O175" s="7"/>
      <c r="P175" s="7"/>
      <c r="Q175" s="7"/>
      <c r="R175" s="7"/>
      <c r="S175" s="7"/>
      <c r="T175" s="7"/>
      <c r="U175" s="7"/>
      <c r="V175" s="7"/>
      <c r="W175" s="7"/>
      <c r="X175" s="7"/>
      <c r="Y175" s="7"/>
      <c r="Z175" s="7"/>
    </row>
    <row r="176" spans="1:26" ht="21" customHeight="1" x14ac:dyDescent="0.2">
      <c r="A176" s="7"/>
      <c r="B176" s="6"/>
      <c r="C176" s="7"/>
      <c r="D176" s="7"/>
      <c r="E176" s="6"/>
      <c r="F176" s="6"/>
      <c r="G176" s="6"/>
      <c r="H176" s="6"/>
      <c r="I176" s="6"/>
      <c r="J176" s="7"/>
      <c r="K176" s="7"/>
      <c r="L176" s="7"/>
      <c r="M176" s="7"/>
      <c r="N176" s="7"/>
      <c r="O176" s="7"/>
      <c r="P176" s="7"/>
      <c r="Q176" s="7"/>
      <c r="R176" s="7"/>
      <c r="S176" s="7"/>
      <c r="T176" s="7"/>
      <c r="U176" s="7"/>
      <c r="V176" s="7"/>
      <c r="W176" s="7"/>
      <c r="X176" s="7"/>
      <c r="Y176" s="7"/>
      <c r="Z176" s="7"/>
    </row>
    <row r="177" spans="1:26" ht="21" customHeight="1" x14ac:dyDescent="0.2">
      <c r="A177" s="7"/>
      <c r="B177" s="6"/>
      <c r="C177" s="7"/>
      <c r="D177" s="7"/>
      <c r="E177" s="6"/>
      <c r="F177" s="6"/>
      <c r="G177" s="6"/>
      <c r="H177" s="6"/>
      <c r="I177" s="6"/>
      <c r="J177" s="7"/>
      <c r="K177" s="7"/>
      <c r="L177" s="7"/>
      <c r="M177" s="7"/>
      <c r="N177" s="7"/>
      <c r="O177" s="7"/>
      <c r="P177" s="7"/>
      <c r="Q177" s="7"/>
      <c r="R177" s="7"/>
      <c r="S177" s="7"/>
      <c r="T177" s="7"/>
      <c r="U177" s="7"/>
      <c r="V177" s="7"/>
      <c r="W177" s="7"/>
      <c r="X177" s="7"/>
      <c r="Y177" s="7"/>
      <c r="Z177" s="7"/>
    </row>
    <row r="178" spans="1:26" ht="21" customHeight="1" x14ac:dyDescent="0.2">
      <c r="A178" s="7"/>
      <c r="B178" s="6"/>
      <c r="C178" s="7"/>
      <c r="D178" s="7"/>
      <c r="E178" s="6"/>
      <c r="F178" s="6"/>
      <c r="G178" s="6"/>
      <c r="H178" s="6"/>
      <c r="I178" s="6"/>
      <c r="J178" s="7"/>
      <c r="K178" s="7"/>
      <c r="L178" s="7"/>
      <c r="M178" s="7"/>
      <c r="N178" s="7"/>
      <c r="O178" s="7"/>
      <c r="P178" s="7"/>
      <c r="Q178" s="7"/>
      <c r="R178" s="7"/>
      <c r="S178" s="7"/>
      <c r="T178" s="7"/>
      <c r="U178" s="7"/>
      <c r="V178" s="7"/>
      <c r="W178" s="7"/>
      <c r="X178" s="7"/>
      <c r="Y178" s="7"/>
      <c r="Z178" s="7"/>
    </row>
    <row r="179" spans="1:26" ht="21" customHeight="1" x14ac:dyDescent="0.2">
      <c r="A179" s="7"/>
      <c r="B179" s="6"/>
      <c r="C179" s="7"/>
      <c r="D179" s="7"/>
      <c r="E179" s="6"/>
      <c r="F179" s="6"/>
      <c r="G179" s="6"/>
      <c r="H179" s="6"/>
      <c r="I179" s="6"/>
      <c r="J179" s="7"/>
      <c r="K179" s="7"/>
      <c r="L179" s="7"/>
      <c r="M179" s="7"/>
      <c r="N179" s="7"/>
      <c r="O179" s="7"/>
      <c r="P179" s="7"/>
      <c r="Q179" s="7"/>
      <c r="R179" s="7"/>
      <c r="S179" s="7"/>
      <c r="T179" s="7"/>
      <c r="U179" s="7"/>
      <c r="V179" s="7"/>
      <c r="W179" s="7"/>
      <c r="X179" s="7"/>
      <c r="Y179" s="7"/>
      <c r="Z179" s="7"/>
    </row>
    <row r="180" spans="1:26" ht="21" customHeight="1" x14ac:dyDescent="0.2">
      <c r="A180" s="7"/>
      <c r="B180" s="6"/>
      <c r="C180" s="7"/>
      <c r="D180" s="7"/>
      <c r="E180" s="6"/>
      <c r="F180" s="6"/>
      <c r="G180" s="6"/>
      <c r="H180" s="6"/>
      <c r="I180" s="6"/>
      <c r="J180" s="7"/>
      <c r="K180" s="7"/>
      <c r="L180" s="7"/>
      <c r="M180" s="7"/>
      <c r="N180" s="7"/>
      <c r="O180" s="7"/>
      <c r="P180" s="7"/>
      <c r="Q180" s="7"/>
      <c r="R180" s="7"/>
      <c r="S180" s="7"/>
      <c r="T180" s="7"/>
      <c r="U180" s="7"/>
      <c r="V180" s="7"/>
      <c r="W180" s="7"/>
      <c r="X180" s="7"/>
      <c r="Y180" s="7"/>
      <c r="Z180" s="7"/>
    </row>
    <row r="181" spans="1:26" ht="21" customHeight="1" x14ac:dyDescent="0.2">
      <c r="A181" s="7"/>
      <c r="B181" s="6"/>
      <c r="C181" s="7"/>
      <c r="D181" s="7"/>
      <c r="E181" s="6"/>
      <c r="F181" s="6"/>
      <c r="G181" s="6"/>
      <c r="H181" s="6"/>
      <c r="I181" s="6"/>
      <c r="J181" s="7"/>
      <c r="K181" s="7"/>
      <c r="L181" s="7"/>
      <c r="M181" s="7"/>
      <c r="N181" s="7"/>
      <c r="O181" s="7"/>
      <c r="P181" s="7"/>
      <c r="Q181" s="7"/>
      <c r="R181" s="7"/>
      <c r="S181" s="7"/>
      <c r="T181" s="7"/>
      <c r="U181" s="7"/>
      <c r="V181" s="7"/>
      <c r="W181" s="7"/>
      <c r="X181" s="7"/>
      <c r="Y181" s="7"/>
      <c r="Z181" s="7"/>
    </row>
    <row r="182" spans="1:26" ht="21" customHeight="1" x14ac:dyDescent="0.2">
      <c r="A182" s="7"/>
      <c r="B182" s="6"/>
      <c r="C182" s="7"/>
      <c r="D182" s="7"/>
      <c r="E182" s="6"/>
      <c r="F182" s="6"/>
      <c r="G182" s="6"/>
      <c r="H182" s="6"/>
      <c r="I182" s="6"/>
      <c r="J182" s="7"/>
      <c r="K182" s="7"/>
      <c r="L182" s="7"/>
      <c r="M182" s="7"/>
      <c r="N182" s="7"/>
      <c r="O182" s="7"/>
      <c r="P182" s="7"/>
      <c r="Q182" s="7"/>
      <c r="R182" s="7"/>
      <c r="S182" s="7"/>
      <c r="T182" s="7"/>
      <c r="U182" s="7"/>
      <c r="V182" s="7"/>
      <c r="W182" s="7"/>
      <c r="X182" s="7"/>
      <c r="Y182" s="7"/>
      <c r="Z182" s="7"/>
    </row>
    <row r="183" spans="1:26" ht="21" customHeight="1" x14ac:dyDescent="0.2">
      <c r="A183" s="7"/>
      <c r="B183" s="6"/>
      <c r="C183" s="7"/>
      <c r="D183" s="7"/>
      <c r="E183" s="6"/>
      <c r="F183" s="6"/>
      <c r="G183" s="6"/>
      <c r="H183" s="6"/>
      <c r="I183" s="6"/>
      <c r="J183" s="7"/>
      <c r="K183" s="7"/>
      <c r="L183" s="7"/>
      <c r="M183" s="7"/>
      <c r="N183" s="7"/>
      <c r="O183" s="7"/>
      <c r="P183" s="7"/>
      <c r="Q183" s="7"/>
      <c r="R183" s="7"/>
      <c r="S183" s="7"/>
      <c r="T183" s="7"/>
      <c r="U183" s="7"/>
      <c r="V183" s="7"/>
      <c r="W183" s="7"/>
      <c r="X183" s="7"/>
      <c r="Y183" s="7"/>
      <c r="Z183" s="7"/>
    </row>
    <row r="184" spans="1:26" ht="21" customHeight="1" x14ac:dyDescent="0.2">
      <c r="A184" s="7"/>
      <c r="B184" s="6"/>
      <c r="C184" s="7"/>
      <c r="D184" s="7"/>
      <c r="E184" s="6"/>
      <c r="F184" s="6"/>
      <c r="G184" s="6"/>
      <c r="H184" s="6"/>
      <c r="I184" s="6"/>
      <c r="J184" s="7"/>
      <c r="K184" s="7"/>
      <c r="L184" s="7"/>
      <c r="M184" s="7"/>
      <c r="N184" s="7"/>
      <c r="O184" s="7"/>
      <c r="P184" s="7"/>
      <c r="Q184" s="7"/>
      <c r="R184" s="7"/>
      <c r="S184" s="7"/>
      <c r="T184" s="7"/>
      <c r="U184" s="7"/>
      <c r="V184" s="7"/>
      <c r="W184" s="7"/>
      <c r="X184" s="7"/>
      <c r="Y184" s="7"/>
      <c r="Z184" s="7"/>
    </row>
    <row r="185" spans="1:26" ht="21" customHeight="1" x14ac:dyDescent="0.2">
      <c r="A185" s="7"/>
      <c r="B185" s="6"/>
      <c r="C185" s="7"/>
      <c r="D185" s="7"/>
      <c r="E185" s="6"/>
      <c r="F185" s="6"/>
      <c r="G185" s="6"/>
      <c r="H185" s="6"/>
      <c r="I185" s="6"/>
      <c r="J185" s="7"/>
      <c r="K185" s="7"/>
      <c r="L185" s="7"/>
      <c r="M185" s="7"/>
      <c r="N185" s="7"/>
      <c r="O185" s="7"/>
      <c r="P185" s="7"/>
      <c r="Q185" s="7"/>
      <c r="R185" s="7"/>
      <c r="S185" s="7"/>
      <c r="T185" s="7"/>
      <c r="U185" s="7"/>
      <c r="V185" s="7"/>
      <c r="W185" s="7"/>
      <c r="X185" s="7"/>
      <c r="Y185" s="7"/>
      <c r="Z185" s="7"/>
    </row>
    <row r="186" spans="1:26" ht="21" customHeight="1" x14ac:dyDescent="0.2">
      <c r="A186" s="7"/>
      <c r="B186" s="6"/>
      <c r="C186" s="7"/>
      <c r="D186" s="7"/>
      <c r="E186" s="6"/>
      <c r="F186" s="6"/>
      <c r="G186" s="6"/>
      <c r="H186" s="6"/>
      <c r="I186" s="6"/>
      <c r="J186" s="7"/>
      <c r="K186" s="7"/>
      <c r="L186" s="7"/>
      <c r="M186" s="7"/>
      <c r="N186" s="7"/>
      <c r="O186" s="7"/>
      <c r="P186" s="7"/>
      <c r="Q186" s="7"/>
      <c r="R186" s="7"/>
      <c r="S186" s="7"/>
      <c r="T186" s="7"/>
      <c r="U186" s="7"/>
      <c r="V186" s="7"/>
      <c r="W186" s="7"/>
      <c r="X186" s="7"/>
      <c r="Y186" s="7"/>
      <c r="Z186" s="7"/>
    </row>
    <row r="187" spans="1:26" ht="21" customHeight="1" x14ac:dyDescent="0.2">
      <c r="A187" s="7"/>
      <c r="B187" s="6"/>
      <c r="C187" s="7"/>
      <c r="D187" s="7"/>
      <c r="E187" s="6"/>
      <c r="F187" s="6"/>
      <c r="G187" s="6"/>
      <c r="H187" s="6"/>
      <c r="I187" s="6"/>
      <c r="J187" s="7"/>
      <c r="K187" s="7"/>
      <c r="L187" s="7"/>
      <c r="M187" s="7"/>
      <c r="N187" s="7"/>
      <c r="O187" s="7"/>
      <c r="P187" s="7"/>
      <c r="Q187" s="7"/>
      <c r="R187" s="7"/>
      <c r="S187" s="7"/>
      <c r="T187" s="7"/>
      <c r="U187" s="7"/>
      <c r="V187" s="7"/>
      <c r="W187" s="7"/>
      <c r="X187" s="7"/>
      <c r="Y187" s="7"/>
      <c r="Z187" s="7"/>
    </row>
    <row r="188" spans="1:26" ht="21" customHeight="1" x14ac:dyDescent="0.2">
      <c r="A188" s="7"/>
      <c r="B188" s="6"/>
      <c r="C188" s="7"/>
      <c r="D188" s="7"/>
      <c r="E188" s="6"/>
      <c r="F188" s="6"/>
      <c r="G188" s="6"/>
      <c r="H188" s="6"/>
      <c r="I188" s="6"/>
      <c r="J188" s="7"/>
      <c r="K188" s="7"/>
      <c r="L188" s="7"/>
      <c r="M188" s="7"/>
      <c r="N188" s="7"/>
      <c r="O188" s="7"/>
      <c r="P188" s="7"/>
      <c r="Q188" s="7"/>
      <c r="R188" s="7"/>
      <c r="S188" s="7"/>
      <c r="T188" s="7"/>
      <c r="U188" s="7"/>
      <c r="V188" s="7"/>
      <c r="W188" s="7"/>
      <c r="X188" s="7"/>
      <c r="Y188" s="7"/>
      <c r="Z188" s="7"/>
    </row>
    <row r="189" spans="1:26" ht="21" customHeight="1" x14ac:dyDescent="0.2">
      <c r="A189" s="7"/>
      <c r="B189" s="6"/>
      <c r="C189" s="7"/>
      <c r="D189" s="7"/>
      <c r="E189" s="6"/>
      <c r="F189" s="6"/>
      <c r="G189" s="6"/>
      <c r="H189" s="6"/>
      <c r="I189" s="6"/>
      <c r="J189" s="7"/>
      <c r="K189" s="7"/>
      <c r="L189" s="7"/>
      <c r="M189" s="7"/>
      <c r="N189" s="7"/>
      <c r="O189" s="7"/>
      <c r="P189" s="7"/>
      <c r="Q189" s="7"/>
      <c r="R189" s="7"/>
      <c r="S189" s="7"/>
      <c r="T189" s="7"/>
      <c r="U189" s="7"/>
      <c r="V189" s="7"/>
      <c r="W189" s="7"/>
      <c r="X189" s="7"/>
      <c r="Y189" s="7"/>
      <c r="Z189" s="7"/>
    </row>
    <row r="190" spans="1:26" ht="21" customHeight="1" x14ac:dyDescent="0.2">
      <c r="A190" s="7"/>
      <c r="B190" s="6"/>
      <c r="C190" s="7"/>
      <c r="D190" s="7"/>
      <c r="E190" s="6"/>
      <c r="F190" s="6"/>
      <c r="G190" s="6"/>
      <c r="H190" s="6"/>
      <c r="I190" s="6"/>
      <c r="J190" s="7"/>
      <c r="K190" s="7"/>
      <c r="L190" s="7"/>
      <c r="M190" s="7"/>
      <c r="N190" s="7"/>
      <c r="O190" s="7"/>
      <c r="P190" s="7"/>
      <c r="Q190" s="7"/>
      <c r="R190" s="7"/>
      <c r="S190" s="7"/>
      <c r="T190" s="7"/>
      <c r="U190" s="7"/>
      <c r="V190" s="7"/>
      <c r="W190" s="7"/>
      <c r="X190" s="7"/>
      <c r="Y190" s="7"/>
      <c r="Z190" s="7"/>
    </row>
    <row r="191" spans="1:26" ht="21" customHeight="1" x14ac:dyDescent="0.2">
      <c r="A191" s="7"/>
      <c r="B191" s="6"/>
      <c r="C191" s="7"/>
      <c r="D191" s="7"/>
      <c r="E191" s="6"/>
      <c r="F191" s="6"/>
      <c r="G191" s="6"/>
      <c r="H191" s="6"/>
      <c r="I191" s="6"/>
      <c r="J191" s="7"/>
      <c r="K191" s="7"/>
      <c r="L191" s="7"/>
      <c r="M191" s="7"/>
      <c r="N191" s="7"/>
      <c r="O191" s="7"/>
      <c r="P191" s="7"/>
      <c r="Q191" s="7"/>
      <c r="R191" s="7"/>
      <c r="S191" s="7"/>
      <c r="T191" s="7"/>
      <c r="U191" s="7"/>
      <c r="V191" s="7"/>
      <c r="W191" s="7"/>
      <c r="X191" s="7"/>
      <c r="Y191" s="7"/>
      <c r="Z191" s="7"/>
    </row>
    <row r="192" spans="1:26" ht="21" customHeight="1" x14ac:dyDescent="0.2">
      <c r="A192" s="7"/>
      <c r="B192" s="6"/>
      <c r="C192" s="7"/>
      <c r="D192" s="7"/>
      <c r="E192" s="6"/>
      <c r="F192" s="6"/>
      <c r="G192" s="6"/>
      <c r="H192" s="6"/>
      <c r="I192" s="6"/>
      <c r="J192" s="7"/>
      <c r="K192" s="7"/>
      <c r="L192" s="7"/>
      <c r="M192" s="7"/>
      <c r="N192" s="7"/>
      <c r="O192" s="7"/>
      <c r="P192" s="7"/>
      <c r="Q192" s="7"/>
      <c r="R192" s="7"/>
      <c r="S192" s="7"/>
      <c r="T192" s="7"/>
      <c r="U192" s="7"/>
      <c r="V192" s="7"/>
      <c r="W192" s="7"/>
      <c r="X192" s="7"/>
      <c r="Y192" s="7"/>
      <c r="Z192" s="7"/>
    </row>
    <row r="193" spans="1:26" ht="21" customHeight="1" x14ac:dyDescent="0.2">
      <c r="A193" s="7"/>
      <c r="B193" s="6"/>
      <c r="C193" s="7"/>
      <c r="D193" s="7"/>
      <c r="E193" s="6"/>
      <c r="F193" s="6"/>
      <c r="G193" s="6"/>
      <c r="H193" s="6"/>
      <c r="I193" s="6"/>
      <c r="J193" s="7"/>
      <c r="K193" s="7"/>
      <c r="L193" s="7"/>
      <c r="M193" s="7"/>
      <c r="N193" s="7"/>
      <c r="O193" s="7"/>
      <c r="P193" s="7"/>
      <c r="Q193" s="7"/>
      <c r="R193" s="7"/>
      <c r="S193" s="7"/>
      <c r="T193" s="7"/>
      <c r="U193" s="7"/>
      <c r="V193" s="7"/>
      <c r="W193" s="7"/>
      <c r="X193" s="7"/>
      <c r="Y193" s="7"/>
      <c r="Z193" s="7"/>
    </row>
    <row r="194" spans="1:26" ht="21" customHeight="1" x14ac:dyDescent="0.2">
      <c r="A194" s="7"/>
      <c r="B194" s="6"/>
      <c r="C194" s="7"/>
      <c r="D194" s="7"/>
      <c r="E194" s="6"/>
      <c r="F194" s="6"/>
      <c r="G194" s="6"/>
      <c r="H194" s="6"/>
      <c r="I194" s="6"/>
      <c r="J194" s="7"/>
      <c r="K194" s="7"/>
      <c r="L194" s="7"/>
      <c r="M194" s="7"/>
      <c r="N194" s="7"/>
      <c r="O194" s="7"/>
      <c r="P194" s="7"/>
      <c r="Q194" s="7"/>
      <c r="R194" s="7"/>
      <c r="S194" s="7"/>
      <c r="T194" s="7"/>
      <c r="U194" s="7"/>
      <c r="V194" s="7"/>
      <c r="W194" s="7"/>
      <c r="X194" s="7"/>
      <c r="Y194" s="7"/>
      <c r="Z194" s="7"/>
    </row>
    <row r="195" spans="1:26" ht="21" customHeight="1" x14ac:dyDescent="0.2">
      <c r="A195" s="7"/>
      <c r="B195" s="6"/>
      <c r="C195" s="7"/>
      <c r="D195" s="7"/>
      <c r="E195" s="6"/>
      <c r="F195" s="6"/>
      <c r="G195" s="6"/>
      <c r="H195" s="6"/>
      <c r="I195" s="6"/>
      <c r="J195" s="7"/>
      <c r="K195" s="7"/>
      <c r="L195" s="7"/>
      <c r="M195" s="7"/>
      <c r="N195" s="7"/>
      <c r="O195" s="7"/>
      <c r="P195" s="7"/>
      <c r="Q195" s="7"/>
      <c r="R195" s="7"/>
      <c r="S195" s="7"/>
      <c r="T195" s="7"/>
      <c r="U195" s="7"/>
      <c r="V195" s="7"/>
      <c r="W195" s="7"/>
      <c r="X195" s="7"/>
      <c r="Y195" s="7"/>
      <c r="Z195" s="7"/>
    </row>
    <row r="196" spans="1:26" ht="21" customHeight="1" x14ac:dyDescent="0.2">
      <c r="A196" s="7"/>
      <c r="B196" s="6"/>
      <c r="C196" s="7"/>
      <c r="D196" s="7"/>
      <c r="E196" s="6"/>
      <c r="F196" s="6"/>
      <c r="G196" s="6"/>
      <c r="H196" s="6"/>
      <c r="I196" s="6"/>
      <c r="J196" s="7"/>
      <c r="K196" s="7"/>
      <c r="L196" s="7"/>
      <c r="M196" s="7"/>
      <c r="N196" s="7"/>
      <c r="O196" s="7"/>
      <c r="P196" s="7"/>
      <c r="Q196" s="7"/>
      <c r="R196" s="7"/>
      <c r="S196" s="7"/>
      <c r="T196" s="7"/>
      <c r="U196" s="7"/>
      <c r="V196" s="7"/>
      <c r="W196" s="7"/>
      <c r="X196" s="7"/>
      <c r="Y196" s="7"/>
      <c r="Z196" s="7"/>
    </row>
    <row r="197" spans="1:26" ht="21" customHeight="1" x14ac:dyDescent="0.2">
      <c r="A197" s="7"/>
      <c r="B197" s="6"/>
      <c r="C197" s="7"/>
      <c r="D197" s="7"/>
      <c r="E197" s="6"/>
      <c r="F197" s="6"/>
      <c r="G197" s="6"/>
      <c r="H197" s="6"/>
      <c r="I197" s="6"/>
      <c r="J197" s="7"/>
      <c r="K197" s="7"/>
      <c r="L197" s="7"/>
      <c r="M197" s="7"/>
      <c r="N197" s="7"/>
      <c r="O197" s="7"/>
      <c r="P197" s="7"/>
      <c r="Q197" s="7"/>
      <c r="R197" s="7"/>
      <c r="S197" s="7"/>
      <c r="T197" s="7"/>
      <c r="U197" s="7"/>
      <c r="V197" s="7"/>
      <c r="W197" s="7"/>
      <c r="X197" s="7"/>
      <c r="Y197" s="7"/>
      <c r="Z197" s="7"/>
    </row>
    <row r="198" spans="1:26" ht="21" customHeight="1" x14ac:dyDescent="0.2">
      <c r="A198" s="7"/>
      <c r="B198" s="6"/>
      <c r="C198" s="7"/>
      <c r="D198" s="7"/>
      <c r="E198" s="6"/>
      <c r="F198" s="6"/>
      <c r="G198" s="6"/>
      <c r="H198" s="6"/>
      <c r="I198" s="6"/>
      <c r="J198" s="7"/>
      <c r="K198" s="7"/>
      <c r="L198" s="7"/>
      <c r="M198" s="7"/>
      <c r="N198" s="7"/>
      <c r="O198" s="7"/>
      <c r="P198" s="7"/>
      <c r="Q198" s="7"/>
      <c r="R198" s="7"/>
      <c r="S198" s="7"/>
      <c r="T198" s="7"/>
      <c r="U198" s="7"/>
      <c r="V198" s="7"/>
      <c r="W198" s="7"/>
      <c r="X198" s="7"/>
      <c r="Y198" s="7"/>
      <c r="Z198" s="7"/>
    </row>
    <row r="199" spans="1:26" ht="21" customHeight="1" x14ac:dyDescent="0.2">
      <c r="A199" s="7"/>
      <c r="B199" s="6"/>
      <c r="C199" s="7"/>
      <c r="D199" s="7"/>
      <c r="E199" s="6"/>
      <c r="F199" s="6"/>
      <c r="G199" s="6"/>
      <c r="H199" s="6"/>
      <c r="I199" s="6"/>
      <c r="J199" s="7"/>
      <c r="K199" s="7"/>
      <c r="L199" s="7"/>
      <c r="M199" s="7"/>
      <c r="N199" s="7"/>
      <c r="O199" s="7"/>
      <c r="P199" s="7"/>
      <c r="Q199" s="7"/>
      <c r="R199" s="7"/>
      <c r="S199" s="7"/>
      <c r="T199" s="7"/>
      <c r="U199" s="7"/>
      <c r="V199" s="7"/>
      <c r="W199" s="7"/>
      <c r="X199" s="7"/>
      <c r="Y199" s="7"/>
      <c r="Z199" s="7"/>
    </row>
    <row r="200" spans="1:26" ht="21" customHeight="1" x14ac:dyDescent="0.2">
      <c r="A200" s="7"/>
      <c r="B200" s="6"/>
      <c r="C200" s="7"/>
      <c r="D200" s="7"/>
      <c r="E200" s="6"/>
      <c r="F200" s="6"/>
      <c r="G200" s="6"/>
      <c r="H200" s="6"/>
      <c r="I200" s="6"/>
      <c r="J200" s="7"/>
      <c r="K200" s="7"/>
      <c r="L200" s="7"/>
      <c r="M200" s="7"/>
      <c r="N200" s="7"/>
      <c r="O200" s="7"/>
      <c r="P200" s="7"/>
      <c r="Q200" s="7"/>
      <c r="R200" s="7"/>
      <c r="S200" s="7"/>
      <c r="T200" s="7"/>
      <c r="U200" s="7"/>
      <c r="V200" s="7"/>
      <c r="W200" s="7"/>
      <c r="X200" s="7"/>
      <c r="Y200" s="7"/>
      <c r="Z200" s="7"/>
    </row>
    <row r="201" spans="1:26" ht="21" customHeight="1" x14ac:dyDescent="0.2">
      <c r="A201" s="7"/>
      <c r="B201" s="6"/>
      <c r="C201" s="7"/>
      <c r="D201" s="7"/>
      <c r="E201" s="6"/>
      <c r="F201" s="6"/>
      <c r="G201" s="6"/>
      <c r="H201" s="6"/>
      <c r="I201" s="6"/>
      <c r="J201" s="7"/>
      <c r="K201" s="7"/>
      <c r="L201" s="7"/>
      <c r="M201" s="7"/>
      <c r="N201" s="7"/>
      <c r="O201" s="7"/>
      <c r="P201" s="7"/>
      <c r="Q201" s="7"/>
      <c r="R201" s="7"/>
      <c r="S201" s="7"/>
      <c r="T201" s="7"/>
      <c r="U201" s="7"/>
      <c r="V201" s="7"/>
      <c r="W201" s="7"/>
      <c r="X201" s="7"/>
      <c r="Y201" s="7"/>
      <c r="Z201" s="7"/>
    </row>
    <row r="202" spans="1:26" ht="21" customHeight="1" x14ac:dyDescent="0.2">
      <c r="A202" s="7"/>
      <c r="B202" s="6"/>
      <c r="C202" s="7"/>
      <c r="D202" s="7"/>
      <c r="E202" s="6"/>
      <c r="F202" s="6"/>
      <c r="G202" s="6"/>
      <c r="H202" s="6"/>
      <c r="I202" s="6"/>
      <c r="J202" s="7"/>
      <c r="K202" s="7"/>
      <c r="L202" s="7"/>
      <c r="M202" s="7"/>
      <c r="N202" s="7"/>
      <c r="O202" s="7"/>
      <c r="P202" s="7"/>
      <c r="Q202" s="7"/>
      <c r="R202" s="7"/>
      <c r="S202" s="7"/>
      <c r="T202" s="7"/>
      <c r="U202" s="7"/>
      <c r="V202" s="7"/>
      <c r="W202" s="7"/>
      <c r="X202" s="7"/>
      <c r="Y202" s="7"/>
      <c r="Z202" s="7"/>
    </row>
    <row r="203" spans="1:26" ht="21" customHeight="1" x14ac:dyDescent="0.2">
      <c r="A203" s="7"/>
      <c r="B203" s="6"/>
      <c r="C203" s="7"/>
      <c r="D203" s="7"/>
      <c r="E203" s="6"/>
      <c r="F203" s="6"/>
      <c r="G203" s="6"/>
      <c r="H203" s="6"/>
      <c r="I203" s="6"/>
      <c r="J203" s="7"/>
      <c r="K203" s="7"/>
      <c r="L203" s="7"/>
      <c r="M203" s="7"/>
      <c r="N203" s="7"/>
      <c r="O203" s="7"/>
      <c r="P203" s="7"/>
      <c r="Q203" s="7"/>
      <c r="R203" s="7"/>
      <c r="S203" s="7"/>
      <c r="T203" s="7"/>
      <c r="U203" s="7"/>
      <c r="V203" s="7"/>
      <c r="W203" s="7"/>
      <c r="X203" s="7"/>
      <c r="Y203" s="7"/>
      <c r="Z203" s="7"/>
    </row>
    <row r="204" spans="1:26" ht="21" customHeight="1" x14ac:dyDescent="0.2">
      <c r="A204" s="7"/>
      <c r="B204" s="6"/>
      <c r="C204" s="7"/>
      <c r="D204" s="7"/>
      <c r="E204" s="6"/>
      <c r="F204" s="6"/>
      <c r="G204" s="6"/>
      <c r="H204" s="6"/>
      <c r="I204" s="6"/>
      <c r="J204" s="7"/>
      <c r="K204" s="7"/>
      <c r="L204" s="7"/>
      <c r="M204" s="7"/>
      <c r="N204" s="7"/>
      <c r="O204" s="7"/>
      <c r="P204" s="7"/>
      <c r="Q204" s="7"/>
      <c r="R204" s="7"/>
      <c r="S204" s="7"/>
      <c r="T204" s="7"/>
      <c r="U204" s="7"/>
      <c r="V204" s="7"/>
      <c r="W204" s="7"/>
      <c r="X204" s="7"/>
      <c r="Y204" s="7"/>
      <c r="Z204" s="7"/>
    </row>
    <row r="205" spans="1:26" ht="21" customHeight="1" x14ac:dyDescent="0.2">
      <c r="A205" s="7"/>
      <c r="B205" s="6"/>
      <c r="C205" s="7"/>
      <c r="D205" s="7"/>
      <c r="E205" s="6"/>
      <c r="F205" s="6"/>
      <c r="G205" s="6"/>
      <c r="H205" s="6"/>
      <c r="I205" s="6"/>
      <c r="J205" s="7"/>
      <c r="K205" s="7"/>
      <c r="L205" s="7"/>
      <c r="M205" s="7"/>
      <c r="N205" s="7"/>
      <c r="O205" s="7"/>
      <c r="P205" s="7"/>
      <c r="Q205" s="7"/>
      <c r="R205" s="7"/>
      <c r="S205" s="7"/>
      <c r="T205" s="7"/>
      <c r="U205" s="7"/>
      <c r="V205" s="7"/>
      <c r="W205" s="7"/>
      <c r="X205" s="7"/>
      <c r="Y205" s="7"/>
      <c r="Z205" s="7"/>
    </row>
    <row r="206" spans="1:26" ht="21" customHeight="1" x14ac:dyDescent="0.2">
      <c r="A206" s="7"/>
      <c r="B206" s="6"/>
      <c r="C206" s="7"/>
      <c r="D206" s="7"/>
      <c r="E206" s="6"/>
      <c r="F206" s="6"/>
      <c r="G206" s="6"/>
      <c r="H206" s="6"/>
      <c r="I206" s="6"/>
      <c r="J206" s="7"/>
      <c r="K206" s="7"/>
      <c r="L206" s="7"/>
      <c r="M206" s="7"/>
      <c r="N206" s="7"/>
      <c r="O206" s="7"/>
      <c r="P206" s="7"/>
      <c r="Q206" s="7"/>
      <c r="R206" s="7"/>
      <c r="S206" s="7"/>
      <c r="T206" s="7"/>
      <c r="U206" s="7"/>
      <c r="V206" s="7"/>
      <c r="W206" s="7"/>
      <c r="X206" s="7"/>
      <c r="Y206" s="7"/>
      <c r="Z206" s="7"/>
    </row>
    <row r="207" spans="1:26" ht="21" customHeight="1" x14ac:dyDescent="0.2">
      <c r="A207" s="7"/>
      <c r="B207" s="6"/>
      <c r="C207" s="7"/>
      <c r="D207" s="7"/>
      <c r="E207" s="6"/>
      <c r="F207" s="6"/>
      <c r="G207" s="6"/>
      <c r="H207" s="6"/>
      <c r="I207" s="6"/>
      <c r="J207" s="7"/>
      <c r="K207" s="7"/>
      <c r="L207" s="7"/>
      <c r="M207" s="7"/>
      <c r="N207" s="7"/>
      <c r="O207" s="7"/>
      <c r="P207" s="7"/>
      <c r="Q207" s="7"/>
      <c r="R207" s="7"/>
      <c r="S207" s="7"/>
      <c r="T207" s="7"/>
      <c r="U207" s="7"/>
      <c r="V207" s="7"/>
      <c r="W207" s="7"/>
      <c r="X207" s="7"/>
      <c r="Y207" s="7"/>
      <c r="Z207" s="7"/>
    </row>
    <row r="208" spans="1:26" ht="21" customHeight="1" x14ac:dyDescent="0.2">
      <c r="A208" s="7"/>
      <c r="B208" s="6"/>
      <c r="C208" s="7"/>
      <c r="D208" s="7"/>
      <c r="E208" s="6"/>
      <c r="F208" s="6"/>
      <c r="G208" s="6"/>
      <c r="H208" s="6"/>
      <c r="I208" s="6"/>
      <c r="J208" s="7"/>
      <c r="K208" s="7"/>
      <c r="L208" s="7"/>
      <c r="M208" s="7"/>
      <c r="N208" s="7"/>
      <c r="O208" s="7"/>
      <c r="P208" s="7"/>
      <c r="Q208" s="7"/>
      <c r="R208" s="7"/>
      <c r="S208" s="7"/>
      <c r="T208" s="7"/>
      <c r="U208" s="7"/>
      <c r="V208" s="7"/>
      <c r="W208" s="7"/>
      <c r="X208" s="7"/>
      <c r="Y208" s="7"/>
      <c r="Z208" s="7"/>
    </row>
    <row r="209" spans="1:26" ht="21" customHeight="1" x14ac:dyDescent="0.2">
      <c r="A209" s="7"/>
      <c r="B209" s="6"/>
      <c r="C209" s="7"/>
      <c r="D209" s="7"/>
      <c r="E209" s="6"/>
      <c r="F209" s="6"/>
      <c r="G209" s="6"/>
      <c r="H209" s="6"/>
      <c r="I209" s="6"/>
      <c r="J209" s="7"/>
      <c r="K209" s="7"/>
      <c r="L209" s="7"/>
      <c r="M209" s="7"/>
      <c r="N209" s="7"/>
      <c r="O209" s="7"/>
      <c r="P209" s="7"/>
      <c r="Q209" s="7"/>
      <c r="R209" s="7"/>
      <c r="S209" s="7"/>
      <c r="T209" s="7"/>
      <c r="U209" s="7"/>
      <c r="V209" s="7"/>
      <c r="W209" s="7"/>
      <c r="X209" s="7"/>
      <c r="Y209" s="7"/>
      <c r="Z209" s="7"/>
    </row>
    <row r="210" spans="1:26" ht="21" customHeight="1" x14ac:dyDescent="0.2">
      <c r="A210" s="7"/>
      <c r="B210" s="6"/>
      <c r="C210" s="7"/>
      <c r="D210" s="7"/>
      <c r="E210" s="6"/>
      <c r="F210" s="6"/>
      <c r="G210" s="6"/>
      <c r="H210" s="6"/>
      <c r="I210" s="6"/>
      <c r="J210" s="7"/>
      <c r="K210" s="7"/>
      <c r="L210" s="7"/>
      <c r="M210" s="7"/>
      <c r="N210" s="7"/>
      <c r="O210" s="7"/>
      <c r="P210" s="7"/>
      <c r="Q210" s="7"/>
      <c r="R210" s="7"/>
      <c r="S210" s="7"/>
      <c r="T210" s="7"/>
      <c r="U210" s="7"/>
      <c r="V210" s="7"/>
      <c r="W210" s="7"/>
      <c r="X210" s="7"/>
      <c r="Y210" s="7"/>
      <c r="Z210" s="7"/>
    </row>
    <row r="211" spans="1:26" ht="21" customHeight="1" x14ac:dyDescent="0.2">
      <c r="A211" s="7"/>
      <c r="B211" s="6"/>
      <c r="C211" s="7"/>
      <c r="D211" s="7"/>
      <c r="E211" s="6"/>
      <c r="F211" s="6"/>
      <c r="G211" s="6"/>
      <c r="H211" s="6"/>
      <c r="I211" s="6"/>
      <c r="J211" s="7"/>
      <c r="K211" s="7"/>
      <c r="L211" s="7"/>
      <c r="M211" s="7"/>
      <c r="N211" s="7"/>
      <c r="O211" s="7"/>
      <c r="P211" s="7"/>
      <c r="Q211" s="7"/>
      <c r="R211" s="7"/>
      <c r="S211" s="7"/>
      <c r="T211" s="7"/>
      <c r="U211" s="7"/>
      <c r="V211" s="7"/>
      <c r="W211" s="7"/>
      <c r="X211" s="7"/>
      <c r="Y211" s="7"/>
      <c r="Z211" s="7"/>
    </row>
    <row r="212" spans="1:26" ht="21" customHeight="1" x14ac:dyDescent="0.2">
      <c r="A212" s="7"/>
      <c r="B212" s="6"/>
      <c r="C212" s="7"/>
      <c r="D212" s="7"/>
      <c r="E212" s="6"/>
      <c r="F212" s="6"/>
      <c r="G212" s="6"/>
      <c r="H212" s="6"/>
      <c r="I212" s="6"/>
      <c r="J212" s="7"/>
      <c r="K212" s="7"/>
      <c r="L212" s="7"/>
      <c r="M212" s="7"/>
      <c r="N212" s="7"/>
      <c r="O212" s="7"/>
      <c r="P212" s="7"/>
      <c r="Q212" s="7"/>
      <c r="R212" s="7"/>
      <c r="S212" s="7"/>
      <c r="T212" s="7"/>
      <c r="U212" s="7"/>
      <c r="V212" s="7"/>
      <c r="W212" s="7"/>
      <c r="X212" s="7"/>
      <c r="Y212" s="7"/>
      <c r="Z212" s="7"/>
    </row>
    <row r="213" spans="1:26" ht="21" customHeight="1" x14ac:dyDescent="0.2">
      <c r="A213" s="7"/>
      <c r="B213" s="6"/>
      <c r="C213" s="7"/>
      <c r="D213" s="7"/>
      <c r="E213" s="6"/>
      <c r="F213" s="6"/>
      <c r="G213" s="6"/>
      <c r="H213" s="6"/>
      <c r="I213" s="6"/>
      <c r="J213" s="7"/>
      <c r="K213" s="7"/>
      <c r="L213" s="7"/>
      <c r="M213" s="7"/>
      <c r="N213" s="7"/>
      <c r="O213" s="7"/>
      <c r="P213" s="7"/>
      <c r="Q213" s="7"/>
      <c r="R213" s="7"/>
      <c r="S213" s="7"/>
      <c r="T213" s="7"/>
      <c r="U213" s="7"/>
      <c r="V213" s="7"/>
      <c r="W213" s="7"/>
      <c r="X213" s="7"/>
      <c r="Y213" s="7"/>
      <c r="Z213" s="7"/>
    </row>
    <row r="214" spans="1:26" ht="21" customHeight="1" x14ac:dyDescent="0.2">
      <c r="A214" s="7"/>
      <c r="B214" s="6"/>
      <c r="C214" s="7"/>
      <c r="D214" s="7"/>
      <c r="E214" s="6"/>
      <c r="F214" s="6"/>
      <c r="G214" s="6"/>
      <c r="H214" s="6"/>
      <c r="I214" s="6"/>
      <c r="J214" s="7"/>
      <c r="K214" s="7"/>
      <c r="L214" s="7"/>
      <c r="M214" s="7"/>
      <c r="N214" s="7"/>
      <c r="O214" s="7"/>
      <c r="P214" s="7"/>
      <c r="Q214" s="7"/>
      <c r="R214" s="7"/>
      <c r="S214" s="7"/>
      <c r="T214" s="7"/>
      <c r="U214" s="7"/>
      <c r="V214" s="7"/>
      <c r="W214" s="7"/>
      <c r="X214" s="7"/>
      <c r="Y214" s="7"/>
      <c r="Z214" s="7"/>
    </row>
    <row r="215" spans="1:26" ht="21" customHeight="1" x14ac:dyDescent="0.2">
      <c r="A215" s="7"/>
      <c r="B215" s="6"/>
      <c r="C215" s="7"/>
      <c r="D215" s="7"/>
      <c r="E215" s="6"/>
      <c r="F215" s="6"/>
      <c r="G215" s="6"/>
      <c r="H215" s="6"/>
      <c r="I215" s="6"/>
      <c r="J215" s="7"/>
      <c r="K215" s="7"/>
      <c r="L215" s="7"/>
      <c r="M215" s="7"/>
      <c r="N215" s="7"/>
      <c r="O215" s="7"/>
      <c r="P215" s="7"/>
      <c r="Q215" s="7"/>
      <c r="R215" s="7"/>
      <c r="S215" s="7"/>
      <c r="T215" s="7"/>
      <c r="U215" s="7"/>
      <c r="V215" s="7"/>
      <c r="W215" s="7"/>
      <c r="X215" s="7"/>
      <c r="Y215" s="7"/>
      <c r="Z215" s="7"/>
    </row>
    <row r="216" spans="1:26" ht="21" customHeight="1" x14ac:dyDescent="0.2">
      <c r="A216" s="7"/>
      <c r="B216" s="6"/>
      <c r="C216" s="7"/>
      <c r="D216" s="7"/>
      <c r="E216" s="6"/>
      <c r="F216" s="6"/>
      <c r="G216" s="6"/>
      <c r="H216" s="6"/>
      <c r="I216" s="6"/>
      <c r="J216" s="7"/>
      <c r="K216" s="7"/>
      <c r="L216" s="7"/>
      <c r="M216" s="7"/>
      <c r="N216" s="7"/>
      <c r="O216" s="7"/>
      <c r="P216" s="7"/>
      <c r="Q216" s="7"/>
      <c r="R216" s="7"/>
      <c r="S216" s="7"/>
      <c r="T216" s="7"/>
      <c r="U216" s="7"/>
      <c r="V216" s="7"/>
      <c r="W216" s="7"/>
      <c r="X216" s="7"/>
      <c r="Y216" s="7"/>
      <c r="Z216" s="7"/>
    </row>
    <row r="217" spans="1:26" ht="21" customHeight="1" x14ac:dyDescent="0.2">
      <c r="A217" s="7"/>
      <c r="B217" s="6"/>
      <c r="C217" s="7"/>
      <c r="D217" s="7"/>
      <c r="E217" s="6"/>
      <c r="F217" s="6"/>
      <c r="G217" s="6"/>
      <c r="H217" s="6"/>
      <c r="I217" s="6"/>
      <c r="J217" s="7"/>
      <c r="K217" s="7"/>
      <c r="L217" s="7"/>
      <c r="M217" s="7"/>
      <c r="N217" s="7"/>
      <c r="O217" s="7"/>
      <c r="P217" s="7"/>
      <c r="Q217" s="7"/>
      <c r="R217" s="7"/>
      <c r="S217" s="7"/>
      <c r="T217" s="7"/>
      <c r="U217" s="7"/>
      <c r="V217" s="7"/>
      <c r="W217" s="7"/>
      <c r="X217" s="7"/>
      <c r="Y217" s="7"/>
      <c r="Z217" s="7"/>
    </row>
    <row r="218" spans="1:26" ht="21" customHeight="1" x14ac:dyDescent="0.2">
      <c r="A218" s="7"/>
      <c r="B218" s="6"/>
      <c r="C218" s="7"/>
      <c r="D218" s="7"/>
      <c r="E218" s="6"/>
      <c r="F218" s="6"/>
      <c r="G218" s="6"/>
      <c r="H218" s="6"/>
      <c r="I218" s="6"/>
      <c r="J218" s="7"/>
      <c r="K218" s="7"/>
      <c r="L218" s="7"/>
      <c r="M218" s="7"/>
      <c r="N218" s="7"/>
      <c r="O218" s="7"/>
      <c r="P218" s="7"/>
      <c r="Q218" s="7"/>
      <c r="R218" s="7"/>
      <c r="S218" s="7"/>
      <c r="T218" s="7"/>
      <c r="U218" s="7"/>
      <c r="V218" s="7"/>
      <c r="W218" s="7"/>
      <c r="X218" s="7"/>
      <c r="Y218" s="7"/>
      <c r="Z218" s="7"/>
    </row>
    <row r="219" spans="1:26" ht="21" customHeight="1" x14ac:dyDescent="0.2">
      <c r="A219" s="7"/>
      <c r="B219" s="6"/>
      <c r="C219" s="7"/>
      <c r="D219" s="7"/>
      <c r="E219" s="6"/>
      <c r="F219" s="6"/>
      <c r="G219" s="6"/>
      <c r="H219" s="6"/>
      <c r="I219" s="6"/>
      <c r="J219" s="7"/>
      <c r="K219" s="7"/>
      <c r="L219" s="7"/>
      <c r="M219" s="7"/>
      <c r="N219" s="7"/>
      <c r="O219" s="7"/>
      <c r="P219" s="7"/>
      <c r="Q219" s="7"/>
      <c r="R219" s="7"/>
      <c r="S219" s="7"/>
      <c r="T219" s="7"/>
      <c r="U219" s="7"/>
      <c r="V219" s="7"/>
      <c r="W219" s="7"/>
      <c r="X219" s="7"/>
      <c r="Y219" s="7"/>
      <c r="Z219" s="7"/>
    </row>
    <row r="220" spans="1:26" ht="21" customHeight="1" x14ac:dyDescent="0.2">
      <c r="A220" s="7"/>
      <c r="B220" s="6"/>
      <c r="C220" s="7"/>
      <c r="D220" s="7"/>
      <c r="E220" s="6"/>
      <c r="F220" s="6"/>
      <c r="G220" s="6"/>
      <c r="H220" s="6"/>
      <c r="I220" s="6"/>
      <c r="J220" s="7"/>
      <c r="K220" s="7"/>
      <c r="L220" s="7"/>
      <c r="M220" s="7"/>
      <c r="N220" s="7"/>
      <c r="O220" s="7"/>
      <c r="P220" s="7"/>
      <c r="Q220" s="7"/>
      <c r="R220" s="7"/>
      <c r="S220" s="7"/>
      <c r="T220" s="7"/>
      <c r="U220" s="7"/>
      <c r="V220" s="7"/>
      <c r="W220" s="7"/>
      <c r="X220" s="7"/>
      <c r="Y220" s="7"/>
      <c r="Z220" s="7"/>
    </row>
    <row r="221" spans="1:26" ht="21" customHeight="1" x14ac:dyDescent="0.2">
      <c r="A221" s="7"/>
      <c r="B221" s="6"/>
      <c r="C221" s="7"/>
      <c r="D221" s="7"/>
      <c r="E221" s="6"/>
      <c r="F221" s="6"/>
      <c r="G221" s="6"/>
      <c r="H221" s="6"/>
      <c r="I221" s="6"/>
      <c r="J221" s="7"/>
      <c r="K221" s="7"/>
      <c r="L221" s="7"/>
      <c r="M221" s="7"/>
      <c r="N221" s="7"/>
      <c r="O221" s="7"/>
      <c r="P221" s="7"/>
      <c r="Q221" s="7"/>
      <c r="R221" s="7"/>
      <c r="S221" s="7"/>
      <c r="T221" s="7"/>
      <c r="U221" s="7"/>
      <c r="V221" s="7"/>
      <c r="W221" s="7"/>
      <c r="X221" s="7"/>
      <c r="Y221" s="7"/>
      <c r="Z221" s="7"/>
    </row>
    <row r="222" spans="1:26" ht="21" customHeight="1" x14ac:dyDescent="0.2">
      <c r="A222" s="7"/>
      <c r="B222" s="6"/>
      <c r="C222" s="7"/>
      <c r="D222" s="7"/>
      <c r="E222" s="6"/>
      <c r="F222" s="6"/>
      <c r="G222" s="6"/>
      <c r="H222" s="6"/>
      <c r="I222" s="6"/>
      <c r="J222" s="7"/>
      <c r="K222" s="7"/>
      <c r="L222" s="7"/>
      <c r="M222" s="7"/>
      <c r="N222" s="7"/>
      <c r="O222" s="7"/>
      <c r="P222" s="7"/>
      <c r="Q222" s="7"/>
      <c r="R222" s="7"/>
      <c r="S222" s="7"/>
      <c r="T222" s="7"/>
      <c r="U222" s="7"/>
      <c r="V222" s="7"/>
      <c r="W222" s="7"/>
      <c r="X222" s="7"/>
      <c r="Y222" s="7"/>
      <c r="Z222" s="7"/>
    </row>
    <row r="223" spans="1:26" ht="21" customHeight="1" x14ac:dyDescent="0.2">
      <c r="A223" s="7"/>
      <c r="B223" s="6"/>
      <c r="C223" s="7"/>
      <c r="D223" s="7"/>
      <c r="E223" s="6"/>
      <c r="F223" s="6"/>
      <c r="G223" s="6"/>
      <c r="H223" s="6"/>
      <c r="I223" s="6"/>
      <c r="J223" s="7"/>
      <c r="K223" s="7"/>
      <c r="L223" s="7"/>
      <c r="M223" s="7"/>
      <c r="N223" s="7"/>
      <c r="O223" s="7"/>
      <c r="P223" s="7"/>
      <c r="Q223" s="7"/>
      <c r="R223" s="7"/>
      <c r="S223" s="7"/>
      <c r="T223" s="7"/>
      <c r="U223" s="7"/>
      <c r="V223" s="7"/>
      <c r="W223" s="7"/>
      <c r="X223" s="7"/>
      <c r="Y223" s="7"/>
      <c r="Z223" s="7"/>
    </row>
    <row r="224" spans="1:26" ht="21" customHeight="1" x14ac:dyDescent="0.2">
      <c r="A224" s="7"/>
      <c r="B224" s="6"/>
      <c r="C224" s="7"/>
      <c r="D224" s="7"/>
      <c r="E224" s="6"/>
      <c r="F224" s="6"/>
      <c r="G224" s="6"/>
      <c r="H224" s="6"/>
      <c r="I224" s="6"/>
      <c r="J224" s="7"/>
      <c r="K224" s="7"/>
      <c r="L224" s="7"/>
      <c r="M224" s="7"/>
      <c r="N224" s="7"/>
      <c r="O224" s="7"/>
      <c r="P224" s="7"/>
      <c r="Q224" s="7"/>
      <c r="R224" s="7"/>
      <c r="S224" s="7"/>
      <c r="T224" s="7"/>
      <c r="U224" s="7"/>
      <c r="V224" s="7"/>
      <c r="W224" s="7"/>
      <c r="X224" s="7"/>
      <c r="Y224" s="7"/>
      <c r="Z224" s="7"/>
    </row>
    <row r="225" spans="1:26" ht="21" customHeight="1" x14ac:dyDescent="0.2">
      <c r="A225" s="7"/>
      <c r="B225" s="6"/>
      <c r="C225" s="7"/>
      <c r="D225" s="7"/>
      <c r="E225" s="6"/>
      <c r="F225" s="6"/>
      <c r="G225" s="6"/>
      <c r="H225" s="6"/>
      <c r="I225" s="6"/>
      <c r="J225" s="7"/>
      <c r="K225" s="7"/>
      <c r="L225" s="7"/>
      <c r="M225" s="7"/>
      <c r="N225" s="7"/>
      <c r="O225" s="7"/>
      <c r="P225" s="7"/>
      <c r="Q225" s="7"/>
      <c r="R225" s="7"/>
      <c r="S225" s="7"/>
      <c r="T225" s="7"/>
      <c r="U225" s="7"/>
      <c r="V225" s="7"/>
      <c r="W225" s="7"/>
      <c r="X225" s="7"/>
      <c r="Y225" s="7"/>
      <c r="Z225" s="7"/>
    </row>
    <row r="226" spans="1:26" ht="21" customHeight="1" x14ac:dyDescent="0.2">
      <c r="A226" s="7"/>
      <c r="B226" s="6"/>
      <c r="C226" s="7"/>
      <c r="D226" s="7"/>
      <c r="E226" s="6"/>
      <c r="F226" s="6"/>
      <c r="G226" s="6"/>
      <c r="H226" s="6"/>
      <c r="I226" s="6"/>
      <c r="J226" s="7"/>
      <c r="K226" s="7"/>
      <c r="L226" s="7"/>
      <c r="M226" s="7"/>
      <c r="N226" s="7"/>
      <c r="O226" s="7"/>
      <c r="P226" s="7"/>
      <c r="Q226" s="7"/>
      <c r="R226" s="7"/>
      <c r="S226" s="7"/>
      <c r="T226" s="7"/>
      <c r="U226" s="7"/>
      <c r="V226" s="7"/>
      <c r="W226" s="7"/>
      <c r="X226" s="7"/>
      <c r="Y226" s="7"/>
      <c r="Z226" s="7"/>
    </row>
    <row r="227" spans="1:26" ht="21" customHeight="1" x14ac:dyDescent="0.2">
      <c r="A227" s="7"/>
      <c r="B227" s="6"/>
      <c r="C227" s="7"/>
      <c r="D227" s="7"/>
      <c r="E227" s="6"/>
      <c r="F227" s="6"/>
      <c r="G227" s="6"/>
      <c r="H227" s="6"/>
      <c r="I227" s="6"/>
      <c r="J227" s="7"/>
      <c r="K227" s="7"/>
      <c r="L227" s="7"/>
      <c r="M227" s="7"/>
      <c r="N227" s="7"/>
      <c r="O227" s="7"/>
      <c r="P227" s="7"/>
      <c r="Q227" s="7"/>
      <c r="R227" s="7"/>
      <c r="S227" s="7"/>
      <c r="T227" s="7"/>
      <c r="U227" s="7"/>
      <c r="V227" s="7"/>
      <c r="W227" s="7"/>
      <c r="X227" s="7"/>
      <c r="Y227" s="7"/>
      <c r="Z227" s="7"/>
    </row>
    <row r="228" spans="1:26" ht="21" customHeight="1" x14ac:dyDescent="0.2">
      <c r="A228" s="7"/>
      <c r="B228" s="6"/>
      <c r="C228" s="7"/>
      <c r="D228" s="7"/>
      <c r="E228" s="6"/>
      <c r="F228" s="6"/>
      <c r="G228" s="6"/>
      <c r="H228" s="6"/>
      <c r="I228" s="6"/>
      <c r="J228" s="7"/>
      <c r="K228" s="7"/>
      <c r="L228" s="7"/>
      <c r="M228" s="7"/>
      <c r="N228" s="7"/>
      <c r="O228" s="7"/>
      <c r="P228" s="7"/>
      <c r="Q228" s="7"/>
      <c r="R228" s="7"/>
      <c r="S228" s="7"/>
      <c r="T228" s="7"/>
      <c r="U228" s="7"/>
      <c r="V228" s="7"/>
      <c r="W228" s="7"/>
      <c r="X228" s="7"/>
      <c r="Y228" s="7"/>
      <c r="Z228" s="7"/>
    </row>
    <row r="229" spans="1:26" ht="21" customHeight="1" x14ac:dyDescent="0.2">
      <c r="A229" s="7"/>
      <c r="B229" s="6"/>
      <c r="C229" s="7"/>
      <c r="D229" s="7"/>
      <c r="E229" s="6"/>
      <c r="F229" s="6"/>
      <c r="G229" s="6"/>
      <c r="H229" s="6"/>
      <c r="I229" s="6"/>
      <c r="J229" s="7"/>
      <c r="K229" s="7"/>
      <c r="L229" s="7"/>
      <c r="M229" s="7"/>
      <c r="N229" s="7"/>
      <c r="O229" s="7"/>
      <c r="P229" s="7"/>
      <c r="Q229" s="7"/>
      <c r="R229" s="7"/>
      <c r="S229" s="7"/>
      <c r="T229" s="7"/>
      <c r="U229" s="7"/>
      <c r="V229" s="7"/>
      <c r="W229" s="7"/>
      <c r="X229" s="7"/>
      <c r="Y229" s="7"/>
      <c r="Z229" s="7"/>
    </row>
    <row r="230" spans="1:26" ht="21" customHeight="1" x14ac:dyDescent="0.2">
      <c r="A230" s="7"/>
      <c r="B230" s="6"/>
      <c r="C230" s="7"/>
      <c r="D230" s="7"/>
      <c r="E230" s="6"/>
      <c r="F230" s="6"/>
      <c r="G230" s="6"/>
      <c r="H230" s="6"/>
      <c r="I230" s="6"/>
      <c r="J230" s="7"/>
      <c r="K230" s="7"/>
      <c r="L230" s="7"/>
      <c r="M230" s="7"/>
      <c r="N230" s="7"/>
      <c r="O230" s="7"/>
      <c r="P230" s="7"/>
      <c r="Q230" s="7"/>
      <c r="R230" s="7"/>
      <c r="S230" s="7"/>
      <c r="T230" s="7"/>
      <c r="U230" s="7"/>
      <c r="V230" s="7"/>
      <c r="W230" s="7"/>
      <c r="X230" s="7"/>
      <c r="Y230" s="7"/>
      <c r="Z230" s="7"/>
    </row>
    <row r="231" spans="1:26" ht="21" customHeight="1" x14ac:dyDescent="0.2">
      <c r="A231" s="7"/>
      <c r="B231" s="6"/>
      <c r="C231" s="7"/>
      <c r="D231" s="7"/>
      <c r="E231" s="6"/>
      <c r="F231" s="6"/>
      <c r="G231" s="6"/>
      <c r="H231" s="6"/>
      <c r="I231" s="6"/>
      <c r="J231" s="7"/>
      <c r="K231" s="7"/>
      <c r="L231" s="7"/>
      <c r="M231" s="7"/>
      <c r="N231" s="7"/>
      <c r="O231" s="7"/>
      <c r="P231" s="7"/>
      <c r="Q231" s="7"/>
      <c r="R231" s="7"/>
      <c r="S231" s="7"/>
      <c r="T231" s="7"/>
      <c r="U231" s="7"/>
      <c r="V231" s="7"/>
      <c r="W231" s="7"/>
      <c r="X231" s="7"/>
      <c r="Y231" s="7"/>
      <c r="Z231" s="7"/>
    </row>
    <row r="232" spans="1:26" ht="21" customHeight="1" x14ac:dyDescent="0.2">
      <c r="A232" s="7"/>
      <c r="B232" s="6"/>
      <c r="C232" s="7"/>
      <c r="D232" s="7"/>
      <c r="E232" s="6"/>
      <c r="F232" s="6"/>
      <c r="G232" s="6"/>
      <c r="H232" s="6"/>
      <c r="I232" s="6"/>
      <c r="J232" s="7"/>
      <c r="K232" s="7"/>
      <c r="L232" s="7"/>
      <c r="M232" s="7"/>
      <c r="N232" s="7"/>
      <c r="O232" s="7"/>
      <c r="P232" s="7"/>
      <c r="Q232" s="7"/>
      <c r="R232" s="7"/>
      <c r="S232" s="7"/>
      <c r="T232" s="7"/>
      <c r="U232" s="7"/>
      <c r="V232" s="7"/>
      <c r="W232" s="7"/>
      <c r="X232" s="7"/>
      <c r="Y232" s="7"/>
      <c r="Z232" s="7"/>
    </row>
    <row r="233" spans="1:26" ht="21" customHeight="1" x14ac:dyDescent="0.2">
      <c r="A233" s="7"/>
      <c r="B233" s="6"/>
      <c r="C233" s="7"/>
      <c r="D233" s="7"/>
      <c r="E233" s="6"/>
      <c r="F233" s="6"/>
      <c r="G233" s="6"/>
      <c r="H233" s="6"/>
      <c r="I233" s="6"/>
      <c r="J233" s="7"/>
      <c r="K233" s="7"/>
      <c r="L233" s="7"/>
      <c r="M233" s="7"/>
      <c r="N233" s="7"/>
      <c r="O233" s="7"/>
      <c r="P233" s="7"/>
      <c r="Q233" s="7"/>
      <c r="R233" s="7"/>
      <c r="S233" s="7"/>
      <c r="T233" s="7"/>
      <c r="U233" s="7"/>
      <c r="V233" s="7"/>
      <c r="W233" s="7"/>
      <c r="X233" s="7"/>
      <c r="Y233" s="7"/>
      <c r="Z233" s="7"/>
    </row>
    <row r="234" spans="1:26" ht="21" customHeight="1" x14ac:dyDescent="0.2">
      <c r="A234" s="7"/>
      <c r="B234" s="6"/>
      <c r="C234" s="7"/>
      <c r="D234" s="7"/>
      <c r="E234" s="6"/>
      <c r="F234" s="6"/>
      <c r="G234" s="6"/>
      <c r="H234" s="6"/>
      <c r="I234" s="6"/>
      <c r="J234" s="7"/>
      <c r="K234" s="7"/>
      <c r="L234" s="7"/>
      <c r="M234" s="7"/>
      <c r="N234" s="7"/>
      <c r="O234" s="7"/>
      <c r="P234" s="7"/>
      <c r="Q234" s="7"/>
      <c r="R234" s="7"/>
      <c r="S234" s="7"/>
      <c r="T234" s="7"/>
      <c r="U234" s="7"/>
      <c r="V234" s="7"/>
      <c r="W234" s="7"/>
      <c r="X234" s="7"/>
      <c r="Y234" s="7"/>
      <c r="Z234" s="7"/>
    </row>
    <row r="235" spans="1:26" ht="21" customHeight="1" x14ac:dyDescent="0.2">
      <c r="A235" s="7"/>
      <c r="B235" s="6"/>
      <c r="C235" s="7"/>
      <c r="D235" s="7"/>
      <c r="E235" s="6"/>
      <c r="F235" s="6"/>
      <c r="G235" s="6"/>
      <c r="H235" s="6"/>
      <c r="I235" s="6"/>
      <c r="J235" s="7"/>
      <c r="K235" s="7"/>
      <c r="L235" s="7"/>
      <c r="M235" s="7"/>
      <c r="N235" s="7"/>
      <c r="O235" s="7"/>
      <c r="P235" s="7"/>
      <c r="Q235" s="7"/>
      <c r="R235" s="7"/>
      <c r="S235" s="7"/>
      <c r="T235" s="7"/>
      <c r="U235" s="7"/>
      <c r="V235" s="7"/>
      <c r="W235" s="7"/>
      <c r="X235" s="7"/>
      <c r="Y235" s="7"/>
      <c r="Z235" s="7"/>
    </row>
    <row r="236" spans="1:26" ht="21" customHeight="1" x14ac:dyDescent="0.2">
      <c r="A236" s="7"/>
      <c r="B236" s="6"/>
      <c r="C236" s="7"/>
      <c r="D236" s="7"/>
      <c r="E236" s="6"/>
      <c r="F236" s="6"/>
      <c r="G236" s="6"/>
      <c r="H236" s="6"/>
      <c r="I236" s="6"/>
      <c r="J236" s="7"/>
      <c r="K236" s="7"/>
      <c r="L236" s="7"/>
      <c r="M236" s="7"/>
      <c r="N236" s="7"/>
      <c r="O236" s="7"/>
      <c r="P236" s="7"/>
      <c r="Q236" s="7"/>
      <c r="R236" s="7"/>
      <c r="S236" s="7"/>
      <c r="T236" s="7"/>
      <c r="U236" s="7"/>
      <c r="V236" s="7"/>
      <c r="W236" s="7"/>
      <c r="X236" s="7"/>
      <c r="Y236" s="7"/>
      <c r="Z236" s="7"/>
    </row>
    <row r="237" spans="1:26" ht="21" customHeight="1" x14ac:dyDescent="0.2">
      <c r="A237" s="7"/>
      <c r="B237" s="6"/>
      <c r="C237" s="7"/>
      <c r="D237" s="7"/>
      <c r="E237" s="6"/>
      <c r="F237" s="6"/>
      <c r="G237" s="6"/>
      <c r="H237" s="6"/>
      <c r="I237" s="6"/>
      <c r="J237" s="7"/>
      <c r="K237" s="7"/>
      <c r="L237" s="7"/>
      <c r="M237" s="7"/>
      <c r="N237" s="7"/>
      <c r="O237" s="7"/>
      <c r="P237" s="7"/>
      <c r="Q237" s="7"/>
      <c r="R237" s="7"/>
      <c r="S237" s="7"/>
      <c r="T237" s="7"/>
      <c r="U237" s="7"/>
      <c r="V237" s="7"/>
      <c r="W237" s="7"/>
      <c r="X237" s="7"/>
      <c r="Y237" s="7"/>
      <c r="Z237" s="7"/>
    </row>
    <row r="238" spans="1:26" ht="21" customHeight="1" x14ac:dyDescent="0.2">
      <c r="A238" s="7"/>
      <c r="B238" s="6"/>
      <c r="C238" s="7"/>
      <c r="D238" s="7"/>
      <c r="E238" s="6"/>
      <c r="F238" s="6"/>
      <c r="G238" s="6"/>
      <c r="H238" s="6"/>
      <c r="I238" s="6"/>
      <c r="J238" s="7"/>
      <c r="K238" s="7"/>
      <c r="L238" s="7"/>
      <c r="M238" s="7"/>
      <c r="N238" s="7"/>
      <c r="O238" s="7"/>
      <c r="P238" s="7"/>
      <c r="Q238" s="7"/>
      <c r="R238" s="7"/>
      <c r="S238" s="7"/>
      <c r="T238" s="7"/>
      <c r="U238" s="7"/>
      <c r="V238" s="7"/>
      <c r="W238" s="7"/>
      <c r="X238" s="7"/>
      <c r="Y238" s="7"/>
      <c r="Z238" s="7"/>
    </row>
    <row r="239" spans="1:26" ht="21" customHeight="1" x14ac:dyDescent="0.2">
      <c r="A239" s="7"/>
      <c r="B239" s="6"/>
      <c r="C239" s="7"/>
      <c r="D239" s="7"/>
      <c r="E239" s="6"/>
      <c r="F239" s="6"/>
      <c r="G239" s="6"/>
      <c r="H239" s="6"/>
      <c r="I239" s="6"/>
      <c r="J239" s="7"/>
      <c r="K239" s="7"/>
      <c r="L239" s="7"/>
      <c r="M239" s="7"/>
      <c r="N239" s="7"/>
      <c r="O239" s="7"/>
      <c r="P239" s="7"/>
      <c r="Q239" s="7"/>
      <c r="R239" s="7"/>
      <c r="S239" s="7"/>
      <c r="T239" s="7"/>
      <c r="U239" s="7"/>
      <c r="V239" s="7"/>
      <c r="W239" s="7"/>
      <c r="X239" s="7"/>
      <c r="Y239" s="7"/>
      <c r="Z239" s="7"/>
    </row>
    <row r="240" spans="1:26" ht="21" customHeight="1" x14ac:dyDescent="0.2">
      <c r="A240" s="7"/>
      <c r="B240" s="6"/>
      <c r="C240" s="7"/>
      <c r="D240" s="7"/>
      <c r="E240" s="6"/>
      <c r="F240" s="6"/>
      <c r="G240" s="6"/>
      <c r="H240" s="6"/>
      <c r="I240" s="6"/>
      <c r="J240" s="7"/>
      <c r="K240" s="7"/>
      <c r="L240" s="7"/>
      <c r="M240" s="7"/>
      <c r="N240" s="7"/>
      <c r="O240" s="7"/>
      <c r="P240" s="7"/>
      <c r="Q240" s="7"/>
      <c r="R240" s="7"/>
      <c r="S240" s="7"/>
      <c r="T240" s="7"/>
      <c r="U240" s="7"/>
      <c r="V240" s="7"/>
      <c r="W240" s="7"/>
      <c r="X240" s="7"/>
      <c r="Y240" s="7"/>
      <c r="Z240" s="7"/>
    </row>
    <row r="241" spans="1:26" ht="21" customHeight="1" x14ac:dyDescent="0.2">
      <c r="A241" s="7"/>
      <c r="B241" s="6"/>
      <c r="C241" s="7"/>
      <c r="D241" s="7"/>
      <c r="E241" s="6"/>
      <c r="F241" s="6"/>
      <c r="G241" s="6"/>
      <c r="H241" s="6"/>
      <c r="I241" s="6"/>
      <c r="J241" s="7"/>
      <c r="K241" s="7"/>
      <c r="L241" s="7"/>
      <c r="M241" s="7"/>
      <c r="N241" s="7"/>
      <c r="O241" s="7"/>
      <c r="P241" s="7"/>
      <c r="Q241" s="7"/>
      <c r="R241" s="7"/>
      <c r="S241" s="7"/>
      <c r="T241" s="7"/>
      <c r="U241" s="7"/>
      <c r="V241" s="7"/>
      <c r="W241" s="7"/>
      <c r="X241" s="7"/>
      <c r="Y241" s="7"/>
      <c r="Z241" s="7"/>
    </row>
    <row r="242" spans="1:26" ht="21" customHeight="1" x14ac:dyDescent="0.2">
      <c r="A242" s="7"/>
      <c r="B242" s="6"/>
      <c r="C242" s="7"/>
      <c r="D242" s="7"/>
      <c r="E242" s="6"/>
      <c r="F242" s="6"/>
      <c r="G242" s="6"/>
      <c r="H242" s="6"/>
      <c r="I242" s="6"/>
      <c r="J242" s="7"/>
      <c r="K242" s="7"/>
      <c r="L242" s="7"/>
      <c r="M242" s="7"/>
      <c r="N242" s="7"/>
      <c r="O242" s="7"/>
      <c r="P242" s="7"/>
      <c r="Q242" s="7"/>
      <c r="R242" s="7"/>
      <c r="S242" s="7"/>
      <c r="T242" s="7"/>
      <c r="U242" s="7"/>
      <c r="V242" s="7"/>
      <c r="W242" s="7"/>
      <c r="X242" s="7"/>
      <c r="Y242" s="7"/>
      <c r="Z242" s="7"/>
    </row>
    <row r="243" spans="1:26" ht="21" customHeight="1" x14ac:dyDescent="0.2">
      <c r="A243" s="7"/>
      <c r="B243" s="6"/>
      <c r="C243" s="7"/>
      <c r="D243" s="7"/>
      <c r="E243" s="6"/>
      <c r="F243" s="6"/>
      <c r="G243" s="6"/>
      <c r="H243" s="6"/>
      <c r="I243" s="6"/>
      <c r="J243" s="7"/>
      <c r="K243" s="7"/>
      <c r="L243" s="7"/>
      <c r="M243" s="7"/>
      <c r="N243" s="7"/>
      <c r="O243" s="7"/>
      <c r="P243" s="7"/>
      <c r="Q243" s="7"/>
      <c r="R243" s="7"/>
      <c r="S243" s="7"/>
      <c r="T243" s="7"/>
      <c r="U243" s="7"/>
      <c r="V243" s="7"/>
      <c r="W243" s="7"/>
      <c r="X243" s="7"/>
      <c r="Y243" s="7"/>
      <c r="Z243" s="7"/>
    </row>
    <row r="244" spans="1:26" ht="21" customHeight="1" x14ac:dyDescent="0.2">
      <c r="A244" s="7"/>
      <c r="B244" s="6"/>
      <c r="C244" s="7"/>
      <c r="D244" s="7"/>
      <c r="E244" s="6"/>
      <c r="F244" s="6"/>
      <c r="G244" s="6"/>
      <c r="H244" s="6"/>
      <c r="I244" s="6"/>
      <c r="J244" s="7"/>
      <c r="K244" s="7"/>
      <c r="L244" s="7"/>
      <c r="M244" s="7"/>
      <c r="N244" s="7"/>
      <c r="O244" s="7"/>
      <c r="P244" s="7"/>
      <c r="Q244" s="7"/>
      <c r="R244" s="7"/>
      <c r="S244" s="7"/>
      <c r="T244" s="7"/>
      <c r="U244" s="7"/>
      <c r="V244" s="7"/>
      <c r="W244" s="7"/>
      <c r="X244" s="7"/>
      <c r="Y244" s="7"/>
      <c r="Z244" s="7"/>
    </row>
    <row r="245" spans="1:26" ht="21" customHeight="1" x14ac:dyDescent="0.2">
      <c r="A245" s="7"/>
      <c r="B245" s="6"/>
      <c r="C245" s="7"/>
      <c r="D245" s="7"/>
      <c r="E245" s="6"/>
      <c r="F245" s="6"/>
      <c r="G245" s="6"/>
      <c r="H245" s="6"/>
      <c r="I245" s="6"/>
      <c r="J245" s="7"/>
      <c r="K245" s="7"/>
      <c r="L245" s="7"/>
      <c r="M245" s="7"/>
      <c r="N245" s="7"/>
      <c r="O245" s="7"/>
      <c r="P245" s="7"/>
      <c r="Q245" s="7"/>
      <c r="R245" s="7"/>
      <c r="S245" s="7"/>
      <c r="T245" s="7"/>
      <c r="U245" s="7"/>
      <c r="V245" s="7"/>
      <c r="W245" s="7"/>
      <c r="X245" s="7"/>
      <c r="Y245" s="7"/>
      <c r="Z245" s="7"/>
    </row>
    <row r="246" spans="1:26" ht="21" customHeight="1" x14ac:dyDescent="0.2">
      <c r="A246" s="7"/>
      <c r="B246" s="6"/>
      <c r="C246" s="7"/>
      <c r="D246" s="7"/>
      <c r="E246" s="6"/>
      <c r="F246" s="6"/>
      <c r="G246" s="6"/>
      <c r="H246" s="6"/>
      <c r="I246" s="6"/>
      <c r="J246" s="7"/>
      <c r="K246" s="7"/>
      <c r="L246" s="7"/>
      <c r="M246" s="7"/>
      <c r="N246" s="7"/>
      <c r="O246" s="7"/>
      <c r="P246" s="7"/>
      <c r="Q246" s="7"/>
      <c r="R246" s="7"/>
      <c r="S246" s="7"/>
      <c r="T246" s="7"/>
      <c r="U246" s="7"/>
      <c r="V246" s="7"/>
      <c r="W246" s="7"/>
      <c r="X246" s="7"/>
      <c r="Y246" s="7"/>
      <c r="Z246" s="7"/>
    </row>
    <row r="247" spans="1:26" ht="21" customHeight="1" x14ac:dyDescent="0.2">
      <c r="A247" s="7"/>
      <c r="B247" s="6"/>
      <c r="C247" s="7"/>
      <c r="D247" s="7"/>
      <c r="E247" s="6"/>
      <c r="F247" s="6"/>
      <c r="G247" s="6"/>
      <c r="H247" s="6"/>
      <c r="I247" s="6"/>
      <c r="J247" s="7"/>
      <c r="K247" s="7"/>
      <c r="L247" s="7"/>
      <c r="M247" s="7"/>
      <c r="N247" s="7"/>
      <c r="O247" s="7"/>
      <c r="P247" s="7"/>
      <c r="Q247" s="7"/>
      <c r="R247" s="7"/>
      <c r="S247" s="7"/>
      <c r="T247" s="7"/>
      <c r="U247" s="7"/>
      <c r="V247" s="7"/>
      <c r="W247" s="7"/>
      <c r="X247" s="7"/>
      <c r="Y247" s="7"/>
      <c r="Z247" s="7"/>
    </row>
    <row r="248" spans="1:26" ht="21" customHeight="1" x14ac:dyDescent="0.2">
      <c r="A248" s="7"/>
      <c r="B248" s="6"/>
      <c r="C248" s="7"/>
      <c r="D248" s="7"/>
      <c r="E248" s="6"/>
      <c r="F248" s="6"/>
      <c r="G248" s="6"/>
      <c r="H248" s="6"/>
      <c r="I248" s="6"/>
      <c r="J248" s="7"/>
      <c r="K248" s="7"/>
      <c r="L248" s="7"/>
      <c r="M248" s="7"/>
      <c r="N248" s="7"/>
      <c r="O248" s="7"/>
      <c r="P248" s="7"/>
      <c r="Q248" s="7"/>
      <c r="R248" s="7"/>
      <c r="S248" s="7"/>
      <c r="T248" s="7"/>
      <c r="U248" s="7"/>
      <c r="V248" s="7"/>
      <c r="W248" s="7"/>
      <c r="X248" s="7"/>
      <c r="Y248" s="7"/>
      <c r="Z248" s="7"/>
    </row>
    <row r="249" spans="1:26" ht="21" customHeight="1" x14ac:dyDescent="0.2">
      <c r="A249" s="7"/>
      <c r="B249" s="6"/>
      <c r="C249" s="7"/>
      <c r="D249" s="7"/>
      <c r="E249" s="6"/>
      <c r="F249" s="6"/>
      <c r="G249" s="6"/>
      <c r="H249" s="6"/>
      <c r="I249" s="6"/>
      <c r="J249" s="7"/>
      <c r="K249" s="7"/>
      <c r="L249" s="7"/>
      <c r="M249" s="7"/>
      <c r="N249" s="7"/>
      <c r="O249" s="7"/>
      <c r="P249" s="7"/>
      <c r="Q249" s="7"/>
      <c r="R249" s="7"/>
      <c r="S249" s="7"/>
      <c r="T249" s="7"/>
      <c r="U249" s="7"/>
      <c r="V249" s="7"/>
      <c r="W249" s="7"/>
      <c r="X249" s="7"/>
      <c r="Y249" s="7"/>
      <c r="Z249" s="7"/>
    </row>
    <row r="250" spans="1:26" ht="21" customHeight="1" x14ac:dyDescent="0.2">
      <c r="A250" s="7"/>
      <c r="B250" s="6"/>
      <c r="C250" s="7"/>
      <c r="D250" s="7"/>
      <c r="E250" s="6"/>
      <c r="F250" s="6"/>
      <c r="G250" s="6"/>
      <c r="H250" s="6"/>
      <c r="I250" s="6"/>
      <c r="J250" s="7"/>
      <c r="K250" s="7"/>
      <c r="L250" s="7"/>
      <c r="M250" s="7"/>
      <c r="N250" s="7"/>
      <c r="O250" s="7"/>
      <c r="P250" s="7"/>
      <c r="Q250" s="7"/>
      <c r="R250" s="7"/>
      <c r="S250" s="7"/>
      <c r="T250" s="7"/>
      <c r="U250" s="7"/>
      <c r="V250" s="7"/>
      <c r="W250" s="7"/>
      <c r="X250" s="7"/>
      <c r="Y250" s="7"/>
      <c r="Z250" s="7"/>
    </row>
    <row r="251" spans="1:26" ht="21" customHeight="1" x14ac:dyDescent="0.2">
      <c r="A251" s="7"/>
      <c r="B251" s="6"/>
      <c r="C251" s="7"/>
      <c r="D251" s="7"/>
      <c r="E251" s="6"/>
      <c r="F251" s="6"/>
      <c r="G251" s="6"/>
      <c r="H251" s="6"/>
      <c r="I251" s="6"/>
      <c r="J251" s="7"/>
      <c r="K251" s="7"/>
      <c r="L251" s="7"/>
      <c r="M251" s="7"/>
      <c r="N251" s="7"/>
      <c r="O251" s="7"/>
      <c r="P251" s="7"/>
      <c r="Q251" s="7"/>
      <c r="R251" s="7"/>
      <c r="S251" s="7"/>
      <c r="T251" s="7"/>
      <c r="U251" s="7"/>
      <c r="V251" s="7"/>
      <c r="W251" s="7"/>
      <c r="X251" s="7"/>
      <c r="Y251" s="7"/>
      <c r="Z251" s="7"/>
    </row>
    <row r="252" spans="1:26" ht="21" customHeight="1" x14ac:dyDescent="0.2">
      <c r="A252" s="7"/>
      <c r="B252" s="6"/>
      <c r="C252" s="7"/>
      <c r="D252" s="7"/>
      <c r="E252" s="6"/>
      <c r="F252" s="6"/>
      <c r="G252" s="6"/>
      <c r="H252" s="6"/>
      <c r="I252" s="6"/>
      <c r="J252" s="7"/>
      <c r="K252" s="7"/>
      <c r="L252" s="7"/>
      <c r="M252" s="7"/>
      <c r="N252" s="7"/>
      <c r="O252" s="7"/>
      <c r="P252" s="7"/>
      <c r="Q252" s="7"/>
      <c r="R252" s="7"/>
      <c r="S252" s="7"/>
      <c r="T252" s="7"/>
      <c r="U252" s="7"/>
      <c r="V252" s="7"/>
      <c r="W252" s="7"/>
      <c r="X252" s="7"/>
      <c r="Y252" s="7"/>
      <c r="Z252" s="7"/>
    </row>
    <row r="253" spans="1:26" ht="21" customHeight="1" x14ac:dyDescent="0.2">
      <c r="A253" s="7"/>
      <c r="B253" s="6"/>
      <c r="C253" s="7"/>
      <c r="D253" s="7"/>
      <c r="E253" s="6"/>
      <c r="F253" s="6"/>
      <c r="G253" s="6"/>
      <c r="H253" s="6"/>
      <c r="I253" s="6"/>
      <c r="J253" s="7"/>
      <c r="K253" s="7"/>
      <c r="L253" s="7"/>
      <c r="M253" s="7"/>
      <c r="N253" s="7"/>
      <c r="O253" s="7"/>
      <c r="P253" s="7"/>
      <c r="Q253" s="7"/>
      <c r="R253" s="7"/>
      <c r="S253" s="7"/>
      <c r="T253" s="7"/>
      <c r="U253" s="7"/>
      <c r="V253" s="7"/>
      <c r="W253" s="7"/>
      <c r="X253" s="7"/>
      <c r="Y253" s="7"/>
      <c r="Z253" s="7"/>
    </row>
    <row r="254" spans="1:26" ht="21" customHeight="1" x14ac:dyDescent="0.2">
      <c r="A254" s="7"/>
      <c r="B254" s="6"/>
      <c r="C254" s="7"/>
      <c r="D254" s="7"/>
      <c r="E254" s="6"/>
      <c r="F254" s="6"/>
      <c r="G254" s="6"/>
      <c r="H254" s="6"/>
      <c r="I254" s="6"/>
      <c r="J254" s="7"/>
      <c r="K254" s="7"/>
      <c r="L254" s="7"/>
      <c r="M254" s="7"/>
      <c r="N254" s="7"/>
      <c r="O254" s="7"/>
      <c r="P254" s="7"/>
      <c r="Q254" s="7"/>
      <c r="R254" s="7"/>
      <c r="S254" s="7"/>
      <c r="T254" s="7"/>
      <c r="U254" s="7"/>
      <c r="V254" s="7"/>
      <c r="W254" s="7"/>
      <c r="X254" s="7"/>
      <c r="Y254" s="7"/>
      <c r="Z254" s="7"/>
    </row>
    <row r="255" spans="1:26" ht="21" customHeight="1" x14ac:dyDescent="0.2">
      <c r="A255" s="7"/>
      <c r="B255" s="6"/>
      <c r="C255" s="7"/>
      <c r="D255" s="7"/>
      <c r="E255" s="6"/>
      <c r="F255" s="6"/>
      <c r="G255" s="6"/>
      <c r="H255" s="6"/>
      <c r="I255" s="6"/>
      <c r="J255" s="7"/>
      <c r="K255" s="7"/>
      <c r="L255" s="7"/>
      <c r="M255" s="7"/>
      <c r="N255" s="7"/>
      <c r="O255" s="7"/>
      <c r="P255" s="7"/>
      <c r="Q255" s="7"/>
      <c r="R255" s="7"/>
      <c r="S255" s="7"/>
      <c r="T255" s="7"/>
      <c r="U255" s="7"/>
      <c r="V255" s="7"/>
      <c r="W255" s="7"/>
      <c r="X255" s="7"/>
      <c r="Y255" s="7"/>
      <c r="Z255" s="7"/>
    </row>
    <row r="256" spans="1:26" ht="21" customHeight="1" x14ac:dyDescent="0.2">
      <c r="A256" s="7"/>
      <c r="B256" s="6"/>
      <c r="C256" s="7"/>
      <c r="D256" s="7"/>
      <c r="E256" s="6"/>
      <c r="F256" s="6"/>
      <c r="G256" s="6"/>
      <c r="H256" s="6"/>
      <c r="I256" s="6"/>
      <c r="J256" s="7"/>
      <c r="K256" s="7"/>
      <c r="L256" s="7"/>
      <c r="M256" s="7"/>
      <c r="N256" s="7"/>
      <c r="O256" s="7"/>
      <c r="P256" s="7"/>
      <c r="Q256" s="7"/>
      <c r="R256" s="7"/>
      <c r="S256" s="7"/>
      <c r="T256" s="7"/>
      <c r="U256" s="7"/>
      <c r="V256" s="7"/>
      <c r="W256" s="7"/>
      <c r="X256" s="7"/>
      <c r="Y256" s="7"/>
      <c r="Z256" s="7"/>
    </row>
    <row r="257" spans="1:26" ht="21" customHeight="1" x14ac:dyDescent="0.2">
      <c r="A257" s="7"/>
      <c r="B257" s="6"/>
      <c r="C257" s="7"/>
      <c r="D257" s="7"/>
      <c r="E257" s="6"/>
      <c r="F257" s="6"/>
      <c r="G257" s="6"/>
      <c r="H257" s="6"/>
      <c r="I257" s="6"/>
      <c r="J257" s="7"/>
      <c r="K257" s="7"/>
      <c r="L257" s="7"/>
      <c r="M257" s="7"/>
      <c r="N257" s="7"/>
      <c r="O257" s="7"/>
      <c r="P257" s="7"/>
      <c r="Q257" s="7"/>
      <c r="R257" s="7"/>
      <c r="S257" s="7"/>
      <c r="T257" s="7"/>
      <c r="U257" s="7"/>
      <c r="V257" s="7"/>
      <c r="W257" s="7"/>
      <c r="X257" s="7"/>
      <c r="Y257" s="7"/>
      <c r="Z257" s="7"/>
    </row>
    <row r="258" spans="1:26" ht="21" customHeight="1" x14ac:dyDescent="0.2">
      <c r="A258" s="7"/>
      <c r="B258" s="6"/>
      <c r="C258" s="7"/>
      <c r="D258" s="7"/>
      <c r="E258" s="6"/>
      <c r="F258" s="6"/>
      <c r="G258" s="6"/>
      <c r="H258" s="6"/>
      <c r="I258" s="6"/>
      <c r="J258" s="7"/>
      <c r="K258" s="7"/>
      <c r="L258" s="7"/>
      <c r="M258" s="7"/>
      <c r="N258" s="7"/>
      <c r="O258" s="7"/>
      <c r="P258" s="7"/>
      <c r="Q258" s="7"/>
      <c r="R258" s="7"/>
      <c r="S258" s="7"/>
      <c r="T258" s="7"/>
      <c r="U258" s="7"/>
      <c r="V258" s="7"/>
      <c r="W258" s="7"/>
      <c r="X258" s="7"/>
      <c r="Y258" s="7"/>
      <c r="Z258" s="7"/>
    </row>
    <row r="259" spans="1:26" ht="21" customHeight="1" x14ac:dyDescent="0.2">
      <c r="A259" s="7"/>
      <c r="B259" s="6"/>
      <c r="C259" s="7"/>
      <c r="D259" s="7"/>
      <c r="E259" s="6"/>
      <c r="F259" s="6"/>
      <c r="G259" s="6"/>
      <c r="H259" s="6"/>
      <c r="I259" s="6"/>
      <c r="J259" s="7"/>
      <c r="K259" s="7"/>
      <c r="L259" s="7"/>
      <c r="M259" s="7"/>
      <c r="N259" s="7"/>
      <c r="O259" s="7"/>
      <c r="P259" s="7"/>
      <c r="Q259" s="7"/>
      <c r="R259" s="7"/>
      <c r="S259" s="7"/>
      <c r="T259" s="7"/>
      <c r="U259" s="7"/>
      <c r="V259" s="7"/>
      <c r="W259" s="7"/>
      <c r="X259" s="7"/>
      <c r="Y259" s="7"/>
      <c r="Z259" s="7"/>
    </row>
    <row r="260" spans="1:26" ht="21" customHeight="1" x14ac:dyDescent="0.2">
      <c r="A260" s="7"/>
      <c r="B260" s="6"/>
      <c r="C260" s="7"/>
      <c r="D260" s="7"/>
      <c r="E260" s="6"/>
      <c r="F260" s="6"/>
      <c r="G260" s="6"/>
      <c r="H260" s="6"/>
      <c r="I260" s="6"/>
      <c r="J260" s="7"/>
      <c r="K260" s="7"/>
      <c r="L260" s="7"/>
      <c r="M260" s="7"/>
      <c r="N260" s="7"/>
      <c r="O260" s="7"/>
      <c r="P260" s="7"/>
      <c r="Q260" s="7"/>
      <c r="R260" s="7"/>
      <c r="S260" s="7"/>
      <c r="T260" s="7"/>
      <c r="U260" s="7"/>
      <c r="V260" s="7"/>
      <c r="W260" s="7"/>
      <c r="X260" s="7"/>
      <c r="Y260" s="7"/>
      <c r="Z260" s="7"/>
    </row>
    <row r="261" spans="1:26" ht="21" customHeight="1" x14ac:dyDescent="0.2">
      <c r="A261" s="7"/>
      <c r="B261" s="6"/>
      <c r="C261" s="7"/>
      <c r="D261" s="7"/>
      <c r="E261" s="6"/>
      <c r="F261" s="6"/>
      <c r="G261" s="6"/>
      <c r="H261" s="6"/>
      <c r="I261" s="6"/>
      <c r="J261" s="7"/>
      <c r="K261" s="7"/>
      <c r="L261" s="7"/>
      <c r="M261" s="7"/>
      <c r="N261" s="7"/>
      <c r="O261" s="7"/>
      <c r="P261" s="7"/>
      <c r="Q261" s="7"/>
      <c r="R261" s="7"/>
      <c r="S261" s="7"/>
      <c r="T261" s="7"/>
      <c r="U261" s="7"/>
      <c r="V261" s="7"/>
      <c r="W261" s="7"/>
      <c r="X261" s="7"/>
      <c r="Y261" s="7"/>
      <c r="Z261" s="7"/>
    </row>
    <row r="262" spans="1:26" ht="21" customHeight="1" x14ac:dyDescent="0.2">
      <c r="A262" s="7"/>
      <c r="B262" s="6"/>
      <c r="C262" s="7"/>
      <c r="D262" s="7"/>
      <c r="E262" s="6"/>
      <c r="F262" s="6"/>
      <c r="G262" s="6"/>
      <c r="H262" s="6"/>
      <c r="I262" s="6"/>
      <c r="J262" s="7"/>
      <c r="K262" s="7"/>
      <c r="L262" s="7"/>
      <c r="M262" s="7"/>
      <c r="N262" s="7"/>
      <c r="O262" s="7"/>
      <c r="P262" s="7"/>
      <c r="Q262" s="7"/>
      <c r="R262" s="7"/>
      <c r="S262" s="7"/>
      <c r="T262" s="7"/>
      <c r="U262" s="7"/>
      <c r="V262" s="7"/>
      <c r="W262" s="7"/>
      <c r="X262" s="7"/>
      <c r="Y262" s="7"/>
      <c r="Z262" s="7"/>
    </row>
    <row r="263" spans="1:26" ht="21" customHeight="1" x14ac:dyDescent="0.2">
      <c r="A263" s="7"/>
      <c r="B263" s="6"/>
      <c r="C263" s="7"/>
      <c r="D263" s="7"/>
      <c r="E263" s="6"/>
      <c r="F263" s="6"/>
      <c r="G263" s="6"/>
      <c r="H263" s="6"/>
      <c r="I263" s="6"/>
      <c r="J263" s="7"/>
      <c r="K263" s="7"/>
      <c r="L263" s="7"/>
      <c r="M263" s="7"/>
      <c r="N263" s="7"/>
      <c r="O263" s="7"/>
      <c r="P263" s="7"/>
      <c r="Q263" s="7"/>
      <c r="R263" s="7"/>
      <c r="S263" s="7"/>
      <c r="T263" s="7"/>
      <c r="U263" s="7"/>
      <c r="V263" s="7"/>
      <c r="W263" s="7"/>
      <c r="X263" s="7"/>
      <c r="Y263" s="7"/>
      <c r="Z263" s="7"/>
    </row>
    <row r="264" spans="1:26" ht="21" customHeight="1" x14ac:dyDescent="0.2">
      <c r="A264" s="7"/>
      <c r="B264" s="6"/>
      <c r="C264" s="7"/>
      <c r="D264" s="7"/>
      <c r="E264" s="6"/>
      <c r="F264" s="6"/>
      <c r="G264" s="6"/>
      <c r="H264" s="6"/>
      <c r="I264" s="6"/>
      <c r="J264" s="7"/>
      <c r="K264" s="7"/>
      <c r="L264" s="7"/>
      <c r="M264" s="7"/>
      <c r="N264" s="7"/>
      <c r="O264" s="7"/>
      <c r="P264" s="7"/>
      <c r="Q264" s="7"/>
      <c r="R264" s="7"/>
      <c r="S264" s="7"/>
      <c r="T264" s="7"/>
      <c r="U264" s="7"/>
      <c r="V264" s="7"/>
      <c r="W264" s="7"/>
      <c r="X264" s="7"/>
      <c r="Y264" s="7"/>
      <c r="Z264" s="7"/>
    </row>
    <row r="265" spans="1:26" ht="21" customHeight="1" x14ac:dyDescent="0.2">
      <c r="A265" s="7"/>
      <c r="B265" s="6"/>
      <c r="C265" s="7"/>
      <c r="D265" s="7"/>
      <c r="E265" s="6"/>
      <c r="F265" s="6"/>
      <c r="G265" s="6"/>
      <c r="H265" s="6"/>
      <c r="I265" s="6"/>
      <c r="J265" s="7"/>
      <c r="K265" s="7"/>
      <c r="L265" s="7"/>
      <c r="M265" s="7"/>
      <c r="N265" s="7"/>
      <c r="O265" s="7"/>
      <c r="P265" s="7"/>
      <c r="Q265" s="7"/>
      <c r="R265" s="7"/>
      <c r="S265" s="7"/>
      <c r="T265" s="7"/>
      <c r="U265" s="7"/>
      <c r="V265" s="7"/>
      <c r="W265" s="7"/>
      <c r="X265" s="7"/>
      <c r="Y265" s="7"/>
      <c r="Z265" s="7"/>
    </row>
    <row r="266" spans="1:26" ht="21" customHeight="1" x14ac:dyDescent="0.2">
      <c r="A266" s="7"/>
      <c r="B266" s="6"/>
      <c r="C266" s="7"/>
      <c r="D266" s="7"/>
      <c r="E266" s="6"/>
      <c r="F266" s="6"/>
      <c r="G266" s="6"/>
      <c r="H266" s="6"/>
      <c r="I266" s="6"/>
      <c r="J266" s="7"/>
      <c r="K266" s="7"/>
      <c r="L266" s="7"/>
      <c r="M266" s="7"/>
      <c r="N266" s="7"/>
      <c r="O266" s="7"/>
      <c r="P266" s="7"/>
      <c r="Q266" s="7"/>
      <c r="R266" s="7"/>
      <c r="S266" s="7"/>
      <c r="T266" s="7"/>
      <c r="U266" s="7"/>
      <c r="V266" s="7"/>
      <c r="W266" s="7"/>
      <c r="X266" s="7"/>
      <c r="Y266" s="7"/>
      <c r="Z266" s="7"/>
    </row>
    <row r="267" spans="1:26" ht="21" customHeight="1" x14ac:dyDescent="0.2">
      <c r="A267" s="7"/>
      <c r="B267" s="6"/>
      <c r="C267" s="7"/>
      <c r="D267" s="7"/>
      <c r="E267" s="6"/>
      <c r="F267" s="6"/>
      <c r="G267" s="6"/>
      <c r="H267" s="6"/>
      <c r="I267" s="6"/>
      <c r="J267" s="7"/>
      <c r="K267" s="7"/>
      <c r="L267" s="7"/>
      <c r="M267" s="7"/>
      <c r="N267" s="7"/>
      <c r="O267" s="7"/>
      <c r="P267" s="7"/>
      <c r="Q267" s="7"/>
      <c r="R267" s="7"/>
      <c r="S267" s="7"/>
      <c r="T267" s="7"/>
      <c r="U267" s="7"/>
      <c r="V267" s="7"/>
      <c r="W267" s="7"/>
      <c r="X267" s="7"/>
      <c r="Y267" s="7"/>
      <c r="Z267" s="7"/>
    </row>
    <row r="268" spans="1:26" ht="21" customHeight="1" x14ac:dyDescent="0.2">
      <c r="A268" s="7"/>
      <c r="B268" s="6"/>
      <c r="C268" s="7"/>
      <c r="D268" s="7"/>
      <c r="E268" s="6"/>
      <c r="F268" s="6"/>
      <c r="G268" s="6"/>
      <c r="H268" s="6"/>
      <c r="I268" s="6"/>
      <c r="J268" s="7"/>
      <c r="K268" s="7"/>
      <c r="L268" s="7"/>
      <c r="M268" s="7"/>
      <c r="N268" s="7"/>
      <c r="O268" s="7"/>
      <c r="P268" s="7"/>
      <c r="Q268" s="7"/>
      <c r="R268" s="7"/>
      <c r="S268" s="7"/>
      <c r="T268" s="7"/>
      <c r="U268" s="7"/>
      <c r="V268" s="7"/>
      <c r="W268" s="7"/>
      <c r="X268" s="7"/>
      <c r="Y268" s="7"/>
      <c r="Z268" s="7"/>
    </row>
    <row r="269" spans="1:26" ht="21" customHeight="1" x14ac:dyDescent="0.2">
      <c r="A269" s="7"/>
      <c r="B269" s="6"/>
      <c r="C269" s="7"/>
      <c r="D269" s="7"/>
      <c r="E269" s="6"/>
      <c r="F269" s="6"/>
      <c r="G269" s="6"/>
      <c r="H269" s="6"/>
      <c r="I269" s="6"/>
      <c r="J269" s="7"/>
      <c r="K269" s="7"/>
      <c r="L269" s="7"/>
      <c r="M269" s="7"/>
      <c r="N269" s="7"/>
      <c r="O269" s="7"/>
      <c r="P269" s="7"/>
      <c r="Q269" s="7"/>
      <c r="R269" s="7"/>
      <c r="S269" s="7"/>
      <c r="T269" s="7"/>
      <c r="U269" s="7"/>
      <c r="V269" s="7"/>
      <c r="W269" s="7"/>
      <c r="X269" s="7"/>
      <c r="Y269" s="7"/>
      <c r="Z269" s="7"/>
    </row>
    <row r="270" spans="1:26" ht="21" customHeight="1" x14ac:dyDescent="0.2">
      <c r="A270" s="7"/>
      <c r="B270" s="6"/>
      <c r="C270" s="7"/>
      <c r="D270" s="7"/>
      <c r="E270" s="6"/>
      <c r="F270" s="6"/>
      <c r="G270" s="6"/>
      <c r="H270" s="6"/>
      <c r="I270" s="6"/>
      <c r="J270" s="7"/>
      <c r="K270" s="7"/>
      <c r="L270" s="7"/>
      <c r="M270" s="7"/>
      <c r="N270" s="7"/>
      <c r="O270" s="7"/>
      <c r="P270" s="7"/>
      <c r="Q270" s="7"/>
      <c r="R270" s="7"/>
      <c r="S270" s="7"/>
      <c r="T270" s="7"/>
      <c r="U270" s="7"/>
      <c r="V270" s="7"/>
      <c r="W270" s="7"/>
      <c r="X270" s="7"/>
      <c r="Y270" s="7"/>
      <c r="Z270" s="7"/>
    </row>
    <row r="271" spans="1:26" ht="21" customHeight="1" x14ac:dyDescent="0.2">
      <c r="A271" s="7"/>
      <c r="B271" s="6"/>
      <c r="C271" s="7"/>
      <c r="D271" s="7"/>
      <c r="E271" s="6"/>
      <c r="F271" s="6"/>
      <c r="G271" s="6"/>
      <c r="H271" s="6"/>
      <c r="I271" s="6"/>
      <c r="J271" s="7"/>
      <c r="K271" s="7"/>
      <c r="L271" s="7"/>
      <c r="M271" s="7"/>
      <c r="N271" s="7"/>
      <c r="O271" s="7"/>
      <c r="P271" s="7"/>
      <c r="Q271" s="7"/>
      <c r="R271" s="7"/>
      <c r="S271" s="7"/>
      <c r="T271" s="7"/>
      <c r="U271" s="7"/>
      <c r="V271" s="7"/>
      <c r="W271" s="7"/>
      <c r="X271" s="7"/>
      <c r="Y271" s="7"/>
      <c r="Z271" s="7"/>
    </row>
    <row r="272" spans="1:26" ht="21" customHeight="1" x14ac:dyDescent="0.2">
      <c r="A272" s="7"/>
      <c r="B272" s="6"/>
      <c r="C272" s="7"/>
      <c r="D272" s="7"/>
      <c r="E272" s="6"/>
      <c r="F272" s="6"/>
      <c r="G272" s="6"/>
      <c r="H272" s="6"/>
      <c r="I272" s="6"/>
      <c r="J272" s="7"/>
      <c r="K272" s="7"/>
      <c r="L272" s="7"/>
      <c r="M272" s="7"/>
      <c r="N272" s="7"/>
      <c r="O272" s="7"/>
      <c r="P272" s="7"/>
      <c r="Q272" s="7"/>
      <c r="R272" s="7"/>
      <c r="S272" s="7"/>
      <c r="T272" s="7"/>
      <c r="U272" s="7"/>
      <c r="V272" s="7"/>
      <c r="W272" s="7"/>
      <c r="X272" s="7"/>
      <c r="Y272" s="7"/>
      <c r="Z272" s="7"/>
    </row>
    <row r="273" spans="1:26" ht="21" customHeight="1" x14ac:dyDescent="0.2">
      <c r="A273" s="7"/>
      <c r="B273" s="6"/>
      <c r="C273" s="7"/>
      <c r="D273" s="7"/>
      <c r="E273" s="6"/>
      <c r="F273" s="6"/>
      <c r="G273" s="6"/>
      <c r="H273" s="6"/>
      <c r="I273" s="6"/>
      <c r="J273" s="7"/>
      <c r="K273" s="7"/>
      <c r="L273" s="7"/>
      <c r="M273" s="7"/>
      <c r="N273" s="7"/>
      <c r="O273" s="7"/>
      <c r="P273" s="7"/>
      <c r="Q273" s="7"/>
      <c r="R273" s="7"/>
      <c r="S273" s="7"/>
      <c r="T273" s="7"/>
      <c r="U273" s="7"/>
      <c r="V273" s="7"/>
      <c r="W273" s="7"/>
      <c r="X273" s="7"/>
      <c r="Y273" s="7"/>
      <c r="Z273" s="7"/>
    </row>
    <row r="274" spans="1:26" ht="21" customHeight="1" x14ac:dyDescent="0.2">
      <c r="A274" s="7"/>
      <c r="B274" s="6"/>
      <c r="C274" s="7"/>
      <c r="D274" s="7"/>
      <c r="E274" s="6"/>
      <c r="F274" s="6"/>
      <c r="G274" s="6"/>
      <c r="H274" s="6"/>
      <c r="I274" s="6"/>
      <c r="J274" s="7"/>
      <c r="K274" s="7"/>
      <c r="L274" s="7"/>
      <c r="M274" s="7"/>
      <c r="N274" s="7"/>
      <c r="O274" s="7"/>
      <c r="P274" s="7"/>
      <c r="Q274" s="7"/>
      <c r="R274" s="7"/>
      <c r="S274" s="7"/>
      <c r="T274" s="7"/>
      <c r="U274" s="7"/>
      <c r="V274" s="7"/>
      <c r="W274" s="7"/>
      <c r="X274" s="7"/>
      <c r="Y274" s="7"/>
      <c r="Z274" s="7"/>
    </row>
    <row r="275" spans="1:26" ht="21" customHeight="1" x14ac:dyDescent="0.2">
      <c r="A275" s="7"/>
      <c r="B275" s="6"/>
      <c r="C275" s="7"/>
      <c r="D275" s="7"/>
      <c r="E275" s="6"/>
      <c r="F275" s="6"/>
      <c r="G275" s="6"/>
      <c r="H275" s="6"/>
      <c r="I275" s="6"/>
      <c r="J275" s="7"/>
      <c r="K275" s="7"/>
      <c r="L275" s="7"/>
      <c r="M275" s="7"/>
      <c r="N275" s="7"/>
      <c r="O275" s="7"/>
      <c r="P275" s="7"/>
      <c r="Q275" s="7"/>
      <c r="R275" s="7"/>
      <c r="S275" s="7"/>
      <c r="T275" s="7"/>
      <c r="U275" s="7"/>
      <c r="V275" s="7"/>
      <c r="W275" s="7"/>
      <c r="X275" s="7"/>
      <c r="Y275" s="7"/>
      <c r="Z275" s="7"/>
    </row>
    <row r="276" spans="1:26" ht="21" customHeight="1" x14ac:dyDescent="0.2">
      <c r="A276" s="7"/>
      <c r="B276" s="6"/>
      <c r="C276" s="7"/>
      <c r="D276" s="7"/>
      <c r="E276" s="6"/>
      <c r="F276" s="6"/>
      <c r="G276" s="6"/>
      <c r="H276" s="6"/>
      <c r="I276" s="6"/>
      <c r="J276" s="7"/>
      <c r="K276" s="7"/>
      <c r="L276" s="7"/>
      <c r="M276" s="7"/>
      <c r="N276" s="7"/>
      <c r="O276" s="7"/>
      <c r="P276" s="7"/>
      <c r="Q276" s="7"/>
      <c r="R276" s="7"/>
      <c r="S276" s="7"/>
      <c r="T276" s="7"/>
      <c r="U276" s="7"/>
      <c r="V276" s="7"/>
      <c r="W276" s="7"/>
      <c r="X276" s="7"/>
      <c r="Y276" s="7"/>
      <c r="Z276" s="7"/>
    </row>
    <row r="277" spans="1:26" ht="21" customHeight="1" x14ac:dyDescent="0.2">
      <c r="A277" s="7"/>
      <c r="B277" s="6"/>
      <c r="C277" s="7"/>
      <c r="D277" s="7"/>
      <c r="E277" s="6"/>
      <c r="F277" s="6"/>
      <c r="G277" s="6"/>
      <c r="H277" s="6"/>
      <c r="I277" s="6"/>
      <c r="J277" s="7"/>
      <c r="K277" s="7"/>
      <c r="L277" s="7"/>
      <c r="M277" s="7"/>
      <c r="N277" s="7"/>
      <c r="O277" s="7"/>
      <c r="P277" s="7"/>
      <c r="Q277" s="7"/>
      <c r="R277" s="7"/>
      <c r="S277" s="7"/>
      <c r="T277" s="7"/>
      <c r="U277" s="7"/>
      <c r="V277" s="7"/>
      <c r="W277" s="7"/>
      <c r="X277" s="7"/>
      <c r="Y277" s="7"/>
      <c r="Z277" s="7"/>
    </row>
    <row r="278" spans="1:26" ht="21" customHeight="1" x14ac:dyDescent="0.2">
      <c r="A278" s="7"/>
      <c r="B278" s="6"/>
      <c r="C278" s="7"/>
      <c r="D278" s="7"/>
      <c r="E278" s="6"/>
      <c r="F278" s="6"/>
      <c r="G278" s="6"/>
      <c r="H278" s="6"/>
      <c r="I278" s="6"/>
      <c r="J278" s="7"/>
      <c r="K278" s="7"/>
      <c r="L278" s="7"/>
      <c r="M278" s="7"/>
      <c r="N278" s="7"/>
      <c r="O278" s="7"/>
      <c r="P278" s="7"/>
      <c r="Q278" s="7"/>
      <c r="R278" s="7"/>
      <c r="S278" s="7"/>
      <c r="T278" s="7"/>
      <c r="U278" s="7"/>
      <c r="V278" s="7"/>
      <c r="W278" s="7"/>
      <c r="X278" s="7"/>
      <c r="Y278" s="7"/>
      <c r="Z278" s="7"/>
    </row>
    <row r="279" spans="1:26" ht="21" customHeight="1" x14ac:dyDescent="0.2">
      <c r="A279" s="7"/>
      <c r="B279" s="6"/>
      <c r="C279" s="7"/>
      <c r="D279" s="7"/>
      <c r="E279" s="6"/>
      <c r="F279" s="6"/>
      <c r="G279" s="6"/>
      <c r="H279" s="6"/>
      <c r="I279" s="6"/>
      <c r="J279" s="7"/>
      <c r="K279" s="7"/>
      <c r="L279" s="7"/>
      <c r="M279" s="7"/>
      <c r="N279" s="7"/>
      <c r="O279" s="7"/>
      <c r="P279" s="7"/>
      <c r="Q279" s="7"/>
      <c r="R279" s="7"/>
      <c r="S279" s="7"/>
      <c r="T279" s="7"/>
      <c r="U279" s="7"/>
      <c r="V279" s="7"/>
      <c r="W279" s="7"/>
      <c r="X279" s="7"/>
      <c r="Y279" s="7"/>
      <c r="Z279" s="7"/>
    </row>
    <row r="280" spans="1:26" ht="21" customHeight="1" x14ac:dyDescent="0.2">
      <c r="A280" s="7"/>
      <c r="B280" s="6"/>
      <c r="C280" s="7"/>
      <c r="D280" s="7"/>
      <c r="E280" s="6"/>
      <c r="F280" s="6"/>
      <c r="G280" s="6"/>
      <c r="H280" s="6"/>
      <c r="I280" s="6"/>
      <c r="J280" s="7"/>
      <c r="K280" s="7"/>
      <c r="L280" s="7"/>
      <c r="M280" s="7"/>
      <c r="N280" s="7"/>
      <c r="O280" s="7"/>
      <c r="P280" s="7"/>
      <c r="Q280" s="7"/>
      <c r="R280" s="7"/>
      <c r="S280" s="7"/>
      <c r="T280" s="7"/>
      <c r="U280" s="7"/>
      <c r="V280" s="7"/>
      <c r="W280" s="7"/>
      <c r="X280" s="7"/>
      <c r="Y280" s="7"/>
      <c r="Z280" s="7"/>
    </row>
    <row r="281" spans="1:26" ht="21" customHeight="1" x14ac:dyDescent="0.2">
      <c r="A281" s="7"/>
      <c r="B281" s="6"/>
      <c r="C281" s="7"/>
      <c r="D281" s="7"/>
      <c r="E281" s="6"/>
      <c r="F281" s="6"/>
      <c r="G281" s="6"/>
      <c r="H281" s="6"/>
      <c r="I281" s="6"/>
      <c r="J281" s="7"/>
      <c r="K281" s="7"/>
      <c r="L281" s="7"/>
      <c r="M281" s="7"/>
      <c r="N281" s="7"/>
      <c r="O281" s="7"/>
      <c r="P281" s="7"/>
      <c r="Q281" s="7"/>
      <c r="R281" s="7"/>
      <c r="S281" s="7"/>
      <c r="T281" s="7"/>
      <c r="U281" s="7"/>
      <c r="V281" s="7"/>
      <c r="W281" s="7"/>
      <c r="X281" s="7"/>
      <c r="Y281" s="7"/>
      <c r="Z281" s="7"/>
    </row>
    <row r="282" spans="1:26" ht="21" customHeight="1" x14ac:dyDescent="0.2">
      <c r="A282" s="7"/>
      <c r="B282" s="6"/>
      <c r="C282" s="7"/>
      <c r="D282" s="7"/>
      <c r="E282" s="6"/>
      <c r="F282" s="6"/>
      <c r="G282" s="6"/>
      <c r="H282" s="6"/>
      <c r="I282" s="6"/>
      <c r="J282" s="7"/>
      <c r="K282" s="7"/>
      <c r="L282" s="7"/>
      <c r="M282" s="7"/>
      <c r="N282" s="7"/>
      <c r="O282" s="7"/>
      <c r="P282" s="7"/>
      <c r="Q282" s="7"/>
      <c r="R282" s="7"/>
      <c r="S282" s="7"/>
      <c r="T282" s="7"/>
      <c r="U282" s="7"/>
      <c r="V282" s="7"/>
      <c r="W282" s="7"/>
      <c r="X282" s="7"/>
      <c r="Y282" s="7"/>
      <c r="Z282" s="7"/>
    </row>
    <row r="283" spans="1:26" ht="21" customHeight="1" x14ac:dyDescent="0.2">
      <c r="A283" s="7"/>
      <c r="B283" s="6"/>
      <c r="C283" s="7"/>
      <c r="D283" s="7"/>
      <c r="E283" s="6"/>
      <c r="F283" s="6"/>
      <c r="G283" s="6"/>
      <c r="H283" s="6"/>
      <c r="I283" s="6"/>
      <c r="J283" s="7"/>
      <c r="K283" s="7"/>
      <c r="L283" s="7"/>
      <c r="M283" s="7"/>
      <c r="N283" s="7"/>
      <c r="O283" s="7"/>
      <c r="P283" s="7"/>
      <c r="Q283" s="7"/>
      <c r="R283" s="7"/>
      <c r="S283" s="7"/>
      <c r="T283" s="7"/>
      <c r="U283" s="7"/>
      <c r="V283" s="7"/>
      <c r="W283" s="7"/>
      <c r="X283" s="7"/>
      <c r="Y283" s="7"/>
      <c r="Z283" s="7"/>
    </row>
    <row r="284" spans="1:26" ht="21" customHeight="1" x14ac:dyDescent="0.2">
      <c r="A284" s="7"/>
      <c r="B284" s="6"/>
      <c r="C284" s="7"/>
      <c r="D284" s="7"/>
      <c r="E284" s="6"/>
      <c r="F284" s="6"/>
      <c r="G284" s="6"/>
      <c r="H284" s="6"/>
      <c r="I284" s="6"/>
      <c r="J284" s="7"/>
      <c r="K284" s="7"/>
      <c r="L284" s="7"/>
      <c r="M284" s="7"/>
      <c r="N284" s="7"/>
      <c r="O284" s="7"/>
      <c r="P284" s="7"/>
      <c r="Q284" s="7"/>
      <c r="R284" s="7"/>
      <c r="S284" s="7"/>
      <c r="T284" s="7"/>
      <c r="U284" s="7"/>
      <c r="V284" s="7"/>
      <c r="W284" s="7"/>
      <c r="X284" s="7"/>
      <c r="Y284" s="7"/>
      <c r="Z284" s="7"/>
    </row>
    <row r="285" spans="1:26" ht="21" customHeight="1" x14ac:dyDescent="0.2">
      <c r="A285" s="7"/>
      <c r="B285" s="6"/>
      <c r="C285" s="7"/>
      <c r="D285" s="7"/>
      <c r="E285" s="6"/>
      <c r="F285" s="6"/>
      <c r="G285" s="6"/>
      <c r="H285" s="6"/>
      <c r="I285" s="6"/>
      <c r="J285" s="7"/>
      <c r="K285" s="7"/>
      <c r="L285" s="7"/>
      <c r="M285" s="7"/>
      <c r="N285" s="7"/>
      <c r="O285" s="7"/>
      <c r="P285" s="7"/>
      <c r="Q285" s="7"/>
      <c r="R285" s="7"/>
      <c r="S285" s="7"/>
      <c r="T285" s="7"/>
      <c r="U285" s="7"/>
      <c r="V285" s="7"/>
      <c r="W285" s="7"/>
      <c r="X285" s="7"/>
      <c r="Y285" s="7"/>
      <c r="Z285" s="7"/>
    </row>
    <row r="286" spans="1:26" ht="21" customHeight="1" x14ac:dyDescent="0.2">
      <c r="A286" s="7"/>
      <c r="B286" s="6"/>
      <c r="C286" s="7"/>
      <c r="D286" s="7"/>
      <c r="E286" s="6"/>
      <c r="F286" s="6"/>
      <c r="G286" s="6"/>
      <c r="H286" s="6"/>
      <c r="I286" s="6"/>
      <c r="J286" s="7"/>
      <c r="K286" s="7"/>
      <c r="L286" s="7"/>
      <c r="M286" s="7"/>
      <c r="N286" s="7"/>
      <c r="O286" s="7"/>
      <c r="P286" s="7"/>
      <c r="Q286" s="7"/>
      <c r="R286" s="7"/>
      <c r="S286" s="7"/>
      <c r="T286" s="7"/>
      <c r="U286" s="7"/>
      <c r="V286" s="7"/>
      <c r="W286" s="7"/>
      <c r="X286" s="7"/>
      <c r="Y286" s="7"/>
      <c r="Z286" s="7"/>
    </row>
    <row r="287" spans="1:26" ht="21" customHeight="1" x14ac:dyDescent="0.2">
      <c r="A287" s="7"/>
      <c r="B287" s="6"/>
      <c r="C287" s="7"/>
      <c r="D287" s="7"/>
      <c r="E287" s="6"/>
      <c r="F287" s="6"/>
      <c r="G287" s="6"/>
      <c r="H287" s="6"/>
      <c r="I287" s="6"/>
      <c r="J287" s="7"/>
      <c r="K287" s="7"/>
      <c r="L287" s="7"/>
      <c r="M287" s="7"/>
      <c r="N287" s="7"/>
      <c r="O287" s="7"/>
      <c r="P287" s="7"/>
      <c r="Q287" s="7"/>
      <c r="R287" s="7"/>
      <c r="S287" s="7"/>
      <c r="T287" s="7"/>
      <c r="U287" s="7"/>
      <c r="V287" s="7"/>
      <c r="W287" s="7"/>
      <c r="X287" s="7"/>
      <c r="Y287" s="7"/>
      <c r="Z287" s="7"/>
    </row>
    <row r="288" spans="1:26" ht="21" customHeight="1" x14ac:dyDescent="0.2">
      <c r="A288" s="7"/>
      <c r="B288" s="6"/>
      <c r="C288" s="7"/>
      <c r="D288" s="7"/>
      <c r="E288" s="6"/>
      <c r="F288" s="6"/>
      <c r="G288" s="6"/>
      <c r="H288" s="6"/>
      <c r="I288" s="6"/>
      <c r="J288" s="7"/>
      <c r="K288" s="7"/>
      <c r="L288" s="7"/>
      <c r="M288" s="7"/>
      <c r="N288" s="7"/>
      <c r="O288" s="7"/>
      <c r="P288" s="7"/>
      <c r="Q288" s="7"/>
      <c r="R288" s="7"/>
      <c r="S288" s="7"/>
      <c r="T288" s="7"/>
      <c r="U288" s="7"/>
      <c r="V288" s="7"/>
      <c r="W288" s="7"/>
      <c r="X288" s="7"/>
      <c r="Y288" s="7"/>
      <c r="Z288" s="7"/>
    </row>
    <row r="289" spans="1:26" ht="21" customHeight="1" x14ac:dyDescent="0.2">
      <c r="A289" s="7"/>
      <c r="B289" s="6"/>
      <c r="C289" s="7"/>
      <c r="D289" s="7"/>
      <c r="E289" s="6"/>
      <c r="F289" s="6"/>
      <c r="G289" s="6"/>
      <c r="H289" s="6"/>
      <c r="I289" s="6"/>
      <c r="J289" s="7"/>
      <c r="K289" s="7"/>
      <c r="L289" s="7"/>
      <c r="M289" s="7"/>
      <c r="N289" s="7"/>
      <c r="O289" s="7"/>
      <c r="P289" s="7"/>
      <c r="Q289" s="7"/>
      <c r="R289" s="7"/>
      <c r="S289" s="7"/>
      <c r="T289" s="7"/>
      <c r="U289" s="7"/>
      <c r="V289" s="7"/>
      <c r="W289" s="7"/>
      <c r="X289" s="7"/>
      <c r="Y289" s="7"/>
      <c r="Z289" s="7"/>
    </row>
    <row r="290" spans="1:26" ht="21" customHeight="1" x14ac:dyDescent="0.2">
      <c r="A290" s="7"/>
      <c r="B290" s="6"/>
      <c r="C290" s="7"/>
      <c r="D290" s="7"/>
      <c r="E290" s="6"/>
      <c r="F290" s="6"/>
      <c r="G290" s="6"/>
      <c r="H290" s="6"/>
      <c r="I290" s="6"/>
      <c r="J290" s="7"/>
      <c r="K290" s="7"/>
      <c r="L290" s="7"/>
      <c r="M290" s="7"/>
      <c r="N290" s="7"/>
      <c r="O290" s="7"/>
      <c r="P290" s="7"/>
      <c r="Q290" s="7"/>
      <c r="R290" s="7"/>
      <c r="S290" s="7"/>
      <c r="T290" s="7"/>
      <c r="U290" s="7"/>
      <c r="V290" s="7"/>
      <c r="W290" s="7"/>
      <c r="X290" s="7"/>
      <c r="Y290" s="7"/>
      <c r="Z290" s="7"/>
    </row>
    <row r="291" spans="1:26" ht="21" customHeight="1" x14ac:dyDescent="0.2">
      <c r="A291" s="7"/>
      <c r="B291" s="6"/>
      <c r="C291" s="7"/>
      <c r="D291" s="7"/>
      <c r="E291" s="6"/>
      <c r="F291" s="6"/>
      <c r="G291" s="6"/>
      <c r="H291" s="6"/>
      <c r="I291" s="6"/>
      <c r="J291" s="7"/>
      <c r="K291" s="7"/>
      <c r="L291" s="7"/>
      <c r="M291" s="7"/>
      <c r="N291" s="7"/>
      <c r="O291" s="7"/>
      <c r="P291" s="7"/>
      <c r="Q291" s="7"/>
      <c r="R291" s="7"/>
      <c r="S291" s="7"/>
      <c r="T291" s="7"/>
      <c r="U291" s="7"/>
      <c r="V291" s="7"/>
      <c r="W291" s="7"/>
      <c r="X291" s="7"/>
      <c r="Y291" s="7"/>
      <c r="Z291" s="7"/>
    </row>
    <row r="292" spans="1:26" ht="21" customHeight="1" x14ac:dyDescent="0.2">
      <c r="A292" s="7"/>
      <c r="B292" s="6"/>
      <c r="C292" s="7"/>
      <c r="D292" s="7"/>
      <c r="E292" s="6"/>
      <c r="F292" s="6"/>
      <c r="G292" s="6"/>
      <c r="H292" s="6"/>
      <c r="I292" s="6"/>
      <c r="J292" s="7"/>
      <c r="K292" s="7"/>
      <c r="L292" s="7"/>
      <c r="M292" s="7"/>
      <c r="N292" s="7"/>
      <c r="O292" s="7"/>
      <c r="P292" s="7"/>
      <c r="Q292" s="7"/>
      <c r="R292" s="7"/>
      <c r="S292" s="7"/>
      <c r="T292" s="7"/>
      <c r="U292" s="7"/>
      <c r="V292" s="7"/>
      <c r="W292" s="7"/>
      <c r="X292" s="7"/>
      <c r="Y292" s="7"/>
      <c r="Z292" s="7"/>
    </row>
    <row r="293" spans="1:26" ht="21" customHeight="1" x14ac:dyDescent="0.2">
      <c r="A293" s="7"/>
      <c r="B293" s="6"/>
      <c r="C293" s="7"/>
      <c r="D293" s="7"/>
      <c r="E293" s="6"/>
      <c r="F293" s="6"/>
      <c r="G293" s="6"/>
      <c r="H293" s="6"/>
      <c r="I293" s="6"/>
      <c r="J293" s="7"/>
      <c r="K293" s="7"/>
      <c r="L293" s="7"/>
      <c r="M293" s="7"/>
      <c r="N293" s="7"/>
      <c r="O293" s="7"/>
      <c r="P293" s="7"/>
      <c r="Q293" s="7"/>
      <c r="R293" s="7"/>
      <c r="S293" s="7"/>
      <c r="T293" s="7"/>
      <c r="U293" s="7"/>
      <c r="V293" s="7"/>
      <c r="W293" s="7"/>
      <c r="X293" s="7"/>
      <c r="Y293" s="7"/>
      <c r="Z293" s="7"/>
    </row>
    <row r="294" spans="1:26" ht="21" customHeight="1" x14ac:dyDescent="0.2">
      <c r="A294" s="7"/>
      <c r="B294" s="6"/>
      <c r="C294" s="7"/>
      <c r="D294" s="7"/>
      <c r="E294" s="6"/>
      <c r="F294" s="6"/>
      <c r="G294" s="6"/>
      <c r="H294" s="6"/>
      <c r="I294" s="6"/>
      <c r="J294" s="7"/>
      <c r="K294" s="7"/>
      <c r="L294" s="7"/>
      <c r="M294" s="7"/>
      <c r="N294" s="7"/>
      <c r="O294" s="7"/>
      <c r="P294" s="7"/>
      <c r="Q294" s="7"/>
      <c r="R294" s="7"/>
      <c r="S294" s="7"/>
      <c r="T294" s="7"/>
      <c r="U294" s="7"/>
      <c r="V294" s="7"/>
      <c r="W294" s="7"/>
      <c r="X294" s="7"/>
      <c r="Y294" s="7"/>
      <c r="Z294" s="7"/>
    </row>
    <row r="295" spans="1:26" ht="21" customHeight="1" x14ac:dyDescent="0.2">
      <c r="A295" s="7"/>
      <c r="B295" s="6"/>
      <c r="C295" s="7"/>
      <c r="D295" s="7"/>
      <c r="E295" s="6"/>
      <c r="F295" s="6"/>
      <c r="G295" s="6"/>
      <c r="H295" s="6"/>
      <c r="I295" s="6"/>
      <c r="J295" s="7"/>
      <c r="K295" s="7"/>
      <c r="L295" s="7"/>
      <c r="M295" s="7"/>
      <c r="N295" s="7"/>
      <c r="O295" s="7"/>
      <c r="P295" s="7"/>
      <c r="Q295" s="7"/>
      <c r="R295" s="7"/>
      <c r="S295" s="7"/>
      <c r="T295" s="7"/>
      <c r="U295" s="7"/>
      <c r="V295" s="7"/>
      <c r="W295" s="7"/>
      <c r="X295" s="7"/>
      <c r="Y295" s="7"/>
      <c r="Z295" s="7"/>
    </row>
    <row r="296" spans="1:26" ht="21" customHeight="1" x14ac:dyDescent="0.2">
      <c r="A296" s="7"/>
      <c r="B296" s="6"/>
      <c r="C296" s="7"/>
      <c r="D296" s="7"/>
      <c r="E296" s="6"/>
      <c r="F296" s="6"/>
      <c r="G296" s="6"/>
      <c r="H296" s="6"/>
      <c r="I296" s="6"/>
      <c r="J296" s="7"/>
      <c r="K296" s="7"/>
      <c r="L296" s="7"/>
      <c r="M296" s="7"/>
      <c r="N296" s="7"/>
      <c r="O296" s="7"/>
      <c r="P296" s="7"/>
      <c r="Q296" s="7"/>
      <c r="R296" s="7"/>
      <c r="S296" s="7"/>
      <c r="T296" s="7"/>
      <c r="U296" s="7"/>
      <c r="V296" s="7"/>
      <c r="W296" s="7"/>
      <c r="X296" s="7"/>
      <c r="Y296" s="7"/>
      <c r="Z296" s="7"/>
    </row>
    <row r="297" spans="1:26" ht="21" customHeight="1" x14ac:dyDescent="0.2">
      <c r="A297" s="7"/>
      <c r="B297" s="6"/>
      <c r="C297" s="7"/>
      <c r="D297" s="7"/>
      <c r="E297" s="6"/>
      <c r="F297" s="6"/>
      <c r="G297" s="6"/>
      <c r="H297" s="6"/>
      <c r="I297" s="6"/>
      <c r="J297" s="7"/>
      <c r="K297" s="7"/>
      <c r="L297" s="7"/>
      <c r="M297" s="7"/>
      <c r="N297" s="7"/>
      <c r="O297" s="7"/>
      <c r="P297" s="7"/>
      <c r="Q297" s="7"/>
      <c r="R297" s="7"/>
      <c r="S297" s="7"/>
      <c r="T297" s="7"/>
      <c r="U297" s="7"/>
      <c r="V297" s="7"/>
      <c r="W297" s="7"/>
      <c r="X297" s="7"/>
      <c r="Y297" s="7"/>
      <c r="Z297" s="7"/>
    </row>
    <row r="298" spans="1:26" ht="21" customHeight="1" x14ac:dyDescent="0.2">
      <c r="A298" s="7"/>
      <c r="B298" s="6"/>
      <c r="C298" s="7"/>
      <c r="D298" s="7"/>
      <c r="E298" s="6"/>
      <c r="F298" s="6"/>
      <c r="G298" s="6"/>
      <c r="H298" s="6"/>
      <c r="I298" s="6"/>
      <c r="J298" s="7"/>
      <c r="K298" s="7"/>
      <c r="L298" s="7"/>
      <c r="M298" s="7"/>
      <c r="N298" s="7"/>
      <c r="O298" s="7"/>
      <c r="P298" s="7"/>
      <c r="Q298" s="7"/>
      <c r="R298" s="7"/>
      <c r="S298" s="7"/>
      <c r="T298" s="7"/>
      <c r="U298" s="7"/>
      <c r="V298" s="7"/>
      <c r="W298" s="7"/>
      <c r="X298" s="7"/>
      <c r="Y298" s="7"/>
      <c r="Z298" s="7"/>
    </row>
    <row r="299" spans="1:26" ht="21" customHeight="1" x14ac:dyDescent="0.2">
      <c r="A299" s="7"/>
      <c r="B299" s="6"/>
      <c r="C299" s="7"/>
      <c r="D299" s="7"/>
      <c r="E299" s="6"/>
      <c r="F299" s="6"/>
      <c r="G299" s="6"/>
      <c r="H299" s="6"/>
      <c r="I299" s="6"/>
      <c r="J299" s="7"/>
      <c r="K299" s="7"/>
      <c r="L299" s="7"/>
      <c r="M299" s="7"/>
      <c r="N299" s="7"/>
      <c r="O299" s="7"/>
      <c r="P299" s="7"/>
      <c r="Q299" s="7"/>
      <c r="R299" s="7"/>
      <c r="S299" s="7"/>
      <c r="T299" s="7"/>
      <c r="U299" s="7"/>
      <c r="V299" s="7"/>
      <c r="W299" s="7"/>
      <c r="X299" s="7"/>
      <c r="Y299" s="7"/>
      <c r="Z299" s="7"/>
    </row>
    <row r="300" spans="1:26" ht="21" customHeight="1" x14ac:dyDescent="0.2">
      <c r="A300" s="7"/>
      <c r="B300" s="6"/>
      <c r="C300" s="7"/>
      <c r="D300" s="7"/>
      <c r="E300" s="6"/>
      <c r="F300" s="6"/>
      <c r="G300" s="6"/>
      <c r="H300" s="6"/>
      <c r="I300" s="6"/>
      <c r="J300" s="7"/>
      <c r="K300" s="7"/>
      <c r="L300" s="7"/>
      <c r="M300" s="7"/>
      <c r="N300" s="7"/>
      <c r="O300" s="7"/>
      <c r="P300" s="7"/>
      <c r="Q300" s="7"/>
      <c r="R300" s="7"/>
      <c r="S300" s="7"/>
      <c r="T300" s="7"/>
      <c r="U300" s="7"/>
      <c r="V300" s="7"/>
      <c r="W300" s="7"/>
      <c r="X300" s="7"/>
      <c r="Y300" s="7"/>
      <c r="Z300" s="7"/>
    </row>
    <row r="301" spans="1:26" ht="21" customHeight="1" x14ac:dyDescent="0.2">
      <c r="A301" s="7"/>
      <c r="B301" s="6"/>
      <c r="C301" s="7"/>
      <c r="D301" s="7"/>
      <c r="E301" s="6"/>
      <c r="F301" s="6"/>
      <c r="G301" s="6"/>
      <c r="H301" s="6"/>
      <c r="I301" s="6"/>
      <c r="J301" s="7"/>
      <c r="K301" s="7"/>
      <c r="L301" s="7"/>
      <c r="M301" s="7"/>
      <c r="N301" s="7"/>
      <c r="O301" s="7"/>
      <c r="P301" s="7"/>
      <c r="Q301" s="7"/>
      <c r="R301" s="7"/>
      <c r="S301" s="7"/>
      <c r="T301" s="7"/>
      <c r="U301" s="7"/>
      <c r="V301" s="7"/>
      <c r="W301" s="7"/>
      <c r="X301" s="7"/>
      <c r="Y301" s="7"/>
      <c r="Z301" s="7"/>
    </row>
    <row r="302" spans="1:26" ht="21" customHeight="1" x14ac:dyDescent="0.2">
      <c r="A302" s="7"/>
      <c r="B302" s="6"/>
      <c r="C302" s="7"/>
      <c r="D302" s="7"/>
      <c r="E302" s="6"/>
      <c r="F302" s="6"/>
      <c r="G302" s="6"/>
      <c r="H302" s="6"/>
      <c r="I302" s="6"/>
      <c r="J302" s="7"/>
      <c r="K302" s="7"/>
      <c r="L302" s="7"/>
      <c r="M302" s="7"/>
      <c r="N302" s="7"/>
      <c r="O302" s="7"/>
      <c r="P302" s="7"/>
      <c r="Q302" s="7"/>
      <c r="R302" s="7"/>
      <c r="S302" s="7"/>
      <c r="T302" s="7"/>
      <c r="U302" s="7"/>
      <c r="V302" s="7"/>
      <c r="W302" s="7"/>
      <c r="X302" s="7"/>
      <c r="Y302" s="7"/>
      <c r="Z302" s="7"/>
    </row>
    <row r="303" spans="1:26" ht="21" customHeight="1" x14ac:dyDescent="0.2">
      <c r="A303" s="7"/>
      <c r="B303" s="6"/>
      <c r="C303" s="7"/>
      <c r="D303" s="7"/>
      <c r="E303" s="6"/>
      <c r="F303" s="6"/>
      <c r="G303" s="6"/>
      <c r="H303" s="6"/>
      <c r="I303" s="6"/>
      <c r="J303" s="7"/>
      <c r="K303" s="7"/>
      <c r="L303" s="7"/>
      <c r="M303" s="7"/>
      <c r="N303" s="7"/>
      <c r="O303" s="7"/>
      <c r="P303" s="7"/>
      <c r="Q303" s="7"/>
      <c r="R303" s="7"/>
      <c r="S303" s="7"/>
      <c r="T303" s="7"/>
      <c r="U303" s="7"/>
      <c r="V303" s="7"/>
      <c r="W303" s="7"/>
      <c r="X303" s="7"/>
      <c r="Y303" s="7"/>
      <c r="Z303" s="7"/>
    </row>
    <row r="304" spans="1:26" ht="21" customHeight="1" x14ac:dyDescent="0.2">
      <c r="A304" s="7"/>
      <c r="B304" s="6"/>
      <c r="C304" s="7"/>
      <c r="D304" s="7"/>
      <c r="E304" s="6"/>
      <c r="F304" s="6"/>
      <c r="G304" s="6"/>
      <c r="H304" s="6"/>
      <c r="I304" s="6"/>
      <c r="J304" s="7"/>
      <c r="K304" s="7"/>
      <c r="L304" s="7"/>
      <c r="M304" s="7"/>
      <c r="N304" s="7"/>
      <c r="O304" s="7"/>
      <c r="P304" s="7"/>
      <c r="Q304" s="7"/>
      <c r="R304" s="7"/>
      <c r="S304" s="7"/>
      <c r="T304" s="7"/>
      <c r="U304" s="7"/>
      <c r="V304" s="7"/>
      <c r="W304" s="7"/>
      <c r="X304" s="7"/>
      <c r="Y304" s="7"/>
      <c r="Z304" s="7"/>
    </row>
    <row r="305" spans="1:26" ht="21" customHeight="1" x14ac:dyDescent="0.2">
      <c r="A305" s="7"/>
      <c r="B305" s="6"/>
      <c r="C305" s="7"/>
      <c r="D305" s="7"/>
      <c r="E305" s="6"/>
      <c r="F305" s="6"/>
      <c r="G305" s="6"/>
      <c r="H305" s="6"/>
      <c r="I305" s="6"/>
      <c r="J305" s="7"/>
      <c r="K305" s="7"/>
      <c r="L305" s="7"/>
      <c r="M305" s="7"/>
      <c r="N305" s="7"/>
      <c r="O305" s="7"/>
      <c r="P305" s="7"/>
      <c r="Q305" s="7"/>
      <c r="R305" s="7"/>
      <c r="S305" s="7"/>
      <c r="T305" s="7"/>
      <c r="U305" s="7"/>
      <c r="V305" s="7"/>
      <c r="W305" s="7"/>
      <c r="X305" s="7"/>
      <c r="Y305" s="7"/>
      <c r="Z305" s="7"/>
    </row>
    <row r="306" spans="1:26" ht="21" customHeight="1" x14ac:dyDescent="0.2">
      <c r="A306" s="7"/>
      <c r="B306" s="6"/>
      <c r="C306" s="7"/>
      <c r="D306" s="7"/>
      <c r="E306" s="6"/>
      <c r="F306" s="6"/>
      <c r="G306" s="6"/>
      <c r="H306" s="6"/>
      <c r="I306" s="6"/>
      <c r="J306" s="7"/>
      <c r="K306" s="7"/>
      <c r="L306" s="7"/>
      <c r="M306" s="7"/>
      <c r="N306" s="7"/>
      <c r="O306" s="7"/>
      <c r="P306" s="7"/>
      <c r="Q306" s="7"/>
      <c r="R306" s="7"/>
      <c r="S306" s="7"/>
      <c r="T306" s="7"/>
      <c r="U306" s="7"/>
      <c r="V306" s="7"/>
      <c r="W306" s="7"/>
      <c r="X306" s="7"/>
      <c r="Y306" s="7"/>
      <c r="Z306" s="7"/>
    </row>
    <row r="307" spans="1:26" ht="21" customHeight="1" x14ac:dyDescent="0.2">
      <c r="A307" s="7"/>
      <c r="B307" s="6"/>
      <c r="C307" s="7"/>
      <c r="D307" s="7"/>
      <c r="E307" s="6"/>
      <c r="F307" s="6"/>
      <c r="G307" s="6"/>
      <c r="H307" s="6"/>
      <c r="I307" s="6"/>
      <c r="J307" s="7"/>
      <c r="K307" s="7"/>
      <c r="L307" s="7"/>
      <c r="M307" s="7"/>
      <c r="N307" s="7"/>
      <c r="O307" s="7"/>
      <c r="P307" s="7"/>
      <c r="Q307" s="7"/>
      <c r="R307" s="7"/>
      <c r="S307" s="7"/>
      <c r="T307" s="7"/>
      <c r="U307" s="7"/>
      <c r="V307" s="7"/>
      <c r="W307" s="7"/>
      <c r="X307" s="7"/>
      <c r="Y307" s="7"/>
      <c r="Z307" s="7"/>
    </row>
    <row r="308" spans="1:26" ht="21" customHeight="1" x14ac:dyDescent="0.2">
      <c r="A308" s="7"/>
      <c r="B308" s="6"/>
      <c r="C308" s="7"/>
      <c r="D308" s="7"/>
      <c r="E308" s="6"/>
      <c r="F308" s="6"/>
      <c r="G308" s="6"/>
      <c r="H308" s="6"/>
      <c r="I308" s="6"/>
      <c r="J308" s="7"/>
      <c r="K308" s="7"/>
      <c r="L308" s="7"/>
      <c r="M308" s="7"/>
      <c r="N308" s="7"/>
      <c r="O308" s="7"/>
      <c r="P308" s="7"/>
      <c r="Q308" s="7"/>
      <c r="R308" s="7"/>
      <c r="S308" s="7"/>
      <c r="T308" s="7"/>
      <c r="U308" s="7"/>
      <c r="V308" s="7"/>
      <c r="W308" s="7"/>
      <c r="X308" s="7"/>
      <c r="Y308" s="7"/>
      <c r="Z308" s="7"/>
    </row>
    <row r="309" spans="1:26" ht="21" customHeight="1" x14ac:dyDescent="0.2">
      <c r="A309" s="7"/>
      <c r="B309" s="6"/>
      <c r="C309" s="7"/>
      <c r="D309" s="7"/>
      <c r="E309" s="6"/>
      <c r="F309" s="6"/>
      <c r="G309" s="6"/>
      <c r="H309" s="6"/>
      <c r="I309" s="6"/>
      <c r="J309" s="7"/>
      <c r="K309" s="7"/>
      <c r="L309" s="7"/>
      <c r="M309" s="7"/>
      <c r="N309" s="7"/>
      <c r="O309" s="7"/>
      <c r="P309" s="7"/>
      <c r="Q309" s="7"/>
      <c r="R309" s="7"/>
      <c r="S309" s="7"/>
      <c r="T309" s="7"/>
      <c r="U309" s="7"/>
      <c r="V309" s="7"/>
      <c r="W309" s="7"/>
      <c r="X309" s="7"/>
      <c r="Y309" s="7"/>
      <c r="Z309" s="7"/>
    </row>
    <row r="310" spans="1:26" ht="21" customHeight="1" x14ac:dyDescent="0.2">
      <c r="A310" s="7"/>
      <c r="B310" s="6"/>
      <c r="C310" s="7"/>
      <c r="D310" s="7"/>
      <c r="E310" s="6"/>
      <c r="F310" s="6"/>
      <c r="G310" s="6"/>
      <c r="H310" s="6"/>
      <c r="I310" s="6"/>
      <c r="J310" s="7"/>
      <c r="K310" s="7"/>
      <c r="L310" s="7"/>
      <c r="M310" s="7"/>
      <c r="N310" s="7"/>
      <c r="O310" s="7"/>
      <c r="P310" s="7"/>
      <c r="Q310" s="7"/>
      <c r="R310" s="7"/>
      <c r="S310" s="7"/>
      <c r="T310" s="7"/>
      <c r="U310" s="7"/>
      <c r="V310" s="7"/>
      <c r="W310" s="7"/>
      <c r="X310" s="7"/>
      <c r="Y310" s="7"/>
      <c r="Z310" s="7"/>
    </row>
    <row r="311" spans="1:26" ht="21" customHeight="1" x14ac:dyDescent="0.2">
      <c r="A311" s="7"/>
      <c r="B311" s="6"/>
      <c r="C311" s="7"/>
      <c r="D311" s="7"/>
      <c r="E311" s="6"/>
      <c r="F311" s="6"/>
      <c r="G311" s="6"/>
      <c r="H311" s="6"/>
      <c r="I311" s="6"/>
      <c r="J311" s="7"/>
      <c r="K311" s="7"/>
      <c r="L311" s="7"/>
      <c r="M311" s="7"/>
      <c r="N311" s="7"/>
      <c r="O311" s="7"/>
      <c r="P311" s="7"/>
      <c r="Q311" s="7"/>
      <c r="R311" s="7"/>
      <c r="S311" s="7"/>
      <c r="T311" s="7"/>
      <c r="U311" s="7"/>
      <c r="V311" s="7"/>
      <c r="W311" s="7"/>
      <c r="X311" s="7"/>
      <c r="Y311" s="7"/>
      <c r="Z311" s="7"/>
    </row>
    <row r="312" spans="1:26" ht="21" customHeight="1" x14ac:dyDescent="0.2">
      <c r="A312" s="7"/>
      <c r="B312" s="6"/>
      <c r="C312" s="7"/>
      <c r="D312" s="7"/>
      <c r="E312" s="6"/>
      <c r="F312" s="6"/>
      <c r="G312" s="6"/>
      <c r="H312" s="6"/>
      <c r="I312" s="6"/>
      <c r="J312" s="7"/>
      <c r="K312" s="7"/>
      <c r="L312" s="7"/>
      <c r="M312" s="7"/>
      <c r="N312" s="7"/>
      <c r="O312" s="7"/>
      <c r="P312" s="7"/>
      <c r="Q312" s="7"/>
      <c r="R312" s="7"/>
      <c r="S312" s="7"/>
      <c r="T312" s="7"/>
      <c r="U312" s="7"/>
      <c r="V312" s="7"/>
      <c r="W312" s="7"/>
      <c r="X312" s="7"/>
      <c r="Y312" s="7"/>
      <c r="Z312" s="7"/>
    </row>
    <row r="313" spans="1:26" ht="21" customHeight="1" x14ac:dyDescent="0.2">
      <c r="A313" s="7"/>
      <c r="B313" s="6"/>
      <c r="C313" s="7"/>
      <c r="D313" s="7"/>
      <c r="E313" s="6"/>
      <c r="F313" s="6"/>
      <c r="G313" s="6"/>
      <c r="H313" s="6"/>
      <c r="I313" s="6"/>
      <c r="J313" s="7"/>
      <c r="K313" s="7"/>
      <c r="L313" s="7"/>
      <c r="M313" s="7"/>
      <c r="N313" s="7"/>
      <c r="O313" s="7"/>
      <c r="P313" s="7"/>
      <c r="Q313" s="7"/>
      <c r="R313" s="7"/>
      <c r="S313" s="7"/>
      <c r="T313" s="7"/>
      <c r="U313" s="7"/>
      <c r="V313" s="7"/>
      <c r="W313" s="7"/>
      <c r="X313" s="7"/>
      <c r="Y313" s="7"/>
      <c r="Z313" s="7"/>
    </row>
    <row r="314" spans="1:26" ht="21" customHeight="1" x14ac:dyDescent="0.2">
      <c r="A314" s="7"/>
      <c r="B314" s="6"/>
      <c r="C314" s="7"/>
      <c r="D314" s="7"/>
      <c r="E314" s="6"/>
      <c r="F314" s="6"/>
      <c r="G314" s="6"/>
      <c r="H314" s="6"/>
      <c r="I314" s="6"/>
      <c r="J314" s="7"/>
      <c r="K314" s="7"/>
      <c r="L314" s="7"/>
      <c r="M314" s="7"/>
      <c r="N314" s="7"/>
      <c r="O314" s="7"/>
      <c r="P314" s="7"/>
      <c r="Q314" s="7"/>
      <c r="R314" s="7"/>
      <c r="S314" s="7"/>
      <c r="T314" s="7"/>
      <c r="U314" s="7"/>
      <c r="V314" s="7"/>
      <c r="W314" s="7"/>
      <c r="X314" s="7"/>
      <c r="Y314" s="7"/>
      <c r="Z314" s="7"/>
    </row>
    <row r="315" spans="1:26" ht="21" customHeight="1" x14ac:dyDescent="0.2">
      <c r="A315" s="7"/>
      <c r="B315" s="6"/>
      <c r="C315" s="7"/>
      <c r="D315" s="7"/>
      <c r="E315" s="6"/>
      <c r="F315" s="6"/>
      <c r="G315" s="6"/>
      <c r="H315" s="6"/>
      <c r="I315" s="6"/>
      <c r="J315" s="7"/>
      <c r="K315" s="7"/>
      <c r="L315" s="7"/>
      <c r="M315" s="7"/>
      <c r="N315" s="7"/>
      <c r="O315" s="7"/>
      <c r="P315" s="7"/>
      <c r="Q315" s="7"/>
      <c r="R315" s="7"/>
      <c r="S315" s="7"/>
      <c r="T315" s="7"/>
      <c r="U315" s="7"/>
      <c r="V315" s="7"/>
      <c r="W315" s="7"/>
      <c r="X315" s="7"/>
      <c r="Y315" s="7"/>
      <c r="Z315" s="7"/>
    </row>
    <row r="316" spans="1:26" ht="21" customHeight="1" x14ac:dyDescent="0.2">
      <c r="A316" s="7"/>
      <c r="B316" s="6"/>
      <c r="C316" s="7"/>
      <c r="D316" s="7"/>
      <c r="E316" s="6"/>
      <c r="F316" s="6"/>
      <c r="G316" s="6"/>
      <c r="H316" s="6"/>
      <c r="I316" s="6"/>
      <c r="J316" s="7"/>
      <c r="K316" s="7"/>
      <c r="L316" s="7"/>
      <c r="M316" s="7"/>
      <c r="N316" s="7"/>
      <c r="O316" s="7"/>
      <c r="P316" s="7"/>
      <c r="Q316" s="7"/>
      <c r="R316" s="7"/>
      <c r="S316" s="7"/>
      <c r="T316" s="7"/>
      <c r="U316" s="7"/>
      <c r="V316" s="7"/>
      <c r="W316" s="7"/>
      <c r="X316" s="7"/>
      <c r="Y316" s="7"/>
      <c r="Z316" s="7"/>
    </row>
    <row r="317" spans="1:26" ht="21" customHeight="1" x14ac:dyDescent="0.2">
      <c r="A317" s="7"/>
      <c r="B317" s="6"/>
      <c r="C317" s="7"/>
      <c r="D317" s="7"/>
      <c r="E317" s="6"/>
      <c r="F317" s="6"/>
      <c r="G317" s="6"/>
      <c r="H317" s="6"/>
      <c r="I317" s="6"/>
      <c r="J317" s="7"/>
      <c r="K317" s="7"/>
      <c r="L317" s="7"/>
      <c r="M317" s="7"/>
      <c r="N317" s="7"/>
      <c r="O317" s="7"/>
      <c r="P317" s="7"/>
      <c r="Q317" s="7"/>
      <c r="R317" s="7"/>
      <c r="S317" s="7"/>
      <c r="T317" s="7"/>
      <c r="U317" s="7"/>
      <c r="V317" s="7"/>
      <c r="W317" s="7"/>
      <c r="X317" s="7"/>
      <c r="Y317" s="7"/>
      <c r="Z317" s="7"/>
    </row>
    <row r="318" spans="1:26" ht="21" customHeight="1" x14ac:dyDescent="0.2">
      <c r="A318" s="7"/>
      <c r="B318" s="6"/>
      <c r="C318" s="7"/>
      <c r="D318" s="7"/>
      <c r="E318" s="6"/>
      <c r="F318" s="6"/>
      <c r="G318" s="6"/>
      <c r="H318" s="6"/>
      <c r="I318" s="6"/>
      <c r="J318" s="7"/>
      <c r="K318" s="7"/>
      <c r="L318" s="7"/>
      <c r="M318" s="7"/>
      <c r="N318" s="7"/>
      <c r="O318" s="7"/>
      <c r="P318" s="7"/>
      <c r="Q318" s="7"/>
      <c r="R318" s="7"/>
      <c r="S318" s="7"/>
      <c r="T318" s="7"/>
      <c r="U318" s="7"/>
      <c r="V318" s="7"/>
      <c r="W318" s="7"/>
      <c r="X318" s="7"/>
      <c r="Y318" s="7"/>
      <c r="Z318" s="7"/>
    </row>
    <row r="319" spans="1:26" ht="21" customHeight="1" x14ac:dyDescent="0.2">
      <c r="A319" s="7"/>
      <c r="B319" s="6"/>
      <c r="C319" s="7"/>
      <c r="D319" s="7"/>
      <c r="E319" s="6"/>
      <c r="F319" s="6"/>
      <c r="G319" s="6"/>
      <c r="H319" s="6"/>
      <c r="I319" s="6"/>
      <c r="J319" s="7"/>
      <c r="K319" s="7"/>
      <c r="L319" s="7"/>
      <c r="M319" s="7"/>
      <c r="N319" s="7"/>
      <c r="O319" s="7"/>
      <c r="P319" s="7"/>
      <c r="Q319" s="7"/>
      <c r="R319" s="7"/>
      <c r="S319" s="7"/>
      <c r="T319" s="7"/>
      <c r="U319" s="7"/>
      <c r="V319" s="7"/>
      <c r="W319" s="7"/>
      <c r="X319" s="7"/>
      <c r="Y319" s="7"/>
      <c r="Z319" s="7"/>
    </row>
    <row r="320" spans="1:26" ht="21" customHeight="1" x14ac:dyDescent="0.2">
      <c r="A320" s="7"/>
      <c r="B320" s="6"/>
      <c r="C320" s="7"/>
      <c r="D320" s="7"/>
      <c r="E320" s="6"/>
      <c r="F320" s="6"/>
      <c r="G320" s="6"/>
      <c r="H320" s="6"/>
      <c r="I320" s="6"/>
      <c r="J320" s="7"/>
      <c r="K320" s="7"/>
      <c r="L320" s="7"/>
      <c r="M320" s="7"/>
      <c r="N320" s="7"/>
      <c r="O320" s="7"/>
      <c r="P320" s="7"/>
      <c r="Q320" s="7"/>
      <c r="R320" s="7"/>
      <c r="S320" s="7"/>
      <c r="T320" s="7"/>
      <c r="U320" s="7"/>
      <c r="V320" s="7"/>
      <c r="W320" s="7"/>
      <c r="X320" s="7"/>
      <c r="Y320" s="7"/>
      <c r="Z320" s="7"/>
    </row>
    <row r="321" spans="1:26" ht="21" customHeight="1" x14ac:dyDescent="0.2">
      <c r="A321" s="7"/>
      <c r="B321" s="6"/>
      <c r="C321" s="7"/>
      <c r="D321" s="7"/>
      <c r="E321" s="6"/>
      <c r="F321" s="6"/>
      <c r="G321" s="6"/>
      <c r="H321" s="6"/>
      <c r="I321" s="6"/>
      <c r="J321" s="7"/>
      <c r="K321" s="7"/>
      <c r="L321" s="7"/>
      <c r="M321" s="7"/>
      <c r="N321" s="7"/>
      <c r="O321" s="7"/>
      <c r="P321" s="7"/>
      <c r="Q321" s="7"/>
      <c r="R321" s="7"/>
      <c r="S321" s="7"/>
      <c r="T321" s="7"/>
      <c r="U321" s="7"/>
      <c r="V321" s="7"/>
      <c r="W321" s="7"/>
      <c r="X321" s="7"/>
      <c r="Y321" s="7"/>
      <c r="Z321" s="7"/>
    </row>
    <row r="322" spans="1:26" ht="21" customHeight="1" x14ac:dyDescent="0.2">
      <c r="A322" s="7"/>
      <c r="B322" s="6"/>
      <c r="C322" s="7"/>
      <c r="D322" s="7"/>
      <c r="E322" s="6"/>
      <c r="F322" s="6"/>
      <c r="G322" s="6"/>
      <c r="H322" s="6"/>
      <c r="I322" s="6"/>
      <c r="J322" s="7"/>
      <c r="K322" s="7"/>
      <c r="L322" s="7"/>
      <c r="M322" s="7"/>
      <c r="N322" s="7"/>
      <c r="O322" s="7"/>
      <c r="P322" s="7"/>
      <c r="Q322" s="7"/>
      <c r="R322" s="7"/>
      <c r="S322" s="7"/>
      <c r="T322" s="7"/>
      <c r="U322" s="7"/>
      <c r="V322" s="7"/>
      <c r="W322" s="7"/>
      <c r="X322" s="7"/>
      <c r="Y322" s="7"/>
      <c r="Z322" s="7"/>
    </row>
    <row r="323" spans="1:26" ht="21" customHeight="1" x14ac:dyDescent="0.2">
      <c r="A323" s="7"/>
      <c r="B323" s="6"/>
      <c r="C323" s="7"/>
      <c r="D323" s="7"/>
      <c r="E323" s="6"/>
      <c r="F323" s="6"/>
      <c r="G323" s="6"/>
      <c r="H323" s="6"/>
      <c r="I323" s="6"/>
      <c r="J323" s="7"/>
      <c r="K323" s="7"/>
      <c r="L323" s="7"/>
      <c r="M323" s="7"/>
      <c r="N323" s="7"/>
      <c r="O323" s="7"/>
      <c r="P323" s="7"/>
      <c r="Q323" s="7"/>
      <c r="R323" s="7"/>
      <c r="S323" s="7"/>
      <c r="T323" s="7"/>
      <c r="U323" s="7"/>
      <c r="V323" s="7"/>
      <c r="W323" s="7"/>
      <c r="X323" s="7"/>
      <c r="Y323" s="7"/>
      <c r="Z323" s="7"/>
    </row>
    <row r="324" spans="1:26" ht="21" customHeight="1" x14ac:dyDescent="0.2">
      <c r="A324" s="7"/>
      <c r="B324" s="6"/>
      <c r="C324" s="7"/>
      <c r="D324" s="7"/>
      <c r="E324" s="6"/>
      <c r="F324" s="6"/>
      <c r="G324" s="6"/>
      <c r="H324" s="6"/>
      <c r="I324" s="6"/>
      <c r="J324" s="7"/>
      <c r="K324" s="7"/>
      <c r="L324" s="7"/>
      <c r="M324" s="7"/>
      <c r="N324" s="7"/>
      <c r="O324" s="7"/>
      <c r="P324" s="7"/>
      <c r="Q324" s="7"/>
      <c r="R324" s="7"/>
      <c r="S324" s="7"/>
      <c r="T324" s="7"/>
      <c r="U324" s="7"/>
      <c r="V324" s="7"/>
      <c r="W324" s="7"/>
      <c r="X324" s="7"/>
      <c r="Y324" s="7"/>
      <c r="Z324" s="7"/>
    </row>
    <row r="325" spans="1:26" ht="21" customHeight="1" x14ac:dyDescent="0.2">
      <c r="A325" s="7"/>
      <c r="B325" s="6"/>
      <c r="C325" s="7"/>
      <c r="D325" s="7"/>
      <c r="E325" s="6"/>
      <c r="F325" s="6"/>
      <c r="G325" s="6"/>
      <c r="H325" s="6"/>
      <c r="I325" s="6"/>
      <c r="J325" s="7"/>
      <c r="K325" s="7"/>
      <c r="L325" s="7"/>
      <c r="M325" s="7"/>
      <c r="N325" s="7"/>
      <c r="O325" s="7"/>
      <c r="P325" s="7"/>
      <c r="Q325" s="7"/>
      <c r="R325" s="7"/>
      <c r="S325" s="7"/>
      <c r="T325" s="7"/>
      <c r="U325" s="7"/>
      <c r="V325" s="7"/>
      <c r="W325" s="7"/>
      <c r="X325" s="7"/>
      <c r="Y325" s="7"/>
      <c r="Z325" s="7"/>
    </row>
    <row r="326" spans="1:26" ht="21" customHeight="1" x14ac:dyDescent="0.2">
      <c r="A326" s="7"/>
      <c r="B326" s="6"/>
      <c r="C326" s="7"/>
      <c r="D326" s="7"/>
      <c r="E326" s="6"/>
      <c r="F326" s="6"/>
      <c r="G326" s="6"/>
      <c r="H326" s="6"/>
      <c r="I326" s="6"/>
      <c r="J326" s="7"/>
      <c r="K326" s="7"/>
      <c r="L326" s="7"/>
      <c r="M326" s="7"/>
      <c r="N326" s="7"/>
      <c r="O326" s="7"/>
      <c r="P326" s="7"/>
      <c r="Q326" s="7"/>
      <c r="R326" s="7"/>
      <c r="S326" s="7"/>
      <c r="T326" s="7"/>
      <c r="U326" s="7"/>
      <c r="V326" s="7"/>
      <c r="W326" s="7"/>
      <c r="X326" s="7"/>
      <c r="Y326" s="7"/>
      <c r="Z326" s="7"/>
    </row>
    <row r="327" spans="1:26" ht="21" customHeight="1" x14ac:dyDescent="0.2">
      <c r="A327" s="7"/>
      <c r="B327" s="6"/>
      <c r="C327" s="7"/>
      <c r="D327" s="7"/>
      <c r="E327" s="6"/>
      <c r="F327" s="6"/>
      <c r="G327" s="6"/>
      <c r="H327" s="6"/>
      <c r="I327" s="6"/>
      <c r="J327" s="7"/>
      <c r="K327" s="7"/>
      <c r="L327" s="7"/>
      <c r="M327" s="7"/>
      <c r="N327" s="7"/>
      <c r="O327" s="7"/>
      <c r="P327" s="7"/>
      <c r="Q327" s="7"/>
      <c r="R327" s="7"/>
      <c r="S327" s="7"/>
      <c r="T327" s="7"/>
      <c r="U327" s="7"/>
      <c r="V327" s="7"/>
      <c r="W327" s="7"/>
      <c r="X327" s="7"/>
      <c r="Y327" s="7"/>
      <c r="Z327" s="7"/>
    </row>
    <row r="328" spans="1:26" ht="21" customHeight="1" x14ac:dyDescent="0.2">
      <c r="A328" s="7"/>
      <c r="B328" s="6"/>
      <c r="C328" s="7"/>
      <c r="D328" s="7"/>
      <c r="E328" s="6"/>
      <c r="F328" s="6"/>
      <c r="G328" s="6"/>
      <c r="H328" s="6"/>
      <c r="I328" s="6"/>
      <c r="J328" s="7"/>
      <c r="K328" s="7"/>
      <c r="L328" s="7"/>
      <c r="M328" s="7"/>
      <c r="N328" s="7"/>
      <c r="O328" s="7"/>
      <c r="P328" s="7"/>
      <c r="Q328" s="7"/>
      <c r="R328" s="7"/>
      <c r="S328" s="7"/>
      <c r="T328" s="7"/>
      <c r="U328" s="7"/>
      <c r="V328" s="7"/>
      <c r="W328" s="7"/>
      <c r="X328" s="7"/>
      <c r="Y328" s="7"/>
      <c r="Z328" s="7"/>
    </row>
    <row r="329" spans="1:26" ht="21" customHeight="1" x14ac:dyDescent="0.2">
      <c r="A329" s="7"/>
      <c r="B329" s="6"/>
      <c r="C329" s="7"/>
      <c r="D329" s="7"/>
      <c r="E329" s="6"/>
      <c r="F329" s="6"/>
      <c r="G329" s="6"/>
      <c r="H329" s="6"/>
      <c r="I329" s="6"/>
      <c r="J329" s="7"/>
      <c r="K329" s="7"/>
      <c r="L329" s="7"/>
      <c r="M329" s="7"/>
      <c r="N329" s="7"/>
      <c r="O329" s="7"/>
      <c r="P329" s="7"/>
      <c r="Q329" s="7"/>
      <c r="R329" s="7"/>
      <c r="S329" s="7"/>
      <c r="T329" s="7"/>
      <c r="U329" s="7"/>
      <c r="V329" s="7"/>
      <c r="W329" s="7"/>
      <c r="X329" s="7"/>
      <c r="Y329" s="7"/>
      <c r="Z329" s="7"/>
    </row>
    <row r="330" spans="1:26" ht="21" customHeight="1" x14ac:dyDescent="0.2">
      <c r="A330" s="7"/>
      <c r="B330" s="6"/>
      <c r="C330" s="7"/>
      <c r="D330" s="7"/>
      <c r="E330" s="6"/>
      <c r="F330" s="6"/>
      <c r="G330" s="6"/>
      <c r="H330" s="6"/>
      <c r="I330" s="6"/>
      <c r="J330" s="7"/>
      <c r="K330" s="7"/>
      <c r="L330" s="7"/>
      <c r="M330" s="7"/>
      <c r="N330" s="7"/>
      <c r="O330" s="7"/>
      <c r="P330" s="7"/>
      <c r="Q330" s="7"/>
      <c r="R330" s="7"/>
      <c r="S330" s="7"/>
      <c r="T330" s="7"/>
      <c r="U330" s="7"/>
      <c r="V330" s="7"/>
      <c r="W330" s="7"/>
      <c r="X330" s="7"/>
      <c r="Y330" s="7"/>
      <c r="Z330" s="7"/>
    </row>
    <row r="331" spans="1:26" ht="21" customHeight="1" x14ac:dyDescent="0.2">
      <c r="A331" s="7"/>
      <c r="B331" s="6"/>
      <c r="C331" s="7"/>
      <c r="D331" s="7"/>
      <c r="E331" s="6"/>
      <c r="F331" s="6"/>
      <c r="G331" s="6"/>
      <c r="H331" s="6"/>
      <c r="I331" s="6"/>
      <c r="J331" s="7"/>
      <c r="K331" s="7"/>
      <c r="L331" s="7"/>
      <c r="M331" s="7"/>
      <c r="N331" s="7"/>
      <c r="O331" s="7"/>
      <c r="P331" s="7"/>
      <c r="Q331" s="7"/>
      <c r="R331" s="7"/>
      <c r="S331" s="7"/>
      <c r="T331" s="7"/>
      <c r="U331" s="7"/>
      <c r="V331" s="7"/>
      <c r="W331" s="7"/>
      <c r="X331" s="7"/>
      <c r="Y331" s="7"/>
      <c r="Z331" s="7"/>
    </row>
    <row r="332" spans="1:26" ht="21" customHeight="1" x14ac:dyDescent="0.2">
      <c r="A332" s="7"/>
      <c r="B332" s="6"/>
      <c r="C332" s="7"/>
      <c r="D332" s="7"/>
      <c r="E332" s="6"/>
      <c r="F332" s="6"/>
      <c r="G332" s="6"/>
      <c r="H332" s="6"/>
      <c r="I332" s="6"/>
      <c r="J332" s="7"/>
      <c r="K332" s="7"/>
      <c r="L332" s="7"/>
      <c r="M332" s="7"/>
      <c r="N332" s="7"/>
      <c r="O332" s="7"/>
      <c r="P332" s="7"/>
      <c r="Q332" s="7"/>
      <c r="R332" s="7"/>
      <c r="S332" s="7"/>
      <c r="T332" s="7"/>
      <c r="U332" s="7"/>
      <c r="V332" s="7"/>
      <c r="W332" s="7"/>
      <c r="X332" s="7"/>
      <c r="Y332" s="7"/>
      <c r="Z332" s="7"/>
    </row>
    <row r="333" spans="1:26" ht="21" customHeight="1" x14ac:dyDescent="0.2">
      <c r="A333" s="7"/>
      <c r="B333" s="6"/>
      <c r="C333" s="7"/>
      <c r="D333" s="7"/>
      <c r="E333" s="6"/>
      <c r="F333" s="6"/>
      <c r="G333" s="6"/>
      <c r="H333" s="6"/>
      <c r="I333" s="6"/>
      <c r="J333" s="7"/>
      <c r="K333" s="7"/>
      <c r="L333" s="7"/>
      <c r="M333" s="7"/>
      <c r="N333" s="7"/>
      <c r="O333" s="7"/>
      <c r="P333" s="7"/>
      <c r="Q333" s="7"/>
      <c r="R333" s="7"/>
      <c r="S333" s="7"/>
      <c r="T333" s="7"/>
      <c r="U333" s="7"/>
      <c r="V333" s="7"/>
      <c r="W333" s="7"/>
      <c r="X333" s="7"/>
      <c r="Y333" s="7"/>
      <c r="Z333" s="7"/>
    </row>
    <row r="334" spans="1:26" ht="21" customHeight="1" x14ac:dyDescent="0.2">
      <c r="A334" s="7"/>
      <c r="B334" s="6"/>
      <c r="C334" s="7"/>
      <c r="D334" s="7"/>
      <c r="E334" s="6"/>
      <c r="F334" s="6"/>
      <c r="G334" s="6"/>
      <c r="H334" s="6"/>
      <c r="I334" s="6"/>
      <c r="J334" s="7"/>
      <c r="K334" s="7"/>
      <c r="L334" s="7"/>
      <c r="M334" s="7"/>
      <c r="N334" s="7"/>
      <c r="O334" s="7"/>
      <c r="P334" s="7"/>
      <c r="Q334" s="7"/>
      <c r="R334" s="7"/>
      <c r="S334" s="7"/>
      <c r="T334" s="7"/>
      <c r="U334" s="7"/>
      <c r="V334" s="7"/>
      <c r="W334" s="7"/>
      <c r="X334" s="7"/>
      <c r="Y334" s="7"/>
      <c r="Z334" s="7"/>
    </row>
    <row r="335" spans="1:26" ht="21" customHeight="1" x14ac:dyDescent="0.2">
      <c r="A335" s="7"/>
      <c r="B335" s="6"/>
      <c r="C335" s="7"/>
      <c r="D335" s="7"/>
      <c r="E335" s="6"/>
      <c r="F335" s="6"/>
      <c r="G335" s="6"/>
      <c r="H335" s="6"/>
      <c r="I335" s="6"/>
      <c r="J335" s="7"/>
      <c r="K335" s="7"/>
      <c r="L335" s="7"/>
      <c r="M335" s="7"/>
      <c r="N335" s="7"/>
      <c r="O335" s="7"/>
      <c r="P335" s="7"/>
      <c r="Q335" s="7"/>
      <c r="R335" s="7"/>
      <c r="S335" s="7"/>
      <c r="T335" s="7"/>
      <c r="U335" s="7"/>
      <c r="V335" s="7"/>
      <c r="W335" s="7"/>
      <c r="X335" s="7"/>
      <c r="Y335" s="7"/>
      <c r="Z335" s="7"/>
    </row>
    <row r="336" spans="1:26" ht="21" customHeight="1" x14ac:dyDescent="0.2">
      <c r="A336" s="7"/>
      <c r="B336" s="6"/>
      <c r="C336" s="7"/>
      <c r="D336" s="7"/>
      <c r="E336" s="6"/>
      <c r="F336" s="6"/>
      <c r="G336" s="6"/>
      <c r="H336" s="6"/>
      <c r="I336" s="6"/>
      <c r="J336" s="7"/>
      <c r="K336" s="7"/>
      <c r="L336" s="7"/>
      <c r="M336" s="7"/>
      <c r="N336" s="7"/>
      <c r="O336" s="7"/>
      <c r="P336" s="7"/>
      <c r="Q336" s="7"/>
      <c r="R336" s="7"/>
      <c r="S336" s="7"/>
      <c r="T336" s="7"/>
      <c r="U336" s="7"/>
      <c r="V336" s="7"/>
      <c r="W336" s="7"/>
      <c r="X336" s="7"/>
      <c r="Y336" s="7"/>
      <c r="Z336" s="7"/>
    </row>
    <row r="337" spans="1:26" ht="21" customHeight="1" x14ac:dyDescent="0.2">
      <c r="A337" s="7"/>
      <c r="B337" s="6"/>
      <c r="C337" s="7"/>
      <c r="D337" s="7"/>
      <c r="E337" s="6"/>
      <c r="F337" s="6"/>
      <c r="G337" s="6"/>
      <c r="H337" s="6"/>
      <c r="I337" s="6"/>
      <c r="J337" s="7"/>
      <c r="K337" s="7"/>
      <c r="L337" s="7"/>
      <c r="M337" s="7"/>
      <c r="N337" s="7"/>
      <c r="O337" s="7"/>
      <c r="P337" s="7"/>
      <c r="Q337" s="7"/>
      <c r="R337" s="7"/>
      <c r="S337" s="7"/>
      <c r="T337" s="7"/>
      <c r="U337" s="7"/>
      <c r="V337" s="7"/>
      <c r="W337" s="7"/>
      <c r="X337" s="7"/>
      <c r="Y337" s="7"/>
      <c r="Z337" s="7"/>
    </row>
    <row r="338" spans="1:26" ht="21" customHeight="1" x14ac:dyDescent="0.2">
      <c r="A338" s="7"/>
      <c r="B338" s="6"/>
      <c r="C338" s="7"/>
      <c r="D338" s="7"/>
      <c r="E338" s="6"/>
      <c r="F338" s="6"/>
      <c r="G338" s="6"/>
      <c r="H338" s="6"/>
      <c r="I338" s="6"/>
      <c r="J338" s="7"/>
      <c r="K338" s="7"/>
      <c r="L338" s="7"/>
      <c r="M338" s="7"/>
      <c r="N338" s="7"/>
      <c r="O338" s="7"/>
      <c r="P338" s="7"/>
      <c r="Q338" s="7"/>
      <c r="R338" s="7"/>
      <c r="S338" s="7"/>
      <c r="T338" s="7"/>
      <c r="U338" s="7"/>
      <c r="V338" s="7"/>
      <c r="W338" s="7"/>
      <c r="X338" s="7"/>
      <c r="Y338" s="7"/>
      <c r="Z338" s="7"/>
    </row>
    <row r="339" spans="1:26" ht="21" customHeight="1" x14ac:dyDescent="0.2">
      <c r="A339" s="7"/>
      <c r="B339" s="6"/>
      <c r="C339" s="7"/>
      <c r="D339" s="7"/>
      <c r="E339" s="6"/>
      <c r="F339" s="6"/>
      <c r="G339" s="6"/>
      <c r="H339" s="6"/>
      <c r="I339" s="6"/>
      <c r="J339" s="7"/>
      <c r="K339" s="7"/>
      <c r="L339" s="7"/>
      <c r="M339" s="7"/>
      <c r="N339" s="7"/>
      <c r="O339" s="7"/>
      <c r="P339" s="7"/>
      <c r="Q339" s="7"/>
      <c r="R339" s="7"/>
      <c r="S339" s="7"/>
      <c r="T339" s="7"/>
      <c r="U339" s="7"/>
      <c r="V339" s="7"/>
      <c r="W339" s="7"/>
      <c r="X339" s="7"/>
      <c r="Y339" s="7"/>
      <c r="Z339" s="7"/>
    </row>
    <row r="340" spans="1:26" ht="21" customHeight="1" x14ac:dyDescent="0.2">
      <c r="A340" s="7"/>
      <c r="B340" s="6"/>
      <c r="C340" s="7"/>
      <c r="D340" s="7"/>
      <c r="E340" s="6"/>
      <c r="F340" s="6"/>
      <c r="G340" s="6"/>
      <c r="H340" s="6"/>
      <c r="I340" s="6"/>
      <c r="J340" s="7"/>
      <c r="K340" s="7"/>
      <c r="L340" s="7"/>
      <c r="M340" s="7"/>
      <c r="N340" s="7"/>
      <c r="O340" s="7"/>
      <c r="P340" s="7"/>
      <c r="Q340" s="7"/>
      <c r="R340" s="7"/>
      <c r="S340" s="7"/>
      <c r="T340" s="7"/>
      <c r="U340" s="7"/>
      <c r="V340" s="7"/>
      <c r="W340" s="7"/>
      <c r="X340" s="7"/>
      <c r="Y340" s="7"/>
      <c r="Z340" s="7"/>
    </row>
    <row r="341" spans="1:26" ht="21" customHeight="1" x14ac:dyDescent="0.2">
      <c r="A341" s="7"/>
      <c r="B341" s="6"/>
      <c r="C341" s="7"/>
      <c r="D341" s="7"/>
      <c r="E341" s="6"/>
      <c r="F341" s="6"/>
      <c r="G341" s="6"/>
      <c r="H341" s="6"/>
      <c r="I341" s="6"/>
      <c r="J341" s="7"/>
      <c r="K341" s="7"/>
      <c r="L341" s="7"/>
      <c r="M341" s="7"/>
      <c r="N341" s="7"/>
      <c r="O341" s="7"/>
      <c r="P341" s="7"/>
      <c r="Q341" s="7"/>
      <c r="R341" s="7"/>
      <c r="S341" s="7"/>
      <c r="T341" s="7"/>
      <c r="U341" s="7"/>
      <c r="V341" s="7"/>
      <c r="W341" s="7"/>
      <c r="X341" s="7"/>
      <c r="Y341" s="7"/>
      <c r="Z341" s="7"/>
    </row>
    <row r="342" spans="1:26" ht="21" customHeight="1" x14ac:dyDescent="0.2">
      <c r="A342" s="7"/>
      <c r="B342" s="6"/>
      <c r="C342" s="7"/>
      <c r="D342" s="7"/>
      <c r="E342" s="6"/>
      <c r="F342" s="6"/>
      <c r="G342" s="6"/>
      <c r="H342" s="6"/>
      <c r="I342" s="6"/>
      <c r="J342" s="7"/>
      <c r="K342" s="7"/>
      <c r="L342" s="7"/>
      <c r="M342" s="7"/>
      <c r="N342" s="7"/>
      <c r="O342" s="7"/>
      <c r="P342" s="7"/>
      <c r="Q342" s="7"/>
      <c r="R342" s="7"/>
      <c r="S342" s="7"/>
      <c r="T342" s="7"/>
      <c r="U342" s="7"/>
      <c r="V342" s="7"/>
      <c r="W342" s="7"/>
      <c r="X342" s="7"/>
      <c r="Y342" s="7"/>
      <c r="Z342" s="7"/>
    </row>
    <row r="343" spans="1:26" ht="21" customHeight="1" x14ac:dyDescent="0.2">
      <c r="A343" s="7"/>
      <c r="B343" s="6"/>
      <c r="C343" s="7"/>
      <c r="D343" s="7"/>
      <c r="E343" s="6"/>
      <c r="F343" s="6"/>
      <c r="G343" s="6"/>
      <c r="H343" s="6"/>
      <c r="I343" s="6"/>
      <c r="J343" s="7"/>
      <c r="K343" s="7"/>
      <c r="L343" s="7"/>
      <c r="M343" s="7"/>
      <c r="N343" s="7"/>
      <c r="O343" s="7"/>
      <c r="P343" s="7"/>
      <c r="Q343" s="7"/>
      <c r="R343" s="7"/>
      <c r="S343" s="7"/>
      <c r="T343" s="7"/>
      <c r="U343" s="7"/>
      <c r="V343" s="7"/>
      <c r="W343" s="7"/>
      <c r="X343" s="7"/>
      <c r="Y343" s="7"/>
      <c r="Z343" s="7"/>
    </row>
    <row r="344" spans="1:26" ht="21" customHeight="1" x14ac:dyDescent="0.2">
      <c r="A344" s="7"/>
      <c r="B344" s="6"/>
      <c r="C344" s="7"/>
      <c r="D344" s="7"/>
      <c r="E344" s="6"/>
      <c r="F344" s="6"/>
      <c r="G344" s="6"/>
      <c r="H344" s="6"/>
      <c r="I344" s="6"/>
      <c r="J344" s="7"/>
      <c r="K344" s="7"/>
      <c r="L344" s="7"/>
      <c r="M344" s="7"/>
      <c r="N344" s="7"/>
      <c r="O344" s="7"/>
      <c r="P344" s="7"/>
      <c r="Q344" s="7"/>
      <c r="R344" s="7"/>
      <c r="S344" s="7"/>
      <c r="T344" s="7"/>
      <c r="U344" s="7"/>
      <c r="V344" s="7"/>
      <c r="W344" s="7"/>
      <c r="X344" s="7"/>
      <c r="Y344" s="7"/>
      <c r="Z344" s="7"/>
    </row>
    <row r="345" spans="1:26" ht="21" customHeight="1" x14ac:dyDescent="0.2">
      <c r="A345" s="7"/>
      <c r="B345" s="6"/>
      <c r="C345" s="7"/>
      <c r="D345" s="7"/>
      <c r="E345" s="6"/>
      <c r="F345" s="6"/>
      <c r="G345" s="6"/>
      <c r="H345" s="6"/>
      <c r="I345" s="6"/>
      <c r="J345" s="7"/>
      <c r="K345" s="7"/>
      <c r="L345" s="7"/>
      <c r="M345" s="7"/>
      <c r="N345" s="7"/>
      <c r="O345" s="7"/>
      <c r="P345" s="7"/>
      <c r="Q345" s="7"/>
      <c r="R345" s="7"/>
      <c r="S345" s="7"/>
      <c r="T345" s="7"/>
      <c r="U345" s="7"/>
      <c r="V345" s="7"/>
      <c r="W345" s="7"/>
      <c r="X345" s="7"/>
      <c r="Y345" s="7"/>
      <c r="Z345" s="7"/>
    </row>
    <row r="346" spans="1:26" ht="21" customHeight="1" x14ac:dyDescent="0.2">
      <c r="A346" s="7"/>
      <c r="B346" s="6"/>
      <c r="C346" s="7"/>
      <c r="D346" s="7"/>
      <c r="E346" s="6"/>
      <c r="F346" s="6"/>
      <c r="G346" s="6"/>
      <c r="H346" s="6"/>
      <c r="I346" s="6"/>
      <c r="J346" s="7"/>
      <c r="K346" s="7"/>
      <c r="L346" s="7"/>
      <c r="M346" s="7"/>
      <c r="N346" s="7"/>
      <c r="O346" s="7"/>
      <c r="P346" s="7"/>
      <c r="Q346" s="7"/>
      <c r="R346" s="7"/>
      <c r="S346" s="7"/>
      <c r="T346" s="7"/>
      <c r="U346" s="7"/>
      <c r="V346" s="7"/>
      <c r="W346" s="7"/>
      <c r="X346" s="7"/>
      <c r="Y346" s="7"/>
      <c r="Z346" s="7"/>
    </row>
    <row r="347" spans="1:26" ht="21" customHeight="1" x14ac:dyDescent="0.2">
      <c r="A347" s="7"/>
      <c r="B347" s="6"/>
      <c r="C347" s="7"/>
      <c r="D347" s="7"/>
      <c r="E347" s="6"/>
      <c r="F347" s="6"/>
      <c r="G347" s="6"/>
      <c r="H347" s="6"/>
      <c r="I347" s="6"/>
      <c r="J347" s="7"/>
      <c r="K347" s="7"/>
      <c r="L347" s="7"/>
      <c r="M347" s="7"/>
      <c r="N347" s="7"/>
      <c r="O347" s="7"/>
      <c r="P347" s="7"/>
      <c r="Q347" s="7"/>
      <c r="R347" s="7"/>
      <c r="S347" s="7"/>
      <c r="T347" s="7"/>
      <c r="U347" s="7"/>
      <c r="V347" s="7"/>
      <c r="W347" s="7"/>
      <c r="X347" s="7"/>
      <c r="Y347" s="7"/>
      <c r="Z347" s="7"/>
    </row>
    <row r="348" spans="1:26" ht="21" customHeight="1" x14ac:dyDescent="0.2">
      <c r="A348" s="7"/>
      <c r="B348" s="6"/>
      <c r="C348" s="7"/>
      <c r="D348" s="7"/>
      <c r="E348" s="6"/>
      <c r="F348" s="6"/>
      <c r="G348" s="6"/>
      <c r="H348" s="6"/>
      <c r="I348" s="6"/>
      <c r="J348" s="7"/>
      <c r="K348" s="7"/>
      <c r="L348" s="7"/>
      <c r="M348" s="7"/>
      <c r="N348" s="7"/>
      <c r="O348" s="7"/>
      <c r="P348" s="7"/>
      <c r="Q348" s="7"/>
      <c r="R348" s="7"/>
      <c r="S348" s="7"/>
      <c r="T348" s="7"/>
      <c r="U348" s="7"/>
      <c r="V348" s="7"/>
      <c r="W348" s="7"/>
      <c r="X348" s="7"/>
      <c r="Y348" s="7"/>
      <c r="Z348" s="7"/>
    </row>
    <row r="349" spans="1:26" ht="21" customHeight="1" x14ac:dyDescent="0.2">
      <c r="A349" s="7"/>
      <c r="B349" s="6"/>
      <c r="C349" s="7"/>
      <c r="D349" s="7"/>
      <c r="E349" s="6"/>
      <c r="F349" s="6"/>
      <c r="G349" s="6"/>
      <c r="H349" s="6"/>
      <c r="I349" s="6"/>
      <c r="J349" s="7"/>
      <c r="K349" s="7"/>
      <c r="L349" s="7"/>
      <c r="M349" s="7"/>
      <c r="N349" s="7"/>
      <c r="O349" s="7"/>
      <c r="P349" s="7"/>
      <c r="Q349" s="7"/>
      <c r="R349" s="7"/>
      <c r="S349" s="7"/>
      <c r="T349" s="7"/>
      <c r="U349" s="7"/>
      <c r="V349" s="7"/>
      <c r="W349" s="7"/>
      <c r="X349" s="7"/>
      <c r="Y349" s="7"/>
      <c r="Z349" s="7"/>
    </row>
    <row r="350" spans="1:26" ht="21" customHeight="1" x14ac:dyDescent="0.2">
      <c r="A350" s="7"/>
      <c r="B350" s="6"/>
      <c r="C350" s="7"/>
      <c r="D350" s="7"/>
      <c r="E350" s="6"/>
      <c r="F350" s="6"/>
      <c r="G350" s="6"/>
      <c r="H350" s="6"/>
      <c r="I350" s="6"/>
      <c r="J350" s="7"/>
      <c r="K350" s="7"/>
      <c r="L350" s="7"/>
      <c r="M350" s="7"/>
      <c r="N350" s="7"/>
      <c r="O350" s="7"/>
      <c r="P350" s="7"/>
      <c r="Q350" s="7"/>
      <c r="R350" s="7"/>
      <c r="S350" s="7"/>
      <c r="T350" s="7"/>
      <c r="U350" s="7"/>
      <c r="V350" s="7"/>
      <c r="W350" s="7"/>
      <c r="X350" s="7"/>
      <c r="Y350" s="7"/>
      <c r="Z350" s="7"/>
    </row>
    <row r="351" spans="1:26" ht="21" customHeight="1" x14ac:dyDescent="0.2">
      <c r="A351" s="7"/>
      <c r="B351" s="6"/>
      <c r="C351" s="7"/>
      <c r="D351" s="7"/>
      <c r="E351" s="6"/>
      <c r="F351" s="6"/>
      <c r="G351" s="6"/>
      <c r="H351" s="6"/>
      <c r="I351" s="6"/>
      <c r="J351" s="7"/>
      <c r="K351" s="7"/>
      <c r="L351" s="7"/>
      <c r="M351" s="7"/>
      <c r="N351" s="7"/>
      <c r="O351" s="7"/>
      <c r="P351" s="7"/>
      <c r="Q351" s="7"/>
      <c r="R351" s="7"/>
      <c r="S351" s="7"/>
      <c r="T351" s="7"/>
      <c r="U351" s="7"/>
      <c r="V351" s="7"/>
      <c r="W351" s="7"/>
      <c r="X351" s="7"/>
      <c r="Y351" s="7"/>
      <c r="Z351" s="7"/>
    </row>
    <row r="352" spans="1:26" ht="21" customHeight="1" x14ac:dyDescent="0.2">
      <c r="A352" s="7"/>
      <c r="B352" s="6"/>
      <c r="C352" s="7"/>
      <c r="D352" s="7"/>
      <c r="E352" s="6"/>
      <c r="F352" s="6"/>
      <c r="G352" s="6"/>
      <c r="H352" s="6"/>
      <c r="I352" s="6"/>
      <c r="J352" s="7"/>
      <c r="K352" s="7"/>
      <c r="L352" s="7"/>
      <c r="M352" s="7"/>
      <c r="N352" s="7"/>
      <c r="O352" s="7"/>
      <c r="P352" s="7"/>
      <c r="Q352" s="7"/>
      <c r="R352" s="7"/>
      <c r="S352" s="7"/>
      <c r="T352" s="7"/>
      <c r="U352" s="7"/>
      <c r="V352" s="7"/>
      <c r="W352" s="7"/>
      <c r="X352" s="7"/>
      <c r="Y352" s="7"/>
      <c r="Z352" s="7"/>
    </row>
    <row r="353" spans="1:26" ht="21" customHeight="1" x14ac:dyDescent="0.2">
      <c r="A353" s="7"/>
      <c r="B353" s="6"/>
      <c r="C353" s="7"/>
      <c r="D353" s="7"/>
      <c r="E353" s="6"/>
      <c r="F353" s="6"/>
      <c r="G353" s="6"/>
      <c r="H353" s="6"/>
      <c r="I353" s="6"/>
      <c r="J353" s="7"/>
      <c r="K353" s="7"/>
      <c r="L353" s="7"/>
      <c r="M353" s="7"/>
      <c r="N353" s="7"/>
      <c r="O353" s="7"/>
      <c r="P353" s="7"/>
      <c r="Q353" s="7"/>
      <c r="R353" s="7"/>
      <c r="S353" s="7"/>
      <c r="T353" s="7"/>
      <c r="U353" s="7"/>
      <c r="V353" s="7"/>
      <c r="W353" s="7"/>
      <c r="X353" s="7"/>
      <c r="Y353" s="7"/>
      <c r="Z353" s="7"/>
    </row>
    <row r="354" spans="1:26" ht="21" customHeight="1" x14ac:dyDescent="0.2">
      <c r="A354" s="7"/>
      <c r="B354" s="6"/>
      <c r="C354" s="7"/>
      <c r="D354" s="7"/>
      <c r="E354" s="6"/>
      <c r="F354" s="6"/>
      <c r="G354" s="6"/>
      <c r="H354" s="6"/>
      <c r="I354" s="6"/>
      <c r="J354" s="7"/>
      <c r="K354" s="7"/>
      <c r="L354" s="7"/>
      <c r="M354" s="7"/>
      <c r="N354" s="7"/>
      <c r="O354" s="7"/>
      <c r="P354" s="7"/>
      <c r="Q354" s="7"/>
      <c r="R354" s="7"/>
      <c r="S354" s="7"/>
      <c r="T354" s="7"/>
      <c r="U354" s="7"/>
      <c r="V354" s="7"/>
      <c r="W354" s="7"/>
      <c r="X354" s="7"/>
      <c r="Y354" s="7"/>
      <c r="Z354" s="7"/>
    </row>
    <row r="355" spans="1:26" ht="21" customHeight="1" x14ac:dyDescent="0.2">
      <c r="A355" s="7"/>
      <c r="B355" s="6"/>
      <c r="C355" s="7"/>
      <c r="D355" s="7"/>
      <c r="E355" s="6"/>
      <c r="F355" s="6"/>
      <c r="G355" s="6"/>
      <c r="H355" s="6"/>
      <c r="I355" s="6"/>
      <c r="J355" s="7"/>
      <c r="K355" s="7"/>
      <c r="L355" s="7"/>
      <c r="M355" s="7"/>
      <c r="N355" s="7"/>
      <c r="O355" s="7"/>
      <c r="P355" s="7"/>
      <c r="Q355" s="7"/>
      <c r="R355" s="7"/>
      <c r="S355" s="7"/>
      <c r="T355" s="7"/>
      <c r="U355" s="7"/>
      <c r="V355" s="7"/>
      <c r="W355" s="7"/>
      <c r="X355" s="7"/>
      <c r="Y355" s="7"/>
      <c r="Z355" s="7"/>
    </row>
    <row r="356" spans="1:26" ht="21" customHeight="1" x14ac:dyDescent="0.2">
      <c r="A356" s="7"/>
      <c r="B356" s="6"/>
      <c r="C356" s="7"/>
      <c r="D356" s="7"/>
      <c r="E356" s="6"/>
      <c r="F356" s="6"/>
      <c r="G356" s="6"/>
      <c r="H356" s="6"/>
      <c r="I356" s="6"/>
      <c r="J356" s="7"/>
      <c r="K356" s="7"/>
      <c r="L356" s="7"/>
      <c r="M356" s="7"/>
      <c r="N356" s="7"/>
      <c r="O356" s="7"/>
      <c r="P356" s="7"/>
      <c r="Q356" s="7"/>
      <c r="R356" s="7"/>
      <c r="S356" s="7"/>
      <c r="T356" s="7"/>
      <c r="U356" s="7"/>
      <c r="V356" s="7"/>
      <c r="W356" s="7"/>
      <c r="X356" s="7"/>
      <c r="Y356" s="7"/>
      <c r="Z356" s="7"/>
    </row>
    <row r="357" spans="1:26" ht="21" customHeight="1" x14ac:dyDescent="0.2">
      <c r="A357" s="7"/>
      <c r="B357" s="6"/>
      <c r="C357" s="7"/>
      <c r="D357" s="7"/>
      <c r="E357" s="6"/>
      <c r="F357" s="6"/>
      <c r="G357" s="6"/>
      <c r="H357" s="6"/>
      <c r="I357" s="6"/>
      <c r="J357" s="7"/>
      <c r="K357" s="7"/>
      <c r="L357" s="7"/>
      <c r="M357" s="7"/>
      <c r="N357" s="7"/>
      <c r="O357" s="7"/>
      <c r="P357" s="7"/>
      <c r="Q357" s="7"/>
      <c r="R357" s="7"/>
      <c r="S357" s="7"/>
      <c r="T357" s="7"/>
      <c r="U357" s="7"/>
      <c r="V357" s="7"/>
      <c r="W357" s="7"/>
      <c r="X357" s="7"/>
      <c r="Y357" s="7"/>
      <c r="Z357" s="7"/>
    </row>
    <row r="358" spans="1:26" ht="21" customHeight="1" x14ac:dyDescent="0.2">
      <c r="A358" s="7"/>
      <c r="B358" s="6"/>
      <c r="C358" s="7"/>
      <c r="D358" s="7"/>
      <c r="E358" s="6"/>
      <c r="F358" s="6"/>
      <c r="G358" s="6"/>
      <c r="H358" s="6"/>
      <c r="I358" s="6"/>
      <c r="J358" s="7"/>
      <c r="K358" s="7"/>
      <c r="L358" s="7"/>
      <c r="M358" s="7"/>
      <c r="N358" s="7"/>
      <c r="O358" s="7"/>
      <c r="P358" s="7"/>
      <c r="Q358" s="7"/>
      <c r="R358" s="7"/>
      <c r="S358" s="7"/>
      <c r="T358" s="7"/>
      <c r="U358" s="7"/>
      <c r="V358" s="7"/>
      <c r="W358" s="7"/>
      <c r="X358" s="7"/>
      <c r="Y358" s="7"/>
      <c r="Z358" s="7"/>
    </row>
    <row r="359" spans="1:26" ht="21" customHeight="1" x14ac:dyDescent="0.2">
      <c r="A359" s="7"/>
      <c r="B359" s="6"/>
      <c r="C359" s="7"/>
      <c r="D359" s="7"/>
      <c r="E359" s="6"/>
      <c r="F359" s="6"/>
      <c r="G359" s="6"/>
      <c r="H359" s="6"/>
      <c r="I359" s="6"/>
      <c r="J359" s="7"/>
      <c r="K359" s="7"/>
      <c r="L359" s="7"/>
      <c r="M359" s="7"/>
      <c r="N359" s="7"/>
      <c r="O359" s="7"/>
      <c r="P359" s="7"/>
      <c r="Q359" s="7"/>
      <c r="R359" s="7"/>
      <c r="S359" s="7"/>
      <c r="T359" s="7"/>
      <c r="U359" s="7"/>
      <c r="V359" s="7"/>
      <c r="W359" s="7"/>
      <c r="X359" s="7"/>
      <c r="Y359" s="7"/>
      <c r="Z359" s="7"/>
    </row>
    <row r="360" spans="1:26" ht="21" customHeight="1" x14ac:dyDescent="0.2">
      <c r="A360" s="7"/>
      <c r="B360" s="6"/>
      <c r="C360" s="7"/>
      <c r="D360" s="7"/>
      <c r="E360" s="6"/>
      <c r="F360" s="6"/>
      <c r="G360" s="6"/>
      <c r="H360" s="6"/>
      <c r="I360" s="6"/>
      <c r="J360" s="7"/>
      <c r="K360" s="7"/>
      <c r="L360" s="7"/>
      <c r="M360" s="7"/>
      <c r="N360" s="7"/>
      <c r="O360" s="7"/>
      <c r="P360" s="7"/>
      <c r="Q360" s="7"/>
      <c r="R360" s="7"/>
      <c r="S360" s="7"/>
      <c r="T360" s="7"/>
      <c r="U360" s="7"/>
      <c r="V360" s="7"/>
      <c r="W360" s="7"/>
      <c r="X360" s="7"/>
      <c r="Y360" s="7"/>
      <c r="Z360" s="7"/>
    </row>
    <row r="361" spans="1:26" ht="21" customHeight="1" x14ac:dyDescent="0.2">
      <c r="A361" s="7"/>
      <c r="B361" s="6"/>
      <c r="C361" s="7"/>
      <c r="D361" s="7"/>
      <c r="E361" s="6"/>
      <c r="F361" s="6"/>
      <c r="G361" s="6"/>
      <c r="H361" s="6"/>
      <c r="I361" s="6"/>
      <c r="J361" s="7"/>
      <c r="K361" s="7"/>
      <c r="L361" s="7"/>
      <c r="M361" s="7"/>
      <c r="N361" s="7"/>
      <c r="O361" s="7"/>
      <c r="P361" s="7"/>
      <c r="Q361" s="7"/>
      <c r="R361" s="7"/>
      <c r="S361" s="7"/>
      <c r="T361" s="7"/>
      <c r="U361" s="7"/>
      <c r="V361" s="7"/>
      <c r="W361" s="7"/>
      <c r="X361" s="7"/>
      <c r="Y361" s="7"/>
      <c r="Z361" s="7"/>
    </row>
    <row r="362" spans="1:26" ht="21" customHeight="1" x14ac:dyDescent="0.2">
      <c r="A362" s="7"/>
      <c r="B362" s="6"/>
      <c r="C362" s="7"/>
      <c r="D362" s="7"/>
      <c r="E362" s="6"/>
      <c r="F362" s="6"/>
      <c r="G362" s="6"/>
      <c r="H362" s="6"/>
      <c r="I362" s="6"/>
      <c r="J362" s="7"/>
      <c r="K362" s="7"/>
      <c r="L362" s="7"/>
      <c r="M362" s="7"/>
      <c r="N362" s="7"/>
      <c r="O362" s="7"/>
      <c r="P362" s="7"/>
      <c r="Q362" s="7"/>
      <c r="R362" s="7"/>
      <c r="S362" s="7"/>
      <c r="T362" s="7"/>
      <c r="U362" s="7"/>
      <c r="V362" s="7"/>
      <c r="W362" s="7"/>
      <c r="X362" s="7"/>
      <c r="Y362" s="7"/>
      <c r="Z362" s="7"/>
    </row>
    <row r="363" spans="1:26" ht="21" customHeight="1" x14ac:dyDescent="0.2">
      <c r="A363" s="7"/>
      <c r="B363" s="6"/>
      <c r="C363" s="7"/>
      <c r="D363" s="7"/>
      <c r="E363" s="6"/>
      <c r="F363" s="6"/>
      <c r="G363" s="6"/>
      <c r="H363" s="6"/>
      <c r="I363" s="6"/>
      <c r="J363" s="7"/>
      <c r="K363" s="7"/>
      <c r="L363" s="7"/>
      <c r="M363" s="7"/>
      <c r="N363" s="7"/>
      <c r="O363" s="7"/>
      <c r="P363" s="7"/>
      <c r="Q363" s="7"/>
      <c r="R363" s="7"/>
      <c r="S363" s="7"/>
      <c r="T363" s="7"/>
      <c r="U363" s="7"/>
      <c r="V363" s="7"/>
      <c r="W363" s="7"/>
      <c r="X363" s="7"/>
      <c r="Y363" s="7"/>
      <c r="Z363" s="7"/>
    </row>
    <row r="364" spans="1:26" ht="21" customHeight="1" x14ac:dyDescent="0.2">
      <c r="A364" s="7"/>
      <c r="B364" s="6"/>
      <c r="C364" s="7"/>
      <c r="D364" s="7"/>
      <c r="E364" s="6"/>
      <c r="F364" s="6"/>
      <c r="G364" s="6"/>
      <c r="H364" s="6"/>
      <c r="I364" s="6"/>
      <c r="J364" s="7"/>
      <c r="K364" s="7"/>
      <c r="L364" s="7"/>
      <c r="M364" s="7"/>
      <c r="N364" s="7"/>
      <c r="O364" s="7"/>
      <c r="P364" s="7"/>
      <c r="Q364" s="7"/>
      <c r="R364" s="7"/>
      <c r="S364" s="7"/>
      <c r="T364" s="7"/>
      <c r="U364" s="7"/>
      <c r="V364" s="7"/>
      <c r="W364" s="7"/>
      <c r="X364" s="7"/>
      <c r="Y364" s="7"/>
      <c r="Z364" s="7"/>
    </row>
    <row r="365" spans="1:26" ht="21" customHeight="1" x14ac:dyDescent="0.2">
      <c r="A365" s="7"/>
      <c r="B365" s="6"/>
      <c r="C365" s="7"/>
      <c r="D365" s="7"/>
      <c r="E365" s="6"/>
      <c r="F365" s="6"/>
      <c r="G365" s="6"/>
      <c r="H365" s="6"/>
      <c r="I365" s="6"/>
      <c r="J365" s="7"/>
      <c r="K365" s="7"/>
      <c r="L365" s="7"/>
      <c r="M365" s="7"/>
      <c r="N365" s="7"/>
      <c r="O365" s="7"/>
      <c r="P365" s="7"/>
      <c r="Q365" s="7"/>
      <c r="R365" s="7"/>
      <c r="S365" s="7"/>
      <c r="T365" s="7"/>
      <c r="U365" s="7"/>
      <c r="V365" s="7"/>
      <c r="W365" s="7"/>
      <c r="X365" s="7"/>
      <c r="Y365" s="7"/>
      <c r="Z365" s="7"/>
    </row>
    <row r="366" spans="1:26" ht="21" customHeight="1" x14ac:dyDescent="0.2">
      <c r="A366" s="7"/>
      <c r="B366" s="6"/>
      <c r="C366" s="7"/>
      <c r="D366" s="7"/>
      <c r="E366" s="6"/>
      <c r="F366" s="6"/>
      <c r="G366" s="6"/>
      <c r="H366" s="6"/>
      <c r="I366" s="6"/>
      <c r="J366" s="7"/>
      <c r="K366" s="7"/>
      <c r="L366" s="7"/>
      <c r="M366" s="7"/>
      <c r="N366" s="7"/>
      <c r="O366" s="7"/>
      <c r="P366" s="7"/>
      <c r="Q366" s="7"/>
      <c r="R366" s="7"/>
      <c r="S366" s="7"/>
      <c r="T366" s="7"/>
      <c r="U366" s="7"/>
      <c r="V366" s="7"/>
      <c r="W366" s="7"/>
      <c r="X366" s="7"/>
      <c r="Y366" s="7"/>
      <c r="Z366" s="7"/>
    </row>
    <row r="367" spans="1:26" ht="21" customHeight="1" x14ac:dyDescent="0.2">
      <c r="A367" s="7"/>
      <c r="B367" s="6"/>
      <c r="C367" s="7"/>
      <c r="D367" s="7"/>
      <c r="E367" s="6"/>
      <c r="F367" s="6"/>
      <c r="G367" s="6"/>
      <c r="H367" s="6"/>
      <c r="I367" s="6"/>
      <c r="J367" s="7"/>
      <c r="K367" s="7"/>
      <c r="L367" s="7"/>
      <c r="M367" s="7"/>
      <c r="N367" s="7"/>
      <c r="O367" s="7"/>
      <c r="P367" s="7"/>
      <c r="Q367" s="7"/>
      <c r="R367" s="7"/>
      <c r="S367" s="7"/>
      <c r="T367" s="7"/>
      <c r="U367" s="7"/>
      <c r="V367" s="7"/>
      <c r="W367" s="7"/>
      <c r="X367" s="7"/>
      <c r="Y367" s="7"/>
      <c r="Z367" s="7"/>
    </row>
    <row r="368" spans="1:26" ht="21" customHeight="1" x14ac:dyDescent="0.2">
      <c r="A368" s="7"/>
      <c r="B368" s="6"/>
      <c r="C368" s="7"/>
      <c r="D368" s="7"/>
      <c r="E368" s="6"/>
      <c r="F368" s="6"/>
      <c r="G368" s="6"/>
      <c r="H368" s="6"/>
      <c r="I368" s="6"/>
      <c r="J368" s="7"/>
      <c r="K368" s="7"/>
      <c r="L368" s="7"/>
      <c r="M368" s="7"/>
      <c r="N368" s="7"/>
      <c r="O368" s="7"/>
      <c r="P368" s="7"/>
      <c r="Q368" s="7"/>
      <c r="R368" s="7"/>
      <c r="S368" s="7"/>
      <c r="T368" s="7"/>
      <c r="U368" s="7"/>
      <c r="V368" s="7"/>
      <c r="W368" s="7"/>
      <c r="X368" s="7"/>
      <c r="Y368" s="7"/>
      <c r="Z368" s="7"/>
    </row>
    <row r="369" spans="1:26" ht="21" customHeight="1" x14ac:dyDescent="0.2">
      <c r="A369" s="7"/>
      <c r="B369" s="6"/>
      <c r="C369" s="7"/>
      <c r="D369" s="7"/>
      <c r="E369" s="6"/>
      <c r="F369" s="6"/>
      <c r="G369" s="6"/>
      <c r="H369" s="6"/>
      <c r="I369" s="6"/>
      <c r="J369" s="7"/>
      <c r="K369" s="7"/>
      <c r="L369" s="7"/>
      <c r="M369" s="7"/>
      <c r="N369" s="7"/>
      <c r="O369" s="7"/>
      <c r="P369" s="7"/>
      <c r="Q369" s="7"/>
      <c r="R369" s="7"/>
      <c r="S369" s="7"/>
      <c r="T369" s="7"/>
      <c r="U369" s="7"/>
      <c r="V369" s="7"/>
      <c r="W369" s="7"/>
      <c r="X369" s="7"/>
      <c r="Y369" s="7"/>
      <c r="Z369" s="7"/>
    </row>
    <row r="370" spans="1:26" ht="21" customHeight="1" x14ac:dyDescent="0.2">
      <c r="A370" s="7"/>
      <c r="B370" s="6"/>
      <c r="C370" s="7"/>
      <c r="D370" s="7"/>
      <c r="E370" s="6"/>
      <c r="F370" s="6"/>
      <c r="G370" s="6"/>
      <c r="H370" s="6"/>
      <c r="I370" s="6"/>
      <c r="J370" s="7"/>
      <c r="K370" s="7"/>
      <c r="L370" s="7"/>
      <c r="M370" s="7"/>
      <c r="N370" s="7"/>
      <c r="O370" s="7"/>
      <c r="P370" s="7"/>
      <c r="Q370" s="7"/>
      <c r="R370" s="7"/>
      <c r="S370" s="7"/>
      <c r="T370" s="7"/>
      <c r="U370" s="7"/>
      <c r="V370" s="7"/>
      <c r="W370" s="7"/>
      <c r="X370" s="7"/>
      <c r="Y370" s="7"/>
      <c r="Z370" s="7"/>
    </row>
    <row r="371" spans="1:26" ht="21" customHeight="1" x14ac:dyDescent="0.2">
      <c r="A371" s="7"/>
      <c r="B371" s="6"/>
      <c r="C371" s="7"/>
      <c r="D371" s="7"/>
      <c r="E371" s="6"/>
      <c r="F371" s="6"/>
      <c r="G371" s="6"/>
      <c r="H371" s="6"/>
      <c r="I371" s="6"/>
      <c r="J371" s="7"/>
      <c r="K371" s="7"/>
      <c r="L371" s="7"/>
      <c r="M371" s="7"/>
      <c r="N371" s="7"/>
      <c r="O371" s="7"/>
      <c r="P371" s="7"/>
      <c r="Q371" s="7"/>
      <c r="R371" s="7"/>
      <c r="S371" s="7"/>
      <c r="T371" s="7"/>
      <c r="U371" s="7"/>
      <c r="V371" s="7"/>
      <c r="W371" s="7"/>
      <c r="X371" s="7"/>
      <c r="Y371" s="7"/>
      <c r="Z371" s="7"/>
    </row>
    <row r="372" spans="1:26" ht="21" customHeight="1" x14ac:dyDescent="0.2">
      <c r="A372" s="7"/>
      <c r="B372" s="6"/>
      <c r="C372" s="7"/>
      <c r="D372" s="7"/>
      <c r="E372" s="6"/>
      <c r="F372" s="6"/>
      <c r="G372" s="6"/>
      <c r="H372" s="6"/>
      <c r="I372" s="6"/>
      <c r="J372" s="7"/>
      <c r="K372" s="7"/>
      <c r="L372" s="7"/>
      <c r="M372" s="7"/>
      <c r="N372" s="7"/>
      <c r="O372" s="7"/>
      <c r="P372" s="7"/>
      <c r="Q372" s="7"/>
      <c r="R372" s="7"/>
      <c r="S372" s="7"/>
      <c r="T372" s="7"/>
      <c r="U372" s="7"/>
      <c r="V372" s="7"/>
      <c r="W372" s="7"/>
      <c r="X372" s="7"/>
      <c r="Y372" s="7"/>
      <c r="Z372" s="7"/>
    </row>
    <row r="373" spans="1:26" ht="21" customHeight="1" x14ac:dyDescent="0.2">
      <c r="A373" s="7"/>
      <c r="B373" s="6"/>
      <c r="C373" s="7"/>
      <c r="D373" s="7"/>
      <c r="E373" s="6"/>
      <c r="F373" s="6"/>
      <c r="G373" s="6"/>
      <c r="H373" s="6"/>
      <c r="I373" s="6"/>
      <c r="J373" s="7"/>
      <c r="K373" s="7"/>
      <c r="L373" s="7"/>
      <c r="M373" s="7"/>
      <c r="N373" s="7"/>
      <c r="O373" s="7"/>
      <c r="P373" s="7"/>
      <c r="Q373" s="7"/>
      <c r="R373" s="7"/>
      <c r="S373" s="7"/>
      <c r="T373" s="7"/>
      <c r="U373" s="7"/>
      <c r="V373" s="7"/>
      <c r="W373" s="7"/>
      <c r="X373" s="7"/>
      <c r="Y373" s="7"/>
      <c r="Z373" s="7"/>
    </row>
    <row r="374" spans="1:26" ht="21" customHeight="1" x14ac:dyDescent="0.2">
      <c r="A374" s="7"/>
      <c r="B374" s="6"/>
      <c r="C374" s="7"/>
      <c r="D374" s="7"/>
      <c r="E374" s="6"/>
      <c r="F374" s="6"/>
      <c r="G374" s="6"/>
      <c r="H374" s="6"/>
      <c r="I374" s="6"/>
      <c r="J374" s="7"/>
      <c r="K374" s="7"/>
      <c r="L374" s="7"/>
      <c r="M374" s="7"/>
      <c r="N374" s="7"/>
      <c r="O374" s="7"/>
      <c r="P374" s="7"/>
      <c r="Q374" s="7"/>
      <c r="R374" s="7"/>
      <c r="S374" s="7"/>
      <c r="T374" s="7"/>
      <c r="U374" s="7"/>
      <c r="V374" s="7"/>
      <c r="W374" s="7"/>
      <c r="X374" s="7"/>
      <c r="Y374" s="7"/>
      <c r="Z374" s="7"/>
    </row>
    <row r="375" spans="1:26" ht="21" customHeight="1" x14ac:dyDescent="0.2">
      <c r="A375" s="7"/>
      <c r="B375" s="6"/>
      <c r="C375" s="7"/>
      <c r="D375" s="7"/>
      <c r="E375" s="6"/>
      <c r="F375" s="6"/>
      <c r="G375" s="6"/>
      <c r="H375" s="6"/>
      <c r="I375" s="6"/>
      <c r="J375" s="7"/>
      <c r="K375" s="7"/>
      <c r="L375" s="7"/>
      <c r="M375" s="7"/>
      <c r="N375" s="7"/>
      <c r="O375" s="7"/>
      <c r="P375" s="7"/>
      <c r="Q375" s="7"/>
      <c r="R375" s="7"/>
      <c r="S375" s="7"/>
      <c r="T375" s="7"/>
      <c r="U375" s="7"/>
      <c r="V375" s="7"/>
      <c r="W375" s="7"/>
      <c r="X375" s="7"/>
      <c r="Y375" s="7"/>
      <c r="Z375" s="7"/>
    </row>
    <row r="376" spans="1:26" ht="21" customHeight="1" x14ac:dyDescent="0.2">
      <c r="A376" s="7"/>
      <c r="B376" s="6"/>
      <c r="C376" s="7"/>
      <c r="D376" s="7"/>
      <c r="E376" s="6"/>
      <c r="F376" s="6"/>
      <c r="G376" s="6"/>
      <c r="H376" s="6"/>
      <c r="I376" s="6"/>
      <c r="J376" s="7"/>
      <c r="K376" s="7"/>
      <c r="L376" s="7"/>
      <c r="M376" s="7"/>
      <c r="N376" s="7"/>
      <c r="O376" s="7"/>
      <c r="P376" s="7"/>
      <c r="Q376" s="7"/>
      <c r="R376" s="7"/>
      <c r="S376" s="7"/>
      <c r="T376" s="7"/>
      <c r="U376" s="7"/>
      <c r="V376" s="7"/>
      <c r="W376" s="7"/>
      <c r="X376" s="7"/>
      <c r="Y376" s="7"/>
      <c r="Z376" s="7"/>
    </row>
    <row r="377" spans="1:26" ht="21" customHeight="1" x14ac:dyDescent="0.2">
      <c r="A377" s="7"/>
      <c r="B377" s="6"/>
      <c r="C377" s="7"/>
      <c r="D377" s="7"/>
      <c r="E377" s="6"/>
      <c r="F377" s="6"/>
      <c r="G377" s="6"/>
      <c r="H377" s="6"/>
      <c r="I377" s="6"/>
      <c r="J377" s="7"/>
      <c r="K377" s="7"/>
      <c r="L377" s="7"/>
      <c r="M377" s="7"/>
      <c r="N377" s="7"/>
      <c r="O377" s="7"/>
      <c r="P377" s="7"/>
      <c r="Q377" s="7"/>
      <c r="R377" s="7"/>
      <c r="S377" s="7"/>
      <c r="T377" s="7"/>
      <c r="U377" s="7"/>
      <c r="V377" s="7"/>
      <c r="W377" s="7"/>
      <c r="X377" s="7"/>
      <c r="Y377" s="7"/>
      <c r="Z377" s="7"/>
    </row>
    <row r="378" spans="1:26" ht="21" customHeight="1" x14ac:dyDescent="0.2">
      <c r="A378" s="7"/>
      <c r="B378" s="6"/>
      <c r="C378" s="7"/>
      <c r="D378" s="7"/>
      <c r="E378" s="6"/>
      <c r="F378" s="6"/>
      <c r="G378" s="6"/>
      <c r="H378" s="6"/>
      <c r="I378" s="6"/>
      <c r="J378" s="7"/>
      <c r="K378" s="7"/>
      <c r="L378" s="7"/>
      <c r="M378" s="7"/>
      <c r="N378" s="7"/>
      <c r="O378" s="7"/>
      <c r="P378" s="7"/>
      <c r="Q378" s="7"/>
      <c r="R378" s="7"/>
      <c r="S378" s="7"/>
      <c r="T378" s="7"/>
      <c r="U378" s="7"/>
      <c r="V378" s="7"/>
      <c r="W378" s="7"/>
      <c r="X378" s="7"/>
      <c r="Y378" s="7"/>
      <c r="Z378" s="7"/>
    </row>
    <row r="379" spans="1:26" ht="21" customHeight="1" x14ac:dyDescent="0.2">
      <c r="A379" s="7"/>
      <c r="B379" s="6"/>
      <c r="C379" s="7"/>
      <c r="D379" s="7"/>
      <c r="E379" s="6"/>
      <c r="F379" s="6"/>
      <c r="G379" s="6"/>
      <c r="H379" s="6"/>
      <c r="I379" s="6"/>
      <c r="J379" s="7"/>
      <c r="K379" s="7"/>
      <c r="L379" s="7"/>
      <c r="M379" s="7"/>
      <c r="N379" s="7"/>
      <c r="O379" s="7"/>
      <c r="P379" s="7"/>
      <c r="Q379" s="7"/>
      <c r="R379" s="7"/>
      <c r="S379" s="7"/>
      <c r="T379" s="7"/>
      <c r="U379" s="7"/>
      <c r="V379" s="7"/>
      <c r="W379" s="7"/>
      <c r="X379" s="7"/>
      <c r="Y379" s="7"/>
      <c r="Z379" s="7"/>
    </row>
    <row r="380" spans="1:26" ht="21" customHeight="1" x14ac:dyDescent="0.2">
      <c r="A380" s="7"/>
      <c r="B380" s="6"/>
      <c r="C380" s="7"/>
      <c r="D380" s="7"/>
      <c r="E380" s="6"/>
      <c r="F380" s="6"/>
      <c r="G380" s="6"/>
      <c r="H380" s="6"/>
      <c r="I380" s="6"/>
      <c r="J380" s="7"/>
      <c r="K380" s="7"/>
      <c r="L380" s="7"/>
      <c r="M380" s="7"/>
      <c r="N380" s="7"/>
      <c r="O380" s="7"/>
      <c r="P380" s="7"/>
      <c r="Q380" s="7"/>
      <c r="R380" s="7"/>
      <c r="S380" s="7"/>
      <c r="T380" s="7"/>
      <c r="U380" s="7"/>
      <c r="V380" s="7"/>
      <c r="W380" s="7"/>
      <c r="X380" s="7"/>
      <c r="Y380" s="7"/>
      <c r="Z380" s="7"/>
    </row>
    <row r="381" spans="1:26" ht="21" customHeight="1" x14ac:dyDescent="0.2">
      <c r="A381" s="7"/>
      <c r="B381" s="6"/>
      <c r="C381" s="7"/>
      <c r="D381" s="7"/>
      <c r="E381" s="6"/>
      <c r="F381" s="6"/>
      <c r="G381" s="6"/>
      <c r="H381" s="6"/>
      <c r="I381" s="6"/>
      <c r="J381" s="7"/>
      <c r="K381" s="7"/>
      <c r="L381" s="7"/>
      <c r="M381" s="7"/>
      <c r="N381" s="7"/>
      <c r="O381" s="7"/>
      <c r="P381" s="7"/>
      <c r="Q381" s="7"/>
      <c r="R381" s="7"/>
      <c r="S381" s="7"/>
      <c r="T381" s="7"/>
      <c r="U381" s="7"/>
      <c r="V381" s="7"/>
      <c r="W381" s="7"/>
      <c r="X381" s="7"/>
      <c r="Y381" s="7"/>
      <c r="Z381" s="7"/>
    </row>
    <row r="382" spans="1:26" ht="21" customHeight="1" x14ac:dyDescent="0.2">
      <c r="A382" s="7"/>
      <c r="B382" s="6"/>
      <c r="C382" s="7"/>
      <c r="D382" s="7"/>
      <c r="E382" s="6"/>
      <c r="F382" s="6"/>
      <c r="G382" s="6"/>
      <c r="H382" s="6"/>
      <c r="I382" s="6"/>
      <c r="J382" s="7"/>
      <c r="K382" s="7"/>
      <c r="L382" s="7"/>
      <c r="M382" s="7"/>
      <c r="N382" s="7"/>
      <c r="O382" s="7"/>
      <c r="P382" s="7"/>
      <c r="Q382" s="7"/>
      <c r="R382" s="7"/>
      <c r="S382" s="7"/>
      <c r="T382" s="7"/>
      <c r="U382" s="7"/>
      <c r="V382" s="7"/>
      <c r="W382" s="7"/>
      <c r="X382" s="7"/>
      <c r="Y382" s="7"/>
      <c r="Z382" s="7"/>
    </row>
    <row r="383" spans="1:26" ht="21" customHeight="1" x14ac:dyDescent="0.2">
      <c r="A383" s="7"/>
      <c r="B383" s="6"/>
      <c r="C383" s="7"/>
      <c r="D383" s="7"/>
      <c r="E383" s="6"/>
      <c r="F383" s="6"/>
      <c r="G383" s="6"/>
      <c r="H383" s="6"/>
      <c r="I383" s="6"/>
      <c r="J383" s="7"/>
      <c r="K383" s="7"/>
      <c r="L383" s="7"/>
      <c r="M383" s="7"/>
      <c r="N383" s="7"/>
      <c r="O383" s="7"/>
      <c r="P383" s="7"/>
      <c r="Q383" s="7"/>
      <c r="R383" s="7"/>
      <c r="S383" s="7"/>
      <c r="T383" s="7"/>
      <c r="U383" s="7"/>
      <c r="V383" s="7"/>
      <c r="W383" s="7"/>
      <c r="X383" s="7"/>
      <c r="Y383" s="7"/>
      <c r="Z383" s="7"/>
    </row>
    <row r="384" spans="1:26" ht="21" customHeight="1" x14ac:dyDescent="0.2">
      <c r="A384" s="7"/>
      <c r="B384" s="6"/>
      <c r="C384" s="7"/>
      <c r="D384" s="7"/>
      <c r="E384" s="6"/>
      <c r="F384" s="6"/>
      <c r="G384" s="6"/>
      <c r="H384" s="6"/>
      <c r="I384" s="6"/>
      <c r="J384" s="7"/>
      <c r="K384" s="7"/>
      <c r="L384" s="7"/>
      <c r="M384" s="7"/>
      <c r="N384" s="7"/>
      <c r="O384" s="7"/>
      <c r="P384" s="7"/>
      <c r="Q384" s="7"/>
      <c r="R384" s="7"/>
      <c r="S384" s="7"/>
      <c r="T384" s="7"/>
      <c r="U384" s="7"/>
      <c r="V384" s="7"/>
      <c r="W384" s="7"/>
      <c r="X384" s="7"/>
      <c r="Y384" s="7"/>
      <c r="Z384" s="7"/>
    </row>
    <row r="385" spans="1:26" ht="21" customHeight="1" x14ac:dyDescent="0.2">
      <c r="A385" s="7"/>
      <c r="B385" s="6"/>
      <c r="C385" s="7"/>
      <c r="D385" s="7"/>
      <c r="E385" s="6"/>
      <c r="F385" s="6"/>
      <c r="G385" s="6"/>
      <c r="H385" s="6"/>
      <c r="I385" s="6"/>
      <c r="J385" s="7"/>
      <c r="K385" s="7"/>
      <c r="L385" s="7"/>
      <c r="M385" s="7"/>
      <c r="N385" s="7"/>
      <c r="O385" s="7"/>
      <c r="P385" s="7"/>
      <c r="Q385" s="7"/>
      <c r="R385" s="7"/>
      <c r="S385" s="7"/>
      <c r="T385" s="7"/>
      <c r="U385" s="7"/>
      <c r="V385" s="7"/>
      <c r="W385" s="7"/>
      <c r="X385" s="7"/>
      <c r="Y385" s="7"/>
      <c r="Z385" s="7"/>
    </row>
    <row r="386" spans="1:26" ht="21" customHeight="1" x14ac:dyDescent="0.2">
      <c r="A386" s="7"/>
      <c r="B386" s="6"/>
      <c r="C386" s="7"/>
      <c r="D386" s="7"/>
      <c r="E386" s="6"/>
      <c r="F386" s="6"/>
      <c r="G386" s="6"/>
      <c r="H386" s="6"/>
      <c r="I386" s="6"/>
      <c r="J386" s="7"/>
      <c r="K386" s="7"/>
      <c r="L386" s="7"/>
      <c r="M386" s="7"/>
      <c r="N386" s="7"/>
      <c r="O386" s="7"/>
      <c r="P386" s="7"/>
      <c r="Q386" s="7"/>
      <c r="R386" s="7"/>
      <c r="S386" s="7"/>
      <c r="T386" s="7"/>
      <c r="U386" s="7"/>
      <c r="V386" s="7"/>
      <c r="W386" s="7"/>
      <c r="X386" s="7"/>
      <c r="Y386" s="7"/>
      <c r="Z386" s="7"/>
    </row>
    <row r="387" spans="1:26" ht="21" customHeight="1" x14ac:dyDescent="0.2">
      <c r="A387" s="7"/>
      <c r="B387" s="6"/>
      <c r="C387" s="7"/>
      <c r="D387" s="7"/>
      <c r="E387" s="6"/>
      <c r="F387" s="6"/>
      <c r="G387" s="6"/>
      <c r="H387" s="6"/>
      <c r="I387" s="6"/>
      <c r="J387" s="7"/>
      <c r="K387" s="7"/>
      <c r="L387" s="7"/>
      <c r="M387" s="7"/>
      <c r="N387" s="7"/>
      <c r="O387" s="7"/>
      <c r="P387" s="7"/>
      <c r="Q387" s="7"/>
      <c r="R387" s="7"/>
      <c r="S387" s="7"/>
      <c r="T387" s="7"/>
      <c r="U387" s="7"/>
      <c r="V387" s="7"/>
      <c r="W387" s="7"/>
      <c r="X387" s="7"/>
      <c r="Y387" s="7"/>
      <c r="Z387" s="7"/>
    </row>
    <row r="388" spans="1:26" ht="21" customHeight="1" x14ac:dyDescent="0.2">
      <c r="A388" s="7"/>
      <c r="B388" s="6"/>
      <c r="C388" s="7"/>
      <c r="D388" s="7"/>
      <c r="E388" s="6"/>
      <c r="F388" s="6"/>
      <c r="G388" s="6"/>
      <c r="H388" s="6"/>
      <c r="I388" s="6"/>
      <c r="J388" s="7"/>
      <c r="K388" s="7"/>
      <c r="L388" s="7"/>
      <c r="M388" s="7"/>
      <c r="N388" s="7"/>
      <c r="O388" s="7"/>
      <c r="P388" s="7"/>
      <c r="Q388" s="7"/>
      <c r="R388" s="7"/>
      <c r="S388" s="7"/>
      <c r="T388" s="7"/>
      <c r="U388" s="7"/>
      <c r="V388" s="7"/>
      <c r="W388" s="7"/>
      <c r="X388" s="7"/>
      <c r="Y388" s="7"/>
      <c r="Z388" s="7"/>
    </row>
    <row r="389" spans="1:26" ht="21" customHeight="1" x14ac:dyDescent="0.2">
      <c r="A389" s="7"/>
      <c r="B389" s="6"/>
      <c r="C389" s="7"/>
      <c r="D389" s="7"/>
      <c r="E389" s="6"/>
      <c r="F389" s="6"/>
      <c r="G389" s="6"/>
      <c r="H389" s="6"/>
      <c r="I389" s="6"/>
      <c r="J389" s="7"/>
      <c r="K389" s="7"/>
      <c r="L389" s="7"/>
      <c r="M389" s="7"/>
      <c r="N389" s="7"/>
      <c r="O389" s="7"/>
      <c r="P389" s="7"/>
      <c r="Q389" s="7"/>
      <c r="R389" s="7"/>
      <c r="S389" s="7"/>
      <c r="T389" s="7"/>
      <c r="U389" s="7"/>
      <c r="V389" s="7"/>
      <c r="W389" s="7"/>
      <c r="X389" s="7"/>
      <c r="Y389" s="7"/>
      <c r="Z389" s="7"/>
    </row>
    <row r="390" spans="1:26" ht="21" customHeight="1" x14ac:dyDescent="0.2">
      <c r="A390" s="7"/>
      <c r="B390" s="6"/>
      <c r="C390" s="7"/>
      <c r="D390" s="7"/>
      <c r="E390" s="6"/>
      <c r="F390" s="6"/>
      <c r="G390" s="6"/>
      <c r="H390" s="6"/>
      <c r="I390" s="6"/>
      <c r="J390" s="7"/>
      <c r="K390" s="7"/>
      <c r="L390" s="7"/>
      <c r="M390" s="7"/>
      <c r="N390" s="7"/>
      <c r="O390" s="7"/>
      <c r="P390" s="7"/>
      <c r="Q390" s="7"/>
      <c r="R390" s="7"/>
      <c r="S390" s="7"/>
      <c r="T390" s="7"/>
      <c r="U390" s="7"/>
      <c r="V390" s="7"/>
      <c r="W390" s="7"/>
      <c r="X390" s="7"/>
      <c r="Y390" s="7"/>
      <c r="Z390" s="7"/>
    </row>
    <row r="391" spans="1:26" ht="21" customHeight="1" x14ac:dyDescent="0.2">
      <c r="A391" s="7"/>
      <c r="B391" s="6"/>
      <c r="C391" s="7"/>
      <c r="D391" s="7"/>
      <c r="E391" s="6"/>
      <c r="F391" s="6"/>
      <c r="G391" s="6"/>
      <c r="H391" s="6"/>
      <c r="I391" s="6"/>
      <c r="J391" s="7"/>
      <c r="K391" s="7"/>
      <c r="L391" s="7"/>
      <c r="M391" s="7"/>
      <c r="N391" s="7"/>
      <c r="O391" s="7"/>
      <c r="P391" s="7"/>
      <c r="Q391" s="7"/>
      <c r="R391" s="7"/>
      <c r="S391" s="7"/>
      <c r="T391" s="7"/>
      <c r="U391" s="7"/>
      <c r="V391" s="7"/>
      <c r="W391" s="7"/>
      <c r="X391" s="7"/>
      <c r="Y391" s="7"/>
      <c r="Z391" s="7"/>
    </row>
    <row r="392" spans="1:26" ht="21" customHeight="1" x14ac:dyDescent="0.2">
      <c r="A392" s="7"/>
      <c r="B392" s="6"/>
      <c r="C392" s="7"/>
      <c r="D392" s="7"/>
      <c r="E392" s="6"/>
      <c r="F392" s="6"/>
      <c r="G392" s="6"/>
      <c r="H392" s="6"/>
      <c r="I392" s="6"/>
      <c r="J392" s="7"/>
      <c r="K392" s="7"/>
      <c r="L392" s="7"/>
      <c r="M392" s="7"/>
      <c r="N392" s="7"/>
      <c r="O392" s="7"/>
      <c r="P392" s="7"/>
      <c r="Q392" s="7"/>
      <c r="R392" s="7"/>
      <c r="S392" s="7"/>
      <c r="T392" s="7"/>
      <c r="U392" s="7"/>
      <c r="V392" s="7"/>
      <c r="W392" s="7"/>
      <c r="X392" s="7"/>
      <c r="Y392" s="7"/>
      <c r="Z392" s="7"/>
    </row>
    <row r="393" spans="1:26" ht="21" customHeight="1" x14ac:dyDescent="0.2">
      <c r="A393" s="7"/>
      <c r="B393" s="6"/>
      <c r="C393" s="7"/>
      <c r="D393" s="7"/>
      <c r="E393" s="6"/>
      <c r="F393" s="6"/>
      <c r="G393" s="6"/>
      <c r="H393" s="6"/>
      <c r="I393" s="6"/>
      <c r="J393" s="7"/>
      <c r="K393" s="7"/>
      <c r="L393" s="7"/>
      <c r="M393" s="7"/>
      <c r="N393" s="7"/>
      <c r="O393" s="7"/>
      <c r="P393" s="7"/>
      <c r="Q393" s="7"/>
      <c r="R393" s="7"/>
      <c r="S393" s="7"/>
      <c r="T393" s="7"/>
      <c r="U393" s="7"/>
      <c r="V393" s="7"/>
      <c r="W393" s="7"/>
      <c r="X393" s="7"/>
      <c r="Y393" s="7"/>
      <c r="Z393" s="7"/>
    </row>
    <row r="394" spans="1:26" ht="21" customHeight="1" x14ac:dyDescent="0.2">
      <c r="A394" s="7"/>
      <c r="B394" s="6"/>
      <c r="C394" s="7"/>
      <c r="D394" s="7"/>
      <c r="E394" s="6"/>
      <c r="F394" s="6"/>
      <c r="G394" s="6"/>
      <c r="H394" s="6"/>
      <c r="I394" s="6"/>
      <c r="J394" s="7"/>
      <c r="K394" s="7"/>
      <c r="L394" s="7"/>
      <c r="M394" s="7"/>
      <c r="N394" s="7"/>
      <c r="O394" s="7"/>
      <c r="P394" s="7"/>
      <c r="Q394" s="7"/>
      <c r="R394" s="7"/>
      <c r="S394" s="7"/>
      <c r="T394" s="7"/>
      <c r="U394" s="7"/>
      <c r="V394" s="7"/>
      <c r="W394" s="7"/>
      <c r="X394" s="7"/>
      <c r="Y394" s="7"/>
      <c r="Z394" s="7"/>
    </row>
    <row r="395" spans="1:26" ht="21" customHeight="1" x14ac:dyDescent="0.2">
      <c r="A395" s="7"/>
      <c r="B395" s="6"/>
      <c r="C395" s="7"/>
      <c r="D395" s="7"/>
      <c r="E395" s="6"/>
      <c r="F395" s="6"/>
      <c r="G395" s="6"/>
      <c r="H395" s="6"/>
      <c r="I395" s="6"/>
      <c r="J395" s="7"/>
      <c r="K395" s="7"/>
      <c r="L395" s="7"/>
      <c r="M395" s="7"/>
      <c r="N395" s="7"/>
      <c r="O395" s="7"/>
      <c r="P395" s="7"/>
      <c r="Q395" s="7"/>
      <c r="R395" s="7"/>
      <c r="S395" s="7"/>
      <c r="T395" s="7"/>
      <c r="U395" s="7"/>
      <c r="V395" s="7"/>
      <c r="W395" s="7"/>
      <c r="X395" s="7"/>
      <c r="Y395" s="7"/>
      <c r="Z395" s="7"/>
    </row>
    <row r="396" spans="1:26" ht="21" customHeight="1" x14ac:dyDescent="0.2">
      <c r="A396" s="7"/>
      <c r="B396" s="6"/>
      <c r="C396" s="7"/>
      <c r="D396" s="7"/>
      <c r="E396" s="6"/>
      <c r="F396" s="6"/>
      <c r="G396" s="6"/>
      <c r="H396" s="6"/>
      <c r="I396" s="6"/>
      <c r="J396" s="7"/>
      <c r="K396" s="7"/>
      <c r="L396" s="7"/>
      <c r="M396" s="7"/>
      <c r="N396" s="7"/>
      <c r="O396" s="7"/>
      <c r="P396" s="7"/>
      <c r="Q396" s="7"/>
      <c r="R396" s="7"/>
      <c r="S396" s="7"/>
      <c r="T396" s="7"/>
      <c r="U396" s="7"/>
      <c r="V396" s="7"/>
      <c r="W396" s="7"/>
      <c r="X396" s="7"/>
      <c r="Y396" s="7"/>
      <c r="Z396" s="7"/>
    </row>
    <row r="397" spans="1:26" ht="21" customHeight="1" x14ac:dyDescent="0.2">
      <c r="A397" s="7"/>
      <c r="B397" s="6"/>
      <c r="C397" s="7"/>
      <c r="D397" s="7"/>
      <c r="E397" s="6"/>
      <c r="F397" s="6"/>
      <c r="G397" s="6"/>
      <c r="H397" s="6"/>
      <c r="I397" s="6"/>
      <c r="J397" s="7"/>
      <c r="K397" s="7"/>
      <c r="L397" s="7"/>
      <c r="M397" s="7"/>
      <c r="N397" s="7"/>
      <c r="O397" s="7"/>
      <c r="P397" s="7"/>
      <c r="Q397" s="7"/>
      <c r="R397" s="7"/>
      <c r="S397" s="7"/>
      <c r="T397" s="7"/>
      <c r="U397" s="7"/>
      <c r="V397" s="7"/>
      <c r="W397" s="7"/>
      <c r="X397" s="7"/>
      <c r="Y397" s="7"/>
      <c r="Z397" s="7"/>
    </row>
    <row r="398" spans="1:26" ht="21" customHeight="1" x14ac:dyDescent="0.2">
      <c r="A398" s="7"/>
      <c r="B398" s="6"/>
      <c r="C398" s="7"/>
      <c r="D398" s="7"/>
      <c r="E398" s="6"/>
      <c r="F398" s="6"/>
      <c r="G398" s="6"/>
      <c r="H398" s="6"/>
      <c r="I398" s="6"/>
      <c r="J398" s="7"/>
      <c r="K398" s="7"/>
      <c r="L398" s="7"/>
      <c r="M398" s="7"/>
      <c r="N398" s="7"/>
      <c r="O398" s="7"/>
      <c r="P398" s="7"/>
      <c r="Q398" s="7"/>
      <c r="R398" s="7"/>
      <c r="S398" s="7"/>
      <c r="T398" s="7"/>
      <c r="U398" s="7"/>
      <c r="V398" s="7"/>
      <c r="W398" s="7"/>
      <c r="X398" s="7"/>
      <c r="Y398" s="7"/>
      <c r="Z398" s="7"/>
    </row>
    <row r="399" spans="1:26" ht="21" customHeight="1" x14ac:dyDescent="0.2">
      <c r="A399" s="7"/>
      <c r="B399" s="6"/>
      <c r="C399" s="7"/>
      <c r="D399" s="7"/>
      <c r="E399" s="6"/>
      <c r="F399" s="6"/>
      <c r="G399" s="6"/>
      <c r="H399" s="6"/>
      <c r="I399" s="6"/>
      <c r="J399" s="7"/>
      <c r="K399" s="7"/>
      <c r="L399" s="7"/>
      <c r="M399" s="7"/>
      <c r="N399" s="7"/>
      <c r="O399" s="7"/>
      <c r="P399" s="7"/>
      <c r="Q399" s="7"/>
      <c r="R399" s="7"/>
      <c r="S399" s="7"/>
      <c r="T399" s="7"/>
      <c r="U399" s="7"/>
      <c r="V399" s="7"/>
      <c r="W399" s="7"/>
      <c r="X399" s="7"/>
      <c r="Y399" s="7"/>
      <c r="Z399" s="7"/>
    </row>
    <row r="400" spans="1:26" ht="21" customHeight="1" x14ac:dyDescent="0.2">
      <c r="A400" s="7"/>
      <c r="B400" s="6"/>
      <c r="C400" s="7"/>
      <c r="D400" s="7"/>
      <c r="E400" s="6"/>
      <c r="F400" s="6"/>
      <c r="G400" s="6"/>
      <c r="H400" s="6"/>
      <c r="I400" s="6"/>
      <c r="J400" s="7"/>
      <c r="K400" s="7"/>
      <c r="L400" s="7"/>
      <c r="M400" s="7"/>
      <c r="N400" s="7"/>
      <c r="O400" s="7"/>
      <c r="P400" s="7"/>
      <c r="Q400" s="7"/>
      <c r="R400" s="7"/>
      <c r="S400" s="7"/>
      <c r="T400" s="7"/>
      <c r="U400" s="7"/>
      <c r="V400" s="7"/>
      <c r="W400" s="7"/>
      <c r="X400" s="7"/>
      <c r="Y400" s="7"/>
      <c r="Z400" s="7"/>
    </row>
    <row r="401" spans="1:26" ht="21" customHeight="1" x14ac:dyDescent="0.2">
      <c r="A401" s="7"/>
      <c r="B401" s="6"/>
      <c r="C401" s="7"/>
      <c r="D401" s="7"/>
      <c r="E401" s="6"/>
      <c r="F401" s="6"/>
      <c r="G401" s="6"/>
      <c r="H401" s="6"/>
      <c r="I401" s="6"/>
      <c r="J401" s="7"/>
      <c r="K401" s="7"/>
      <c r="L401" s="7"/>
      <c r="M401" s="7"/>
      <c r="N401" s="7"/>
      <c r="O401" s="7"/>
      <c r="P401" s="7"/>
      <c r="Q401" s="7"/>
      <c r="R401" s="7"/>
      <c r="S401" s="7"/>
      <c r="T401" s="7"/>
      <c r="U401" s="7"/>
      <c r="V401" s="7"/>
      <c r="W401" s="7"/>
      <c r="X401" s="7"/>
      <c r="Y401" s="7"/>
      <c r="Z401" s="7"/>
    </row>
    <row r="402" spans="1:26" ht="21" customHeight="1" x14ac:dyDescent="0.2">
      <c r="A402" s="7"/>
      <c r="B402" s="6"/>
      <c r="C402" s="7"/>
      <c r="D402" s="7"/>
      <c r="E402" s="6"/>
      <c r="F402" s="6"/>
      <c r="G402" s="6"/>
      <c r="H402" s="6"/>
      <c r="I402" s="6"/>
      <c r="J402" s="7"/>
      <c r="K402" s="7"/>
      <c r="L402" s="7"/>
      <c r="M402" s="7"/>
      <c r="N402" s="7"/>
      <c r="O402" s="7"/>
      <c r="P402" s="7"/>
      <c r="Q402" s="7"/>
      <c r="R402" s="7"/>
      <c r="S402" s="7"/>
      <c r="T402" s="7"/>
      <c r="U402" s="7"/>
      <c r="V402" s="7"/>
      <c r="W402" s="7"/>
      <c r="X402" s="7"/>
      <c r="Y402" s="7"/>
      <c r="Z402" s="7"/>
    </row>
    <row r="403" spans="1:26" ht="21" customHeight="1" x14ac:dyDescent="0.2">
      <c r="A403" s="7"/>
      <c r="B403" s="6"/>
      <c r="C403" s="7"/>
      <c r="D403" s="7"/>
      <c r="E403" s="6"/>
      <c r="F403" s="6"/>
      <c r="G403" s="6"/>
      <c r="H403" s="6"/>
      <c r="I403" s="6"/>
      <c r="J403" s="7"/>
      <c r="K403" s="7"/>
      <c r="L403" s="7"/>
      <c r="M403" s="7"/>
      <c r="N403" s="7"/>
      <c r="O403" s="7"/>
      <c r="P403" s="7"/>
      <c r="Q403" s="7"/>
      <c r="R403" s="7"/>
      <c r="S403" s="7"/>
      <c r="T403" s="7"/>
      <c r="U403" s="7"/>
      <c r="V403" s="7"/>
      <c r="W403" s="7"/>
      <c r="X403" s="7"/>
      <c r="Y403" s="7"/>
      <c r="Z403" s="7"/>
    </row>
    <row r="404" spans="1:26" ht="21" customHeight="1" x14ac:dyDescent="0.2">
      <c r="A404" s="7"/>
      <c r="B404" s="6"/>
      <c r="C404" s="7"/>
      <c r="D404" s="7"/>
      <c r="E404" s="6"/>
      <c r="F404" s="6"/>
      <c r="G404" s="6"/>
      <c r="H404" s="6"/>
      <c r="I404" s="6"/>
      <c r="J404" s="7"/>
      <c r="K404" s="7"/>
      <c r="L404" s="7"/>
      <c r="M404" s="7"/>
      <c r="N404" s="7"/>
      <c r="O404" s="7"/>
      <c r="P404" s="7"/>
      <c r="Q404" s="7"/>
      <c r="R404" s="7"/>
      <c r="S404" s="7"/>
      <c r="T404" s="7"/>
      <c r="U404" s="7"/>
      <c r="V404" s="7"/>
      <c r="W404" s="7"/>
      <c r="X404" s="7"/>
      <c r="Y404" s="7"/>
      <c r="Z404" s="7"/>
    </row>
    <row r="405" spans="1:26" ht="21" customHeight="1" x14ac:dyDescent="0.2">
      <c r="A405" s="7"/>
      <c r="B405" s="6"/>
      <c r="C405" s="7"/>
      <c r="D405" s="7"/>
      <c r="E405" s="6"/>
      <c r="F405" s="6"/>
      <c r="G405" s="6"/>
      <c r="H405" s="6"/>
      <c r="I405" s="6"/>
      <c r="J405" s="7"/>
      <c r="K405" s="7"/>
      <c r="L405" s="7"/>
      <c r="M405" s="7"/>
      <c r="N405" s="7"/>
      <c r="O405" s="7"/>
      <c r="P405" s="7"/>
      <c r="Q405" s="7"/>
      <c r="R405" s="7"/>
      <c r="S405" s="7"/>
      <c r="T405" s="7"/>
      <c r="U405" s="7"/>
      <c r="V405" s="7"/>
      <c r="W405" s="7"/>
      <c r="X405" s="7"/>
      <c r="Y405" s="7"/>
      <c r="Z405" s="7"/>
    </row>
    <row r="406" spans="1:26" ht="21" customHeight="1" x14ac:dyDescent="0.2">
      <c r="A406" s="7"/>
      <c r="B406" s="6"/>
      <c r="C406" s="7"/>
      <c r="D406" s="7"/>
      <c r="E406" s="6"/>
      <c r="F406" s="6"/>
      <c r="G406" s="6"/>
      <c r="H406" s="6"/>
      <c r="I406" s="6"/>
      <c r="J406" s="7"/>
      <c r="K406" s="7"/>
      <c r="L406" s="7"/>
      <c r="M406" s="7"/>
      <c r="N406" s="7"/>
      <c r="O406" s="7"/>
      <c r="P406" s="7"/>
      <c r="Q406" s="7"/>
      <c r="R406" s="7"/>
      <c r="S406" s="7"/>
      <c r="T406" s="7"/>
      <c r="U406" s="7"/>
      <c r="V406" s="7"/>
      <c r="W406" s="7"/>
      <c r="X406" s="7"/>
      <c r="Y406" s="7"/>
      <c r="Z406" s="7"/>
    </row>
    <row r="407" spans="1:26" ht="21" customHeight="1" x14ac:dyDescent="0.2">
      <c r="A407" s="7"/>
      <c r="B407" s="6"/>
      <c r="C407" s="7"/>
      <c r="D407" s="7"/>
      <c r="E407" s="6"/>
      <c r="F407" s="6"/>
      <c r="G407" s="6"/>
      <c r="H407" s="6"/>
      <c r="I407" s="6"/>
      <c r="J407" s="7"/>
      <c r="K407" s="7"/>
      <c r="L407" s="7"/>
      <c r="M407" s="7"/>
      <c r="N407" s="7"/>
      <c r="O407" s="7"/>
      <c r="P407" s="7"/>
      <c r="Q407" s="7"/>
      <c r="R407" s="7"/>
      <c r="S407" s="7"/>
      <c r="T407" s="7"/>
      <c r="U407" s="7"/>
      <c r="V407" s="7"/>
      <c r="W407" s="7"/>
      <c r="X407" s="7"/>
      <c r="Y407" s="7"/>
      <c r="Z407" s="7"/>
    </row>
    <row r="408" spans="1:26" ht="21" customHeight="1" x14ac:dyDescent="0.2">
      <c r="A408" s="7"/>
      <c r="B408" s="6"/>
      <c r="C408" s="7"/>
      <c r="D408" s="7"/>
      <c r="E408" s="6"/>
      <c r="F408" s="6"/>
      <c r="G408" s="6"/>
      <c r="H408" s="6"/>
      <c r="I408" s="6"/>
      <c r="J408" s="7"/>
      <c r="K408" s="7"/>
      <c r="L408" s="7"/>
      <c r="M408" s="7"/>
      <c r="N408" s="7"/>
      <c r="O408" s="7"/>
      <c r="P408" s="7"/>
      <c r="Q408" s="7"/>
      <c r="R408" s="7"/>
      <c r="S408" s="7"/>
      <c r="T408" s="7"/>
      <c r="U408" s="7"/>
      <c r="V408" s="7"/>
      <c r="W408" s="7"/>
      <c r="X408" s="7"/>
      <c r="Y408" s="7"/>
      <c r="Z408" s="7"/>
    </row>
    <row r="409" spans="1:26" ht="21" customHeight="1" x14ac:dyDescent="0.2">
      <c r="A409" s="7"/>
      <c r="B409" s="6"/>
      <c r="C409" s="7"/>
      <c r="D409" s="7"/>
      <c r="E409" s="6"/>
      <c r="F409" s="6"/>
      <c r="G409" s="6"/>
      <c r="H409" s="6"/>
      <c r="I409" s="6"/>
      <c r="J409" s="7"/>
      <c r="K409" s="7"/>
      <c r="L409" s="7"/>
      <c r="M409" s="7"/>
      <c r="N409" s="7"/>
      <c r="O409" s="7"/>
      <c r="P409" s="7"/>
      <c r="Q409" s="7"/>
      <c r="R409" s="7"/>
      <c r="S409" s="7"/>
      <c r="T409" s="7"/>
      <c r="U409" s="7"/>
      <c r="V409" s="7"/>
      <c r="W409" s="7"/>
      <c r="X409" s="7"/>
      <c r="Y409" s="7"/>
      <c r="Z409" s="7"/>
    </row>
    <row r="410" spans="1:26" ht="21" customHeight="1" x14ac:dyDescent="0.2">
      <c r="A410" s="7"/>
      <c r="B410" s="6"/>
      <c r="C410" s="7"/>
      <c r="D410" s="7"/>
      <c r="E410" s="6"/>
      <c r="F410" s="6"/>
      <c r="G410" s="6"/>
      <c r="H410" s="6"/>
      <c r="I410" s="6"/>
      <c r="J410" s="7"/>
      <c r="K410" s="7"/>
      <c r="L410" s="7"/>
      <c r="M410" s="7"/>
      <c r="N410" s="7"/>
      <c r="O410" s="7"/>
      <c r="P410" s="7"/>
      <c r="Q410" s="7"/>
      <c r="R410" s="7"/>
      <c r="S410" s="7"/>
      <c r="T410" s="7"/>
      <c r="U410" s="7"/>
      <c r="V410" s="7"/>
      <c r="W410" s="7"/>
      <c r="X410" s="7"/>
      <c r="Y410" s="7"/>
      <c r="Z410" s="7"/>
    </row>
    <row r="411" spans="1:26" ht="21" customHeight="1" x14ac:dyDescent="0.2">
      <c r="A411" s="7"/>
      <c r="B411" s="6"/>
      <c r="C411" s="7"/>
      <c r="D411" s="7"/>
      <c r="E411" s="6"/>
      <c r="F411" s="6"/>
      <c r="G411" s="6"/>
      <c r="H411" s="6"/>
      <c r="I411" s="6"/>
      <c r="J411" s="7"/>
      <c r="K411" s="7"/>
      <c r="L411" s="7"/>
      <c r="M411" s="7"/>
      <c r="N411" s="7"/>
      <c r="O411" s="7"/>
      <c r="P411" s="7"/>
      <c r="Q411" s="7"/>
      <c r="R411" s="7"/>
      <c r="S411" s="7"/>
      <c r="T411" s="7"/>
      <c r="U411" s="7"/>
      <c r="V411" s="7"/>
      <c r="W411" s="7"/>
      <c r="X411" s="7"/>
      <c r="Y411" s="7"/>
      <c r="Z411" s="7"/>
    </row>
    <row r="412" spans="1:26" ht="21" customHeight="1" x14ac:dyDescent="0.2">
      <c r="A412" s="7"/>
      <c r="B412" s="6"/>
      <c r="C412" s="7"/>
      <c r="D412" s="7"/>
      <c r="E412" s="6"/>
      <c r="F412" s="6"/>
      <c r="G412" s="6"/>
      <c r="H412" s="6"/>
      <c r="I412" s="6"/>
      <c r="J412" s="7"/>
      <c r="K412" s="7"/>
      <c r="L412" s="7"/>
      <c r="M412" s="7"/>
      <c r="N412" s="7"/>
      <c r="O412" s="7"/>
      <c r="P412" s="7"/>
      <c r="Q412" s="7"/>
      <c r="R412" s="7"/>
      <c r="S412" s="7"/>
      <c r="T412" s="7"/>
      <c r="U412" s="7"/>
      <c r="V412" s="7"/>
      <c r="W412" s="7"/>
      <c r="X412" s="7"/>
      <c r="Y412" s="7"/>
      <c r="Z412" s="7"/>
    </row>
    <row r="413" spans="1:26" ht="21" customHeight="1" x14ac:dyDescent="0.2">
      <c r="A413" s="7"/>
      <c r="B413" s="6"/>
      <c r="C413" s="7"/>
      <c r="D413" s="7"/>
      <c r="E413" s="6"/>
      <c r="F413" s="6"/>
      <c r="G413" s="6"/>
      <c r="H413" s="6"/>
      <c r="I413" s="6"/>
      <c r="J413" s="7"/>
      <c r="K413" s="7"/>
      <c r="L413" s="7"/>
      <c r="M413" s="7"/>
      <c r="N413" s="7"/>
      <c r="O413" s="7"/>
      <c r="P413" s="7"/>
      <c r="Q413" s="7"/>
      <c r="R413" s="7"/>
      <c r="S413" s="7"/>
      <c r="T413" s="7"/>
      <c r="U413" s="7"/>
      <c r="V413" s="7"/>
      <c r="W413" s="7"/>
      <c r="X413" s="7"/>
      <c r="Y413" s="7"/>
      <c r="Z413" s="7"/>
    </row>
    <row r="414" spans="1:26" ht="21" customHeight="1" x14ac:dyDescent="0.2">
      <c r="A414" s="7"/>
      <c r="B414" s="6"/>
      <c r="C414" s="7"/>
      <c r="D414" s="7"/>
      <c r="E414" s="6"/>
      <c r="F414" s="6"/>
      <c r="G414" s="6"/>
      <c r="H414" s="6"/>
      <c r="I414" s="6"/>
      <c r="J414" s="7"/>
      <c r="K414" s="7"/>
      <c r="L414" s="7"/>
      <c r="M414" s="7"/>
      <c r="N414" s="7"/>
      <c r="O414" s="7"/>
      <c r="P414" s="7"/>
      <c r="Q414" s="7"/>
      <c r="R414" s="7"/>
      <c r="S414" s="7"/>
      <c r="T414" s="7"/>
      <c r="U414" s="7"/>
      <c r="V414" s="7"/>
      <c r="W414" s="7"/>
      <c r="X414" s="7"/>
      <c r="Y414" s="7"/>
      <c r="Z414" s="7"/>
    </row>
    <row r="415" spans="1:26" ht="21" customHeight="1" x14ac:dyDescent="0.2">
      <c r="A415" s="7"/>
      <c r="B415" s="6"/>
      <c r="C415" s="7"/>
      <c r="D415" s="7"/>
      <c r="E415" s="6"/>
      <c r="F415" s="6"/>
      <c r="G415" s="6"/>
      <c r="H415" s="6"/>
      <c r="I415" s="6"/>
      <c r="J415" s="7"/>
      <c r="K415" s="7"/>
      <c r="L415" s="7"/>
      <c r="M415" s="7"/>
      <c r="N415" s="7"/>
      <c r="O415" s="7"/>
      <c r="P415" s="7"/>
      <c r="Q415" s="7"/>
      <c r="R415" s="7"/>
      <c r="S415" s="7"/>
      <c r="T415" s="7"/>
      <c r="U415" s="7"/>
      <c r="V415" s="7"/>
      <c r="W415" s="7"/>
      <c r="X415" s="7"/>
      <c r="Y415" s="7"/>
      <c r="Z415" s="7"/>
    </row>
    <row r="416" spans="1:26" ht="21" customHeight="1" x14ac:dyDescent="0.2">
      <c r="A416" s="7"/>
      <c r="B416" s="6"/>
      <c r="C416" s="7"/>
      <c r="D416" s="7"/>
      <c r="E416" s="6"/>
      <c r="F416" s="6"/>
      <c r="G416" s="6"/>
      <c r="H416" s="6"/>
      <c r="I416" s="6"/>
      <c r="J416" s="7"/>
      <c r="K416" s="7"/>
      <c r="L416" s="7"/>
      <c r="M416" s="7"/>
      <c r="N416" s="7"/>
      <c r="O416" s="7"/>
      <c r="P416" s="7"/>
      <c r="Q416" s="7"/>
      <c r="R416" s="7"/>
      <c r="S416" s="7"/>
      <c r="T416" s="7"/>
      <c r="U416" s="7"/>
      <c r="V416" s="7"/>
      <c r="W416" s="7"/>
      <c r="X416" s="7"/>
      <c r="Y416" s="7"/>
      <c r="Z416" s="7"/>
    </row>
    <row r="417" spans="1:26" ht="21" customHeight="1" x14ac:dyDescent="0.2">
      <c r="A417" s="7"/>
      <c r="B417" s="6"/>
      <c r="C417" s="7"/>
      <c r="D417" s="7"/>
      <c r="E417" s="6"/>
      <c r="F417" s="6"/>
      <c r="G417" s="6"/>
      <c r="H417" s="6"/>
      <c r="I417" s="6"/>
      <c r="J417" s="7"/>
      <c r="K417" s="7"/>
      <c r="L417" s="7"/>
      <c r="M417" s="7"/>
      <c r="N417" s="7"/>
      <c r="O417" s="7"/>
      <c r="P417" s="7"/>
      <c r="Q417" s="7"/>
      <c r="R417" s="7"/>
      <c r="S417" s="7"/>
      <c r="T417" s="7"/>
      <c r="U417" s="7"/>
      <c r="V417" s="7"/>
      <c r="W417" s="7"/>
      <c r="X417" s="7"/>
      <c r="Y417" s="7"/>
      <c r="Z417" s="7"/>
    </row>
    <row r="418" spans="1:26" ht="21" customHeight="1" x14ac:dyDescent="0.2">
      <c r="A418" s="7"/>
      <c r="B418" s="6"/>
      <c r="C418" s="7"/>
      <c r="D418" s="7"/>
      <c r="E418" s="6"/>
      <c r="F418" s="6"/>
      <c r="G418" s="6"/>
      <c r="H418" s="6"/>
      <c r="I418" s="6"/>
      <c r="J418" s="7"/>
      <c r="K418" s="7"/>
      <c r="L418" s="7"/>
      <c r="M418" s="7"/>
      <c r="N418" s="7"/>
      <c r="O418" s="7"/>
      <c r="P418" s="7"/>
      <c r="Q418" s="7"/>
      <c r="R418" s="7"/>
      <c r="S418" s="7"/>
      <c r="T418" s="7"/>
      <c r="U418" s="7"/>
      <c r="V418" s="7"/>
      <c r="W418" s="7"/>
      <c r="X418" s="7"/>
      <c r="Y418" s="7"/>
      <c r="Z418" s="7"/>
    </row>
    <row r="419" spans="1:26" ht="21" customHeight="1" x14ac:dyDescent="0.2">
      <c r="A419" s="7"/>
      <c r="B419" s="6"/>
      <c r="C419" s="7"/>
      <c r="D419" s="7"/>
      <c r="E419" s="6"/>
      <c r="F419" s="6"/>
      <c r="G419" s="6"/>
      <c r="H419" s="6"/>
      <c r="I419" s="6"/>
      <c r="J419" s="7"/>
      <c r="K419" s="7"/>
      <c r="L419" s="7"/>
      <c r="M419" s="7"/>
      <c r="N419" s="7"/>
      <c r="O419" s="7"/>
      <c r="P419" s="7"/>
      <c r="Q419" s="7"/>
      <c r="R419" s="7"/>
      <c r="S419" s="7"/>
      <c r="T419" s="7"/>
      <c r="U419" s="7"/>
      <c r="V419" s="7"/>
      <c r="W419" s="7"/>
      <c r="X419" s="7"/>
      <c r="Y419" s="7"/>
      <c r="Z419" s="7"/>
    </row>
    <row r="420" spans="1:26" ht="21" customHeight="1" x14ac:dyDescent="0.2">
      <c r="A420" s="7"/>
      <c r="B420" s="6"/>
      <c r="C420" s="7"/>
      <c r="D420" s="7"/>
      <c r="E420" s="6"/>
      <c r="F420" s="6"/>
      <c r="G420" s="6"/>
      <c r="H420" s="6"/>
      <c r="I420" s="6"/>
      <c r="J420" s="7"/>
      <c r="K420" s="7"/>
      <c r="L420" s="7"/>
      <c r="M420" s="7"/>
      <c r="N420" s="7"/>
      <c r="O420" s="7"/>
      <c r="P420" s="7"/>
      <c r="Q420" s="7"/>
      <c r="R420" s="7"/>
      <c r="S420" s="7"/>
      <c r="T420" s="7"/>
      <c r="U420" s="7"/>
      <c r="V420" s="7"/>
      <c r="W420" s="7"/>
      <c r="X420" s="7"/>
      <c r="Y420" s="7"/>
      <c r="Z420" s="7"/>
    </row>
    <row r="421" spans="1:26" ht="21" customHeight="1" x14ac:dyDescent="0.2">
      <c r="A421" s="7"/>
      <c r="B421" s="6"/>
      <c r="C421" s="7"/>
      <c r="D421" s="7"/>
      <c r="E421" s="6"/>
      <c r="F421" s="6"/>
      <c r="G421" s="6"/>
      <c r="H421" s="6"/>
      <c r="I421" s="6"/>
      <c r="J421" s="7"/>
      <c r="K421" s="7"/>
      <c r="L421" s="7"/>
      <c r="M421" s="7"/>
      <c r="N421" s="7"/>
      <c r="O421" s="7"/>
      <c r="P421" s="7"/>
      <c r="Q421" s="7"/>
      <c r="R421" s="7"/>
      <c r="S421" s="7"/>
      <c r="T421" s="7"/>
      <c r="U421" s="7"/>
      <c r="V421" s="7"/>
      <c r="W421" s="7"/>
      <c r="X421" s="7"/>
      <c r="Y421" s="7"/>
      <c r="Z421" s="7"/>
    </row>
    <row r="422" spans="1:26" ht="21" customHeight="1" x14ac:dyDescent="0.2">
      <c r="A422" s="7"/>
      <c r="B422" s="6"/>
      <c r="C422" s="7"/>
      <c r="D422" s="7"/>
      <c r="E422" s="6"/>
      <c r="F422" s="6"/>
      <c r="G422" s="6"/>
      <c r="H422" s="6"/>
      <c r="I422" s="6"/>
      <c r="J422" s="7"/>
      <c r="K422" s="7"/>
      <c r="L422" s="7"/>
      <c r="M422" s="7"/>
      <c r="N422" s="7"/>
      <c r="O422" s="7"/>
      <c r="P422" s="7"/>
      <c r="Q422" s="7"/>
      <c r="R422" s="7"/>
      <c r="S422" s="7"/>
      <c r="T422" s="7"/>
      <c r="U422" s="7"/>
      <c r="V422" s="7"/>
      <c r="W422" s="7"/>
      <c r="X422" s="7"/>
      <c r="Y422" s="7"/>
      <c r="Z422" s="7"/>
    </row>
    <row r="423" spans="1:26" ht="21" customHeight="1" x14ac:dyDescent="0.2">
      <c r="A423" s="7"/>
      <c r="B423" s="6"/>
      <c r="C423" s="7"/>
      <c r="D423" s="7"/>
      <c r="E423" s="6"/>
      <c r="F423" s="6"/>
      <c r="G423" s="6"/>
      <c r="H423" s="6"/>
      <c r="I423" s="6"/>
      <c r="J423" s="7"/>
      <c r="K423" s="7"/>
      <c r="L423" s="7"/>
      <c r="M423" s="7"/>
      <c r="N423" s="7"/>
      <c r="O423" s="7"/>
      <c r="P423" s="7"/>
      <c r="Q423" s="7"/>
      <c r="R423" s="7"/>
      <c r="S423" s="7"/>
      <c r="T423" s="7"/>
      <c r="U423" s="7"/>
      <c r="V423" s="7"/>
      <c r="W423" s="7"/>
      <c r="X423" s="7"/>
      <c r="Y423" s="7"/>
      <c r="Z423" s="7"/>
    </row>
    <row r="424" spans="1:26" ht="21" customHeight="1" x14ac:dyDescent="0.2">
      <c r="A424" s="7"/>
      <c r="B424" s="6"/>
      <c r="C424" s="7"/>
      <c r="D424" s="7"/>
      <c r="E424" s="6"/>
      <c r="F424" s="6"/>
      <c r="G424" s="6"/>
      <c r="H424" s="6"/>
      <c r="I424" s="6"/>
      <c r="J424" s="7"/>
      <c r="K424" s="7"/>
      <c r="L424" s="7"/>
      <c r="M424" s="7"/>
      <c r="N424" s="7"/>
      <c r="O424" s="7"/>
      <c r="P424" s="7"/>
      <c r="Q424" s="7"/>
      <c r="R424" s="7"/>
      <c r="S424" s="7"/>
      <c r="T424" s="7"/>
      <c r="U424" s="7"/>
      <c r="V424" s="7"/>
      <c r="W424" s="7"/>
      <c r="X424" s="7"/>
      <c r="Y424" s="7"/>
      <c r="Z424" s="7"/>
    </row>
    <row r="425" spans="1:26" ht="21" customHeight="1" x14ac:dyDescent="0.2">
      <c r="A425" s="7"/>
      <c r="B425" s="6"/>
      <c r="C425" s="7"/>
      <c r="D425" s="7"/>
      <c r="E425" s="6"/>
      <c r="F425" s="6"/>
      <c r="G425" s="6"/>
      <c r="H425" s="6"/>
      <c r="I425" s="6"/>
      <c r="J425" s="7"/>
      <c r="K425" s="7"/>
      <c r="L425" s="7"/>
      <c r="M425" s="7"/>
      <c r="N425" s="7"/>
      <c r="O425" s="7"/>
      <c r="P425" s="7"/>
      <c r="Q425" s="7"/>
      <c r="R425" s="7"/>
      <c r="S425" s="7"/>
      <c r="T425" s="7"/>
      <c r="U425" s="7"/>
      <c r="V425" s="7"/>
      <c r="W425" s="7"/>
      <c r="X425" s="7"/>
      <c r="Y425" s="7"/>
      <c r="Z425" s="7"/>
    </row>
    <row r="426" spans="1:26" ht="21" customHeight="1" x14ac:dyDescent="0.2">
      <c r="A426" s="7"/>
      <c r="B426" s="6"/>
      <c r="C426" s="7"/>
      <c r="D426" s="7"/>
      <c r="E426" s="6"/>
      <c r="F426" s="6"/>
      <c r="G426" s="6"/>
      <c r="H426" s="6"/>
      <c r="I426" s="6"/>
      <c r="J426" s="7"/>
      <c r="K426" s="7"/>
      <c r="L426" s="7"/>
      <c r="M426" s="7"/>
      <c r="N426" s="7"/>
      <c r="O426" s="7"/>
      <c r="P426" s="7"/>
      <c r="Q426" s="7"/>
      <c r="R426" s="7"/>
      <c r="S426" s="7"/>
      <c r="T426" s="7"/>
      <c r="U426" s="7"/>
      <c r="V426" s="7"/>
      <c r="W426" s="7"/>
      <c r="X426" s="7"/>
      <c r="Y426" s="7"/>
      <c r="Z426" s="7"/>
    </row>
    <row r="427" spans="1:26" ht="21" customHeight="1" x14ac:dyDescent="0.2">
      <c r="A427" s="7"/>
      <c r="B427" s="6"/>
      <c r="C427" s="7"/>
      <c r="D427" s="7"/>
      <c r="E427" s="6"/>
      <c r="F427" s="6"/>
      <c r="G427" s="6"/>
      <c r="H427" s="6"/>
      <c r="I427" s="6"/>
      <c r="J427" s="7"/>
      <c r="K427" s="7"/>
      <c r="L427" s="7"/>
      <c r="M427" s="7"/>
      <c r="N427" s="7"/>
      <c r="O427" s="7"/>
      <c r="P427" s="7"/>
      <c r="Q427" s="7"/>
      <c r="R427" s="7"/>
      <c r="S427" s="7"/>
      <c r="T427" s="7"/>
      <c r="U427" s="7"/>
      <c r="V427" s="7"/>
      <c r="W427" s="7"/>
      <c r="X427" s="7"/>
      <c r="Y427" s="7"/>
      <c r="Z427" s="7"/>
    </row>
    <row r="428" spans="1:26" ht="21" customHeight="1" x14ac:dyDescent="0.2">
      <c r="A428" s="7"/>
      <c r="B428" s="6"/>
      <c r="C428" s="7"/>
      <c r="D428" s="7"/>
      <c r="E428" s="6"/>
      <c r="F428" s="6"/>
      <c r="G428" s="6"/>
      <c r="H428" s="6"/>
      <c r="I428" s="6"/>
      <c r="J428" s="7"/>
      <c r="K428" s="7"/>
      <c r="L428" s="7"/>
      <c r="M428" s="7"/>
      <c r="N428" s="7"/>
      <c r="O428" s="7"/>
      <c r="P428" s="7"/>
      <c r="Q428" s="7"/>
      <c r="R428" s="7"/>
      <c r="S428" s="7"/>
      <c r="T428" s="7"/>
      <c r="U428" s="7"/>
      <c r="V428" s="7"/>
      <c r="W428" s="7"/>
      <c r="X428" s="7"/>
      <c r="Y428" s="7"/>
      <c r="Z428" s="7"/>
    </row>
    <row r="429" spans="1:26" ht="21" customHeight="1" x14ac:dyDescent="0.2">
      <c r="A429" s="7"/>
      <c r="B429" s="6"/>
      <c r="C429" s="7"/>
      <c r="D429" s="7"/>
      <c r="E429" s="6"/>
      <c r="F429" s="6"/>
      <c r="G429" s="6"/>
      <c r="H429" s="6"/>
      <c r="I429" s="6"/>
      <c r="J429" s="7"/>
      <c r="K429" s="7"/>
      <c r="L429" s="7"/>
      <c r="M429" s="7"/>
      <c r="N429" s="7"/>
      <c r="O429" s="7"/>
      <c r="P429" s="7"/>
      <c r="Q429" s="7"/>
      <c r="R429" s="7"/>
      <c r="S429" s="7"/>
      <c r="T429" s="7"/>
      <c r="U429" s="7"/>
      <c r="V429" s="7"/>
      <c r="W429" s="7"/>
      <c r="X429" s="7"/>
      <c r="Y429" s="7"/>
      <c r="Z429" s="7"/>
    </row>
    <row r="430" spans="1:26" ht="21" customHeight="1" x14ac:dyDescent="0.2">
      <c r="A430" s="7"/>
      <c r="B430" s="6"/>
      <c r="C430" s="7"/>
      <c r="D430" s="7"/>
      <c r="E430" s="6"/>
      <c r="F430" s="6"/>
      <c r="G430" s="6"/>
      <c r="H430" s="6"/>
      <c r="I430" s="6"/>
      <c r="J430" s="7"/>
      <c r="K430" s="7"/>
      <c r="L430" s="7"/>
      <c r="M430" s="7"/>
      <c r="N430" s="7"/>
      <c r="O430" s="7"/>
      <c r="P430" s="7"/>
      <c r="Q430" s="7"/>
      <c r="R430" s="7"/>
      <c r="S430" s="7"/>
      <c r="T430" s="7"/>
      <c r="U430" s="7"/>
      <c r="V430" s="7"/>
      <c r="W430" s="7"/>
      <c r="X430" s="7"/>
      <c r="Y430" s="7"/>
      <c r="Z430" s="7"/>
    </row>
    <row r="431" spans="1:26" ht="21" customHeight="1" x14ac:dyDescent="0.2">
      <c r="A431" s="7"/>
      <c r="B431" s="6"/>
      <c r="C431" s="7"/>
      <c r="D431" s="7"/>
      <c r="E431" s="6"/>
      <c r="F431" s="6"/>
      <c r="G431" s="6"/>
      <c r="H431" s="6"/>
      <c r="I431" s="6"/>
      <c r="J431" s="7"/>
      <c r="K431" s="7"/>
      <c r="L431" s="7"/>
      <c r="M431" s="7"/>
      <c r="N431" s="7"/>
      <c r="O431" s="7"/>
      <c r="P431" s="7"/>
      <c r="Q431" s="7"/>
      <c r="R431" s="7"/>
      <c r="S431" s="7"/>
      <c r="T431" s="7"/>
      <c r="U431" s="7"/>
      <c r="V431" s="7"/>
      <c r="W431" s="7"/>
      <c r="X431" s="7"/>
      <c r="Y431" s="7"/>
      <c r="Z431" s="7"/>
    </row>
    <row r="432" spans="1:26" ht="21" customHeight="1" x14ac:dyDescent="0.2">
      <c r="A432" s="7"/>
      <c r="B432" s="6"/>
      <c r="C432" s="7"/>
      <c r="D432" s="7"/>
      <c r="E432" s="6"/>
      <c r="F432" s="6"/>
      <c r="G432" s="6"/>
      <c r="H432" s="6"/>
      <c r="I432" s="6"/>
      <c r="J432" s="7"/>
      <c r="K432" s="7"/>
      <c r="L432" s="7"/>
      <c r="M432" s="7"/>
      <c r="N432" s="7"/>
      <c r="O432" s="7"/>
      <c r="P432" s="7"/>
      <c r="Q432" s="7"/>
      <c r="R432" s="7"/>
      <c r="S432" s="7"/>
      <c r="T432" s="7"/>
      <c r="U432" s="7"/>
      <c r="V432" s="7"/>
      <c r="W432" s="7"/>
      <c r="X432" s="7"/>
      <c r="Y432" s="7"/>
      <c r="Z432" s="7"/>
    </row>
    <row r="433" spans="1:26" ht="21" customHeight="1" x14ac:dyDescent="0.2">
      <c r="A433" s="7"/>
      <c r="B433" s="6"/>
      <c r="C433" s="7"/>
      <c r="D433" s="7"/>
      <c r="E433" s="6"/>
      <c r="F433" s="6"/>
      <c r="G433" s="6"/>
      <c r="H433" s="6"/>
      <c r="I433" s="6"/>
      <c r="J433" s="7"/>
      <c r="K433" s="7"/>
      <c r="L433" s="7"/>
      <c r="M433" s="7"/>
      <c r="N433" s="7"/>
      <c r="O433" s="7"/>
      <c r="P433" s="7"/>
      <c r="Q433" s="7"/>
      <c r="R433" s="7"/>
      <c r="S433" s="7"/>
      <c r="T433" s="7"/>
      <c r="U433" s="7"/>
      <c r="V433" s="7"/>
      <c r="W433" s="7"/>
      <c r="X433" s="7"/>
      <c r="Y433" s="7"/>
      <c r="Z433" s="7"/>
    </row>
    <row r="434" spans="1:26" ht="21" customHeight="1" x14ac:dyDescent="0.2">
      <c r="A434" s="7"/>
      <c r="B434" s="6"/>
      <c r="C434" s="7"/>
      <c r="D434" s="7"/>
      <c r="E434" s="6"/>
      <c r="F434" s="6"/>
      <c r="G434" s="6"/>
      <c r="H434" s="6"/>
      <c r="I434" s="6"/>
      <c r="J434" s="7"/>
      <c r="K434" s="7"/>
      <c r="L434" s="7"/>
      <c r="M434" s="7"/>
      <c r="N434" s="7"/>
      <c r="O434" s="7"/>
      <c r="P434" s="7"/>
      <c r="Q434" s="7"/>
      <c r="R434" s="7"/>
      <c r="S434" s="7"/>
      <c r="T434" s="7"/>
      <c r="U434" s="7"/>
      <c r="V434" s="7"/>
      <c r="W434" s="7"/>
      <c r="X434" s="7"/>
      <c r="Y434" s="7"/>
      <c r="Z434" s="7"/>
    </row>
    <row r="435" spans="1:26" ht="21" customHeight="1" x14ac:dyDescent="0.2">
      <c r="A435" s="7"/>
      <c r="B435" s="6"/>
      <c r="C435" s="7"/>
      <c r="D435" s="7"/>
      <c r="E435" s="6"/>
      <c r="F435" s="6"/>
      <c r="G435" s="6"/>
      <c r="H435" s="6"/>
      <c r="I435" s="6"/>
      <c r="J435" s="7"/>
      <c r="K435" s="7"/>
      <c r="L435" s="7"/>
      <c r="M435" s="7"/>
      <c r="N435" s="7"/>
      <c r="O435" s="7"/>
      <c r="P435" s="7"/>
      <c r="Q435" s="7"/>
      <c r="R435" s="7"/>
      <c r="S435" s="7"/>
      <c r="T435" s="7"/>
      <c r="U435" s="7"/>
      <c r="V435" s="7"/>
      <c r="W435" s="7"/>
      <c r="X435" s="7"/>
      <c r="Y435" s="7"/>
      <c r="Z435" s="7"/>
    </row>
    <row r="436" spans="1:26" ht="21" customHeight="1" x14ac:dyDescent="0.2">
      <c r="A436" s="7"/>
      <c r="B436" s="6"/>
      <c r="C436" s="7"/>
      <c r="D436" s="7"/>
      <c r="E436" s="6"/>
      <c r="F436" s="6"/>
      <c r="G436" s="6"/>
      <c r="H436" s="6"/>
      <c r="I436" s="6"/>
      <c r="J436" s="7"/>
      <c r="K436" s="7"/>
      <c r="L436" s="7"/>
      <c r="M436" s="7"/>
      <c r="N436" s="7"/>
      <c r="O436" s="7"/>
      <c r="P436" s="7"/>
      <c r="Q436" s="7"/>
      <c r="R436" s="7"/>
      <c r="S436" s="7"/>
      <c r="T436" s="7"/>
      <c r="U436" s="7"/>
      <c r="V436" s="7"/>
      <c r="W436" s="7"/>
      <c r="X436" s="7"/>
      <c r="Y436" s="7"/>
      <c r="Z436" s="7"/>
    </row>
    <row r="437" spans="1:26" ht="21" customHeight="1" x14ac:dyDescent="0.2">
      <c r="A437" s="7"/>
      <c r="B437" s="6"/>
      <c r="C437" s="7"/>
      <c r="D437" s="7"/>
      <c r="E437" s="6"/>
      <c r="F437" s="6"/>
      <c r="G437" s="6"/>
      <c r="H437" s="6"/>
      <c r="I437" s="6"/>
      <c r="J437" s="7"/>
      <c r="K437" s="7"/>
      <c r="L437" s="7"/>
      <c r="M437" s="7"/>
      <c r="N437" s="7"/>
      <c r="O437" s="7"/>
      <c r="P437" s="7"/>
      <c r="Q437" s="7"/>
      <c r="R437" s="7"/>
      <c r="S437" s="7"/>
      <c r="T437" s="7"/>
      <c r="U437" s="7"/>
      <c r="V437" s="7"/>
      <c r="W437" s="7"/>
      <c r="X437" s="7"/>
      <c r="Y437" s="7"/>
      <c r="Z437" s="7"/>
    </row>
    <row r="438" spans="1:26" ht="21" customHeight="1" x14ac:dyDescent="0.2">
      <c r="A438" s="7"/>
      <c r="B438" s="6"/>
      <c r="C438" s="7"/>
      <c r="D438" s="7"/>
      <c r="E438" s="6"/>
      <c r="F438" s="6"/>
      <c r="G438" s="6"/>
      <c r="H438" s="6"/>
      <c r="I438" s="6"/>
      <c r="J438" s="7"/>
      <c r="K438" s="7"/>
      <c r="L438" s="7"/>
      <c r="M438" s="7"/>
      <c r="N438" s="7"/>
      <c r="O438" s="7"/>
      <c r="P438" s="7"/>
      <c r="Q438" s="7"/>
      <c r="R438" s="7"/>
      <c r="S438" s="7"/>
      <c r="T438" s="7"/>
      <c r="U438" s="7"/>
      <c r="V438" s="7"/>
      <c r="W438" s="7"/>
      <c r="X438" s="7"/>
      <c r="Y438" s="7"/>
      <c r="Z438" s="7"/>
    </row>
    <row r="439" spans="1:26" ht="21" customHeight="1" x14ac:dyDescent="0.2">
      <c r="A439" s="7"/>
      <c r="B439" s="6"/>
      <c r="C439" s="7"/>
      <c r="D439" s="7"/>
      <c r="E439" s="6"/>
      <c r="F439" s="6"/>
      <c r="G439" s="6"/>
      <c r="H439" s="6"/>
      <c r="I439" s="6"/>
      <c r="J439" s="7"/>
      <c r="K439" s="7"/>
      <c r="L439" s="7"/>
      <c r="M439" s="7"/>
      <c r="N439" s="7"/>
      <c r="O439" s="7"/>
      <c r="P439" s="7"/>
      <c r="Q439" s="7"/>
      <c r="R439" s="7"/>
      <c r="S439" s="7"/>
      <c r="T439" s="7"/>
      <c r="U439" s="7"/>
      <c r="V439" s="7"/>
      <c r="W439" s="7"/>
      <c r="X439" s="7"/>
      <c r="Y439" s="7"/>
      <c r="Z439" s="7"/>
    </row>
    <row r="440" spans="1:26" ht="21" customHeight="1" x14ac:dyDescent="0.2">
      <c r="A440" s="7"/>
      <c r="B440" s="6"/>
      <c r="C440" s="7"/>
      <c r="D440" s="7"/>
      <c r="E440" s="6"/>
      <c r="F440" s="6"/>
      <c r="G440" s="6"/>
      <c r="H440" s="6"/>
      <c r="I440" s="6"/>
      <c r="J440" s="7"/>
      <c r="K440" s="7"/>
      <c r="L440" s="7"/>
      <c r="M440" s="7"/>
      <c r="N440" s="7"/>
      <c r="O440" s="7"/>
      <c r="P440" s="7"/>
      <c r="Q440" s="7"/>
      <c r="R440" s="7"/>
      <c r="S440" s="7"/>
      <c r="T440" s="7"/>
      <c r="U440" s="7"/>
      <c r="V440" s="7"/>
      <c r="W440" s="7"/>
      <c r="X440" s="7"/>
      <c r="Y440" s="7"/>
      <c r="Z440" s="7"/>
    </row>
    <row r="441" spans="1:26" ht="21" customHeight="1" x14ac:dyDescent="0.2">
      <c r="A441" s="7"/>
      <c r="B441" s="6"/>
      <c r="C441" s="7"/>
      <c r="D441" s="7"/>
      <c r="E441" s="6"/>
      <c r="F441" s="6"/>
      <c r="G441" s="6"/>
      <c r="H441" s="6"/>
      <c r="I441" s="6"/>
      <c r="J441" s="7"/>
      <c r="K441" s="7"/>
      <c r="L441" s="7"/>
      <c r="M441" s="7"/>
      <c r="N441" s="7"/>
      <c r="O441" s="7"/>
      <c r="P441" s="7"/>
      <c r="Q441" s="7"/>
      <c r="R441" s="7"/>
      <c r="S441" s="7"/>
      <c r="T441" s="7"/>
      <c r="U441" s="7"/>
      <c r="V441" s="7"/>
      <c r="W441" s="7"/>
      <c r="X441" s="7"/>
      <c r="Y441" s="7"/>
      <c r="Z441" s="7"/>
    </row>
    <row r="442" spans="1:26" ht="21" customHeight="1" x14ac:dyDescent="0.2">
      <c r="A442" s="7"/>
      <c r="B442" s="6"/>
      <c r="C442" s="7"/>
      <c r="D442" s="7"/>
      <c r="E442" s="6"/>
      <c r="F442" s="6"/>
      <c r="G442" s="6"/>
      <c r="H442" s="6"/>
      <c r="I442" s="6"/>
      <c r="J442" s="7"/>
      <c r="K442" s="7"/>
      <c r="L442" s="7"/>
      <c r="M442" s="7"/>
      <c r="N442" s="7"/>
      <c r="O442" s="7"/>
      <c r="P442" s="7"/>
      <c r="Q442" s="7"/>
      <c r="R442" s="7"/>
      <c r="S442" s="7"/>
      <c r="T442" s="7"/>
      <c r="U442" s="7"/>
      <c r="V442" s="7"/>
      <c r="W442" s="7"/>
      <c r="X442" s="7"/>
      <c r="Y442" s="7"/>
      <c r="Z442" s="7"/>
    </row>
    <row r="443" spans="1:26" ht="21" customHeight="1" x14ac:dyDescent="0.2">
      <c r="A443" s="7"/>
      <c r="B443" s="6"/>
      <c r="C443" s="7"/>
      <c r="D443" s="7"/>
      <c r="E443" s="6"/>
      <c r="F443" s="6"/>
      <c r="G443" s="6"/>
      <c r="H443" s="6"/>
      <c r="I443" s="6"/>
      <c r="J443" s="7"/>
      <c r="K443" s="7"/>
      <c r="L443" s="7"/>
      <c r="M443" s="7"/>
      <c r="N443" s="7"/>
      <c r="O443" s="7"/>
      <c r="P443" s="7"/>
      <c r="Q443" s="7"/>
      <c r="R443" s="7"/>
      <c r="S443" s="7"/>
      <c r="T443" s="7"/>
      <c r="U443" s="7"/>
      <c r="V443" s="7"/>
      <c r="W443" s="7"/>
      <c r="X443" s="7"/>
      <c r="Y443" s="7"/>
      <c r="Z443" s="7"/>
    </row>
    <row r="444" spans="1:26" ht="21" customHeight="1" x14ac:dyDescent="0.2">
      <c r="A444" s="7"/>
      <c r="B444" s="6"/>
      <c r="C444" s="7"/>
      <c r="D444" s="7"/>
      <c r="E444" s="6"/>
      <c r="F444" s="6"/>
      <c r="G444" s="6"/>
      <c r="H444" s="6"/>
      <c r="I444" s="6"/>
      <c r="J444" s="7"/>
      <c r="K444" s="7"/>
      <c r="L444" s="7"/>
      <c r="M444" s="7"/>
      <c r="N444" s="7"/>
      <c r="O444" s="7"/>
      <c r="P444" s="7"/>
      <c r="Q444" s="7"/>
      <c r="R444" s="7"/>
      <c r="S444" s="7"/>
      <c r="T444" s="7"/>
      <c r="U444" s="7"/>
      <c r="V444" s="7"/>
      <c r="W444" s="7"/>
      <c r="X444" s="7"/>
      <c r="Y444" s="7"/>
      <c r="Z444" s="7"/>
    </row>
    <row r="445" spans="1:26" ht="21" customHeight="1" x14ac:dyDescent="0.2">
      <c r="A445" s="7"/>
      <c r="B445" s="6"/>
      <c r="C445" s="7"/>
      <c r="D445" s="7"/>
      <c r="E445" s="6"/>
      <c r="F445" s="6"/>
      <c r="G445" s="6"/>
      <c r="H445" s="6"/>
      <c r="I445" s="6"/>
      <c r="J445" s="7"/>
      <c r="K445" s="7"/>
      <c r="L445" s="7"/>
      <c r="M445" s="7"/>
      <c r="N445" s="7"/>
      <c r="O445" s="7"/>
      <c r="P445" s="7"/>
      <c r="Q445" s="7"/>
      <c r="R445" s="7"/>
      <c r="S445" s="7"/>
      <c r="T445" s="7"/>
      <c r="U445" s="7"/>
      <c r="V445" s="7"/>
      <c r="W445" s="7"/>
      <c r="X445" s="7"/>
      <c r="Y445" s="7"/>
      <c r="Z445" s="7"/>
    </row>
    <row r="446" spans="1:26" ht="21" customHeight="1" x14ac:dyDescent="0.2">
      <c r="A446" s="7"/>
      <c r="B446" s="6"/>
      <c r="C446" s="7"/>
      <c r="D446" s="7"/>
      <c r="E446" s="6"/>
      <c r="F446" s="6"/>
      <c r="G446" s="6"/>
      <c r="H446" s="6"/>
      <c r="I446" s="6"/>
      <c r="J446" s="7"/>
      <c r="K446" s="7"/>
      <c r="L446" s="7"/>
      <c r="M446" s="7"/>
      <c r="N446" s="7"/>
      <c r="O446" s="7"/>
      <c r="P446" s="7"/>
      <c r="Q446" s="7"/>
      <c r="R446" s="7"/>
      <c r="S446" s="7"/>
      <c r="T446" s="7"/>
      <c r="U446" s="7"/>
      <c r="V446" s="7"/>
      <c r="W446" s="7"/>
      <c r="X446" s="7"/>
      <c r="Y446" s="7"/>
      <c r="Z446" s="7"/>
    </row>
    <row r="447" spans="1:26" ht="21" customHeight="1" x14ac:dyDescent="0.2">
      <c r="A447" s="7"/>
      <c r="B447" s="6"/>
      <c r="C447" s="7"/>
      <c r="D447" s="7"/>
      <c r="E447" s="6"/>
      <c r="F447" s="6"/>
      <c r="G447" s="6"/>
      <c r="H447" s="6"/>
      <c r="I447" s="6"/>
      <c r="J447" s="7"/>
      <c r="K447" s="7"/>
      <c r="L447" s="7"/>
      <c r="M447" s="7"/>
      <c r="N447" s="7"/>
      <c r="O447" s="7"/>
      <c r="P447" s="7"/>
      <c r="Q447" s="7"/>
      <c r="R447" s="7"/>
      <c r="S447" s="7"/>
      <c r="T447" s="7"/>
      <c r="U447" s="7"/>
      <c r="V447" s="7"/>
      <c r="W447" s="7"/>
      <c r="X447" s="7"/>
      <c r="Y447" s="7"/>
      <c r="Z447" s="7"/>
    </row>
    <row r="448" spans="1:26" ht="21" customHeight="1" x14ac:dyDescent="0.2">
      <c r="A448" s="7"/>
      <c r="B448" s="6"/>
      <c r="C448" s="7"/>
      <c r="D448" s="7"/>
      <c r="E448" s="6"/>
      <c r="F448" s="6"/>
      <c r="G448" s="6"/>
      <c r="H448" s="6"/>
      <c r="I448" s="6"/>
      <c r="J448" s="7"/>
      <c r="K448" s="7"/>
      <c r="L448" s="7"/>
      <c r="M448" s="7"/>
      <c r="N448" s="7"/>
      <c r="O448" s="7"/>
      <c r="P448" s="7"/>
      <c r="Q448" s="7"/>
      <c r="R448" s="7"/>
      <c r="S448" s="7"/>
      <c r="T448" s="7"/>
      <c r="U448" s="7"/>
      <c r="V448" s="7"/>
      <c r="W448" s="7"/>
      <c r="X448" s="7"/>
      <c r="Y448" s="7"/>
      <c r="Z448" s="7"/>
    </row>
    <row r="449" spans="1:26" ht="21" customHeight="1" x14ac:dyDescent="0.2">
      <c r="A449" s="7"/>
      <c r="B449" s="6"/>
      <c r="C449" s="7"/>
      <c r="D449" s="7"/>
      <c r="E449" s="6"/>
      <c r="F449" s="6"/>
      <c r="G449" s="6"/>
      <c r="H449" s="6"/>
      <c r="I449" s="6"/>
      <c r="J449" s="7"/>
      <c r="K449" s="7"/>
      <c r="L449" s="7"/>
      <c r="M449" s="7"/>
      <c r="N449" s="7"/>
      <c r="O449" s="7"/>
      <c r="P449" s="7"/>
      <c r="Q449" s="7"/>
      <c r="R449" s="7"/>
      <c r="S449" s="7"/>
      <c r="T449" s="7"/>
      <c r="U449" s="7"/>
      <c r="V449" s="7"/>
      <c r="W449" s="7"/>
      <c r="X449" s="7"/>
      <c r="Y449" s="7"/>
      <c r="Z449" s="7"/>
    </row>
    <row r="450" spans="1:26" ht="21" customHeight="1" x14ac:dyDescent="0.2">
      <c r="A450" s="7"/>
      <c r="B450" s="6"/>
      <c r="C450" s="7"/>
      <c r="D450" s="7"/>
      <c r="E450" s="6"/>
      <c r="F450" s="6"/>
      <c r="G450" s="6"/>
      <c r="H450" s="6"/>
      <c r="I450" s="6"/>
      <c r="J450" s="7"/>
      <c r="K450" s="7"/>
      <c r="L450" s="7"/>
      <c r="M450" s="7"/>
      <c r="N450" s="7"/>
      <c r="O450" s="7"/>
      <c r="P450" s="7"/>
      <c r="Q450" s="7"/>
      <c r="R450" s="7"/>
      <c r="S450" s="7"/>
      <c r="T450" s="7"/>
      <c r="U450" s="7"/>
      <c r="V450" s="7"/>
      <c r="W450" s="7"/>
      <c r="X450" s="7"/>
      <c r="Y450" s="7"/>
      <c r="Z450" s="7"/>
    </row>
    <row r="451" spans="1:26" ht="21" customHeight="1" x14ac:dyDescent="0.2">
      <c r="A451" s="7"/>
      <c r="B451" s="6"/>
      <c r="C451" s="7"/>
      <c r="D451" s="7"/>
      <c r="E451" s="6"/>
      <c r="F451" s="6"/>
      <c r="G451" s="6"/>
      <c r="H451" s="6"/>
      <c r="I451" s="6"/>
      <c r="J451" s="7"/>
      <c r="K451" s="7"/>
      <c r="L451" s="7"/>
      <c r="M451" s="7"/>
      <c r="N451" s="7"/>
      <c r="O451" s="7"/>
      <c r="P451" s="7"/>
      <c r="Q451" s="7"/>
      <c r="R451" s="7"/>
      <c r="S451" s="7"/>
      <c r="T451" s="7"/>
      <c r="U451" s="7"/>
      <c r="V451" s="7"/>
      <c r="W451" s="7"/>
      <c r="X451" s="7"/>
      <c r="Y451" s="7"/>
      <c r="Z451" s="7"/>
    </row>
    <row r="452" spans="1:26" ht="21" customHeight="1" x14ac:dyDescent="0.2">
      <c r="A452" s="7"/>
      <c r="B452" s="6"/>
      <c r="C452" s="7"/>
      <c r="D452" s="7"/>
      <c r="E452" s="6"/>
      <c r="F452" s="6"/>
      <c r="G452" s="6"/>
      <c r="H452" s="6"/>
      <c r="I452" s="6"/>
      <c r="J452" s="7"/>
      <c r="K452" s="7"/>
      <c r="L452" s="7"/>
      <c r="M452" s="7"/>
      <c r="N452" s="7"/>
      <c r="O452" s="7"/>
      <c r="P452" s="7"/>
      <c r="Q452" s="7"/>
      <c r="R452" s="7"/>
      <c r="S452" s="7"/>
      <c r="T452" s="7"/>
      <c r="U452" s="7"/>
      <c r="V452" s="7"/>
      <c r="W452" s="7"/>
      <c r="X452" s="7"/>
      <c r="Y452" s="7"/>
      <c r="Z452" s="7"/>
    </row>
    <row r="453" spans="1:26" ht="21" customHeight="1" x14ac:dyDescent="0.2">
      <c r="A453" s="7"/>
      <c r="B453" s="6"/>
      <c r="C453" s="7"/>
      <c r="D453" s="7"/>
      <c r="E453" s="6"/>
      <c r="F453" s="6"/>
      <c r="G453" s="6"/>
      <c r="H453" s="6"/>
      <c r="I453" s="6"/>
      <c r="J453" s="7"/>
      <c r="K453" s="7"/>
      <c r="L453" s="7"/>
      <c r="M453" s="7"/>
      <c r="N453" s="7"/>
      <c r="O453" s="7"/>
      <c r="P453" s="7"/>
      <c r="Q453" s="7"/>
      <c r="R453" s="7"/>
      <c r="S453" s="7"/>
      <c r="T453" s="7"/>
      <c r="U453" s="7"/>
      <c r="V453" s="7"/>
      <c r="W453" s="7"/>
      <c r="X453" s="7"/>
      <c r="Y453" s="7"/>
      <c r="Z453" s="7"/>
    </row>
    <row r="454" spans="1:26" ht="21" customHeight="1" x14ac:dyDescent="0.2">
      <c r="A454" s="7"/>
      <c r="B454" s="6"/>
      <c r="C454" s="7"/>
      <c r="D454" s="7"/>
      <c r="E454" s="6"/>
      <c r="F454" s="6"/>
      <c r="G454" s="6"/>
      <c r="H454" s="6"/>
      <c r="I454" s="6"/>
      <c r="J454" s="7"/>
      <c r="K454" s="7"/>
      <c r="L454" s="7"/>
      <c r="M454" s="7"/>
      <c r="N454" s="7"/>
      <c r="O454" s="7"/>
      <c r="P454" s="7"/>
      <c r="Q454" s="7"/>
      <c r="R454" s="7"/>
      <c r="S454" s="7"/>
      <c r="T454" s="7"/>
      <c r="U454" s="7"/>
      <c r="V454" s="7"/>
      <c r="W454" s="7"/>
      <c r="X454" s="7"/>
      <c r="Y454" s="7"/>
      <c r="Z454" s="7"/>
    </row>
    <row r="455" spans="1:26" ht="21" customHeight="1" x14ac:dyDescent="0.2">
      <c r="A455" s="7"/>
      <c r="B455" s="6"/>
      <c r="C455" s="7"/>
      <c r="D455" s="7"/>
      <c r="E455" s="6"/>
      <c r="F455" s="6"/>
      <c r="G455" s="6"/>
      <c r="H455" s="6"/>
      <c r="I455" s="6"/>
      <c r="J455" s="7"/>
      <c r="K455" s="7"/>
      <c r="L455" s="7"/>
      <c r="M455" s="7"/>
      <c r="N455" s="7"/>
      <c r="O455" s="7"/>
      <c r="P455" s="7"/>
      <c r="Q455" s="7"/>
      <c r="R455" s="7"/>
      <c r="S455" s="7"/>
      <c r="T455" s="7"/>
      <c r="U455" s="7"/>
      <c r="V455" s="7"/>
      <c r="W455" s="7"/>
      <c r="X455" s="7"/>
      <c r="Y455" s="7"/>
      <c r="Z455" s="7"/>
    </row>
    <row r="456" spans="1:26" ht="21" customHeight="1" x14ac:dyDescent="0.2">
      <c r="A456" s="7"/>
      <c r="B456" s="6"/>
      <c r="C456" s="7"/>
      <c r="D456" s="7"/>
      <c r="E456" s="6"/>
      <c r="F456" s="6"/>
      <c r="G456" s="6"/>
      <c r="H456" s="6"/>
      <c r="I456" s="6"/>
      <c r="J456" s="7"/>
      <c r="K456" s="7"/>
      <c r="L456" s="7"/>
      <c r="M456" s="7"/>
      <c r="N456" s="7"/>
      <c r="O456" s="7"/>
      <c r="P456" s="7"/>
      <c r="Q456" s="7"/>
      <c r="R456" s="7"/>
      <c r="S456" s="7"/>
      <c r="T456" s="7"/>
      <c r="U456" s="7"/>
      <c r="V456" s="7"/>
      <c r="W456" s="7"/>
      <c r="X456" s="7"/>
      <c r="Y456" s="7"/>
      <c r="Z456" s="7"/>
    </row>
    <row r="457" spans="1:26" ht="21" customHeight="1" x14ac:dyDescent="0.2">
      <c r="A457" s="7"/>
      <c r="B457" s="6"/>
      <c r="C457" s="7"/>
      <c r="D457" s="7"/>
      <c r="E457" s="6"/>
      <c r="F457" s="6"/>
      <c r="G457" s="6"/>
      <c r="H457" s="6"/>
      <c r="I457" s="6"/>
      <c r="J457" s="7"/>
      <c r="K457" s="7"/>
      <c r="L457" s="7"/>
      <c r="M457" s="7"/>
      <c r="N457" s="7"/>
      <c r="O457" s="7"/>
      <c r="P457" s="7"/>
      <c r="Q457" s="7"/>
      <c r="R457" s="7"/>
      <c r="S457" s="7"/>
      <c r="T457" s="7"/>
      <c r="U457" s="7"/>
      <c r="V457" s="7"/>
      <c r="W457" s="7"/>
      <c r="X457" s="7"/>
      <c r="Y457" s="7"/>
      <c r="Z457" s="7"/>
    </row>
    <row r="458" spans="1:26" ht="21" customHeight="1" x14ac:dyDescent="0.2">
      <c r="A458" s="7"/>
      <c r="B458" s="6"/>
      <c r="C458" s="7"/>
      <c r="D458" s="7"/>
      <c r="E458" s="6"/>
      <c r="F458" s="6"/>
      <c r="G458" s="6"/>
      <c r="H458" s="6"/>
      <c r="I458" s="6"/>
      <c r="J458" s="7"/>
      <c r="K458" s="7"/>
      <c r="L458" s="7"/>
      <c r="M458" s="7"/>
      <c r="N458" s="7"/>
      <c r="O458" s="7"/>
      <c r="P458" s="7"/>
      <c r="Q458" s="7"/>
      <c r="R458" s="7"/>
      <c r="S458" s="7"/>
      <c r="T458" s="7"/>
      <c r="U458" s="7"/>
      <c r="V458" s="7"/>
      <c r="W458" s="7"/>
      <c r="X458" s="7"/>
      <c r="Y458" s="7"/>
      <c r="Z458" s="7"/>
    </row>
    <row r="459" spans="1:26" ht="21" customHeight="1" x14ac:dyDescent="0.2">
      <c r="A459" s="7"/>
      <c r="B459" s="6"/>
      <c r="C459" s="7"/>
      <c r="D459" s="7"/>
      <c r="E459" s="6"/>
      <c r="F459" s="6"/>
      <c r="G459" s="6"/>
      <c r="H459" s="6"/>
      <c r="I459" s="6"/>
      <c r="J459" s="7"/>
      <c r="K459" s="7"/>
      <c r="L459" s="7"/>
      <c r="M459" s="7"/>
      <c r="N459" s="7"/>
      <c r="O459" s="7"/>
      <c r="P459" s="7"/>
      <c r="Q459" s="7"/>
      <c r="R459" s="7"/>
      <c r="S459" s="7"/>
      <c r="T459" s="7"/>
      <c r="U459" s="7"/>
      <c r="V459" s="7"/>
      <c r="W459" s="7"/>
      <c r="X459" s="7"/>
      <c r="Y459" s="7"/>
      <c r="Z459" s="7"/>
    </row>
    <row r="460" spans="1:26" ht="21" customHeight="1" x14ac:dyDescent="0.2">
      <c r="A460" s="7"/>
      <c r="B460" s="6"/>
      <c r="C460" s="7"/>
      <c r="D460" s="7"/>
      <c r="E460" s="6"/>
      <c r="F460" s="6"/>
      <c r="G460" s="6"/>
      <c r="H460" s="6"/>
      <c r="I460" s="6"/>
      <c r="J460" s="7"/>
      <c r="K460" s="7"/>
      <c r="L460" s="7"/>
      <c r="M460" s="7"/>
      <c r="N460" s="7"/>
      <c r="O460" s="7"/>
      <c r="P460" s="7"/>
      <c r="Q460" s="7"/>
      <c r="R460" s="7"/>
      <c r="S460" s="7"/>
      <c r="T460" s="7"/>
      <c r="U460" s="7"/>
      <c r="V460" s="7"/>
      <c r="W460" s="7"/>
      <c r="X460" s="7"/>
      <c r="Y460" s="7"/>
      <c r="Z460" s="7"/>
    </row>
    <row r="461" spans="1:26" ht="21" customHeight="1" x14ac:dyDescent="0.2">
      <c r="A461" s="7"/>
      <c r="B461" s="6"/>
      <c r="C461" s="7"/>
      <c r="D461" s="7"/>
      <c r="E461" s="6"/>
      <c r="F461" s="6"/>
      <c r="G461" s="6"/>
      <c r="H461" s="6"/>
      <c r="I461" s="6"/>
      <c r="J461" s="7"/>
      <c r="K461" s="7"/>
      <c r="L461" s="7"/>
      <c r="M461" s="7"/>
      <c r="N461" s="7"/>
      <c r="O461" s="7"/>
      <c r="P461" s="7"/>
      <c r="Q461" s="7"/>
      <c r="R461" s="7"/>
      <c r="S461" s="7"/>
      <c r="T461" s="7"/>
      <c r="U461" s="7"/>
      <c r="V461" s="7"/>
      <c r="W461" s="7"/>
      <c r="X461" s="7"/>
      <c r="Y461" s="7"/>
      <c r="Z461" s="7"/>
    </row>
    <row r="462" spans="1:26" ht="21" customHeight="1" x14ac:dyDescent="0.2">
      <c r="A462" s="7"/>
      <c r="B462" s="6"/>
      <c r="C462" s="7"/>
      <c r="D462" s="7"/>
      <c r="E462" s="6"/>
      <c r="F462" s="6"/>
      <c r="G462" s="6"/>
      <c r="H462" s="6"/>
      <c r="I462" s="6"/>
      <c r="J462" s="7"/>
      <c r="K462" s="7"/>
      <c r="L462" s="7"/>
      <c r="M462" s="7"/>
      <c r="N462" s="7"/>
      <c r="O462" s="7"/>
      <c r="P462" s="7"/>
      <c r="Q462" s="7"/>
      <c r="R462" s="7"/>
      <c r="S462" s="7"/>
      <c r="T462" s="7"/>
      <c r="U462" s="7"/>
      <c r="V462" s="7"/>
      <c r="W462" s="7"/>
      <c r="X462" s="7"/>
      <c r="Y462" s="7"/>
      <c r="Z462" s="7"/>
    </row>
    <row r="463" spans="1:26" ht="21" customHeight="1" x14ac:dyDescent="0.2">
      <c r="A463" s="7"/>
      <c r="B463" s="6"/>
      <c r="C463" s="7"/>
      <c r="D463" s="7"/>
      <c r="E463" s="6"/>
      <c r="F463" s="6"/>
      <c r="G463" s="6"/>
      <c r="H463" s="6"/>
      <c r="I463" s="6"/>
      <c r="J463" s="7"/>
      <c r="K463" s="7"/>
      <c r="L463" s="7"/>
      <c r="M463" s="7"/>
      <c r="N463" s="7"/>
      <c r="O463" s="7"/>
      <c r="P463" s="7"/>
      <c r="Q463" s="7"/>
      <c r="R463" s="7"/>
      <c r="S463" s="7"/>
      <c r="T463" s="7"/>
      <c r="U463" s="7"/>
      <c r="V463" s="7"/>
      <c r="W463" s="7"/>
      <c r="X463" s="7"/>
      <c r="Y463" s="7"/>
      <c r="Z463" s="7"/>
    </row>
    <row r="464" spans="1:26" ht="21" customHeight="1" x14ac:dyDescent="0.2">
      <c r="A464" s="7"/>
      <c r="B464" s="6"/>
      <c r="C464" s="7"/>
      <c r="D464" s="7"/>
      <c r="E464" s="6"/>
      <c r="F464" s="6"/>
      <c r="G464" s="6"/>
      <c r="H464" s="6"/>
      <c r="I464" s="6"/>
      <c r="J464" s="7"/>
      <c r="K464" s="7"/>
      <c r="L464" s="7"/>
      <c r="M464" s="7"/>
      <c r="N464" s="7"/>
      <c r="O464" s="7"/>
      <c r="P464" s="7"/>
      <c r="Q464" s="7"/>
      <c r="R464" s="7"/>
      <c r="S464" s="7"/>
      <c r="T464" s="7"/>
      <c r="U464" s="7"/>
      <c r="V464" s="7"/>
      <c r="W464" s="7"/>
      <c r="X464" s="7"/>
      <c r="Y464" s="7"/>
      <c r="Z464" s="7"/>
    </row>
    <row r="465" spans="1:26" ht="21" customHeight="1" x14ac:dyDescent="0.2">
      <c r="A465" s="7"/>
      <c r="B465" s="6"/>
      <c r="C465" s="7"/>
      <c r="D465" s="7"/>
      <c r="E465" s="6"/>
      <c r="F465" s="6"/>
      <c r="G465" s="6"/>
      <c r="H465" s="6"/>
      <c r="I465" s="6"/>
      <c r="J465" s="7"/>
      <c r="K465" s="7"/>
      <c r="L465" s="7"/>
      <c r="M465" s="7"/>
      <c r="N465" s="7"/>
      <c r="O465" s="7"/>
      <c r="P465" s="7"/>
      <c r="Q465" s="7"/>
      <c r="R465" s="7"/>
      <c r="S465" s="7"/>
      <c r="T465" s="7"/>
      <c r="U465" s="7"/>
      <c r="V465" s="7"/>
      <c r="W465" s="7"/>
      <c r="X465" s="7"/>
      <c r="Y465" s="7"/>
      <c r="Z465" s="7"/>
    </row>
    <row r="466" spans="1:26" ht="21" customHeight="1" x14ac:dyDescent="0.2">
      <c r="A466" s="7"/>
      <c r="B466" s="6"/>
      <c r="C466" s="7"/>
      <c r="D466" s="7"/>
      <c r="E466" s="6"/>
      <c r="F466" s="6"/>
      <c r="G466" s="6"/>
      <c r="H466" s="6"/>
      <c r="I466" s="6"/>
      <c r="J466" s="7"/>
      <c r="K466" s="7"/>
      <c r="L466" s="7"/>
      <c r="M466" s="7"/>
      <c r="N466" s="7"/>
      <c r="O466" s="7"/>
      <c r="P466" s="7"/>
      <c r="Q466" s="7"/>
      <c r="R466" s="7"/>
      <c r="S466" s="7"/>
      <c r="T466" s="7"/>
      <c r="U466" s="7"/>
      <c r="V466" s="7"/>
      <c r="W466" s="7"/>
      <c r="X466" s="7"/>
      <c r="Y466" s="7"/>
      <c r="Z466" s="7"/>
    </row>
    <row r="467" spans="1:26" ht="21" customHeight="1" x14ac:dyDescent="0.2">
      <c r="A467" s="7"/>
      <c r="B467" s="6"/>
      <c r="C467" s="7"/>
      <c r="D467" s="7"/>
      <c r="E467" s="6"/>
      <c r="F467" s="6"/>
      <c r="G467" s="6"/>
      <c r="H467" s="6"/>
      <c r="I467" s="6"/>
      <c r="J467" s="7"/>
      <c r="K467" s="7"/>
      <c r="L467" s="7"/>
      <c r="M467" s="7"/>
      <c r="N467" s="7"/>
      <c r="O467" s="7"/>
      <c r="P467" s="7"/>
      <c r="Q467" s="7"/>
      <c r="R467" s="7"/>
      <c r="S467" s="7"/>
      <c r="T467" s="7"/>
      <c r="U467" s="7"/>
      <c r="V467" s="7"/>
      <c r="W467" s="7"/>
      <c r="X467" s="7"/>
      <c r="Y467" s="7"/>
      <c r="Z467" s="7"/>
    </row>
    <row r="468" spans="1:26" ht="21" customHeight="1" x14ac:dyDescent="0.2">
      <c r="A468" s="7"/>
      <c r="B468" s="6"/>
      <c r="C468" s="7"/>
      <c r="D468" s="7"/>
      <c r="E468" s="6"/>
      <c r="F468" s="6"/>
      <c r="G468" s="6"/>
      <c r="H468" s="6"/>
      <c r="I468" s="6"/>
      <c r="J468" s="7"/>
      <c r="K468" s="7"/>
      <c r="L468" s="7"/>
      <c r="M468" s="7"/>
      <c r="N468" s="7"/>
      <c r="O468" s="7"/>
      <c r="P468" s="7"/>
      <c r="Q468" s="7"/>
      <c r="R468" s="7"/>
      <c r="S468" s="7"/>
      <c r="T468" s="7"/>
      <c r="U468" s="7"/>
      <c r="V468" s="7"/>
      <c r="W468" s="7"/>
      <c r="X468" s="7"/>
      <c r="Y468" s="7"/>
      <c r="Z468" s="7"/>
    </row>
    <row r="469" spans="1:26" ht="21" customHeight="1" x14ac:dyDescent="0.2">
      <c r="A469" s="7"/>
      <c r="B469" s="6"/>
      <c r="C469" s="7"/>
      <c r="D469" s="7"/>
      <c r="E469" s="6"/>
      <c r="F469" s="6"/>
      <c r="G469" s="6"/>
      <c r="H469" s="6"/>
      <c r="I469" s="6"/>
      <c r="J469" s="7"/>
      <c r="K469" s="7"/>
      <c r="L469" s="7"/>
      <c r="M469" s="7"/>
      <c r="N469" s="7"/>
      <c r="O469" s="7"/>
      <c r="P469" s="7"/>
      <c r="Q469" s="7"/>
      <c r="R469" s="7"/>
      <c r="S469" s="7"/>
      <c r="T469" s="7"/>
      <c r="U469" s="7"/>
      <c r="V469" s="7"/>
      <c r="W469" s="7"/>
      <c r="X469" s="7"/>
      <c r="Y469" s="7"/>
      <c r="Z469" s="7"/>
    </row>
    <row r="470" spans="1:26" ht="21" customHeight="1" x14ac:dyDescent="0.2">
      <c r="A470" s="7"/>
      <c r="B470" s="6"/>
      <c r="C470" s="7"/>
      <c r="D470" s="7"/>
      <c r="E470" s="6"/>
      <c r="F470" s="6"/>
      <c r="G470" s="6"/>
      <c r="H470" s="6"/>
      <c r="I470" s="6"/>
      <c r="J470" s="7"/>
      <c r="K470" s="7"/>
      <c r="L470" s="7"/>
      <c r="M470" s="7"/>
      <c r="N470" s="7"/>
      <c r="O470" s="7"/>
      <c r="P470" s="7"/>
      <c r="Q470" s="7"/>
      <c r="R470" s="7"/>
      <c r="S470" s="7"/>
      <c r="T470" s="7"/>
      <c r="U470" s="7"/>
      <c r="V470" s="7"/>
      <c r="W470" s="7"/>
      <c r="X470" s="7"/>
      <c r="Y470" s="7"/>
      <c r="Z470" s="7"/>
    </row>
    <row r="471" spans="1:26" ht="21" customHeight="1" x14ac:dyDescent="0.2">
      <c r="A471" s="7"/>
      <c r="B471" s="6"/>
      <c r="C471" s="7"/>
      <c r="D471" s="7"/>
      <c r="E471" s="6"/>
      <c r="F471" s="6"/>
      <c r="G471" s="6"/>
      <c r="H471" s="6"/>
      <c r="I471" s="6"/>
      <c r="J471" s="7"/>
      <c r="K471" s="7"/>
      <c r="L471" s="7"/>
      <c r="M471" s="7"/>
      <c r="N471" s="7"/>
      <c r="O471" s="7"/>
      <c r="P471" s="7"/>
      <c r="Q471" s="7"/>
      <c r="R471" s="7"/>
      <c r="S471" s="7"/>
      <c r="T471" s="7"/>
      <c r="U471" s="7"/>
      <c r="V471" s="7"/>
      <c r="W471" s="7"/>
      <c r="X471" s="7"/>
      <c r="Y471" s="7"/>
      <c r="Z471" s="7"/>
    </row>
    <row r="472" spans="1:26" ht="21" customHeight="1" x14ac:dyDescent="0.2">
      <c r="A472" s="7"/>
      <c r="B472" s="6"/>
      <c r="C472" s="7"/>
      <c r="D472" s="7"/>
      <c r="E472" s="6"/>
      <c r="F472" s="6"/>
      <c r="G472" s="6"/>
      <c r="H472" s="6"/>
      <c r="I472" s="6"/>
      <c r="J472" s="7"/>
      <c r="K472" s="7"/>
      <c r="L472" s="7"/>
      <c r="M472" s="7"/>
      <c r="N472" s="7"/>
      <c r="O472" s="7"/>
      <c r="P472" s="7"/>
      <c r="Q472" s="7"/>
      <c r="R472" s="7"/>
      <c r="S472" s="7"/>
      <c r="T472" s="7"/>
      <c r="U472" s="7"/>
      <c r="V472" s="7"/>
      <c r="W472" s="7"/>
      <c r="X472" s="7"/>
      <c r="Y472" s="7"/>
      <c r="Z472" s="7"/>
    </row>
    <row r="473" spans="1:26" ht="21" customHeight="1" x14ac:dyDescent="0.2">
      <c r="A473" s="7"/>
      <c r="B473" s="6"/>
      <c r="C473" s="7"/>
      <c r="D473" s="7"/>
      <c r="E473" s="6"/>
      <c r="F473" s="6"/>
      <c r="G473" s="6"/>
      <c r="H473" s="6"/>
      <c r="I473" s="6"/>
      <c r="J473" s="7"/>
      <c r="K473" s="7"/>
      <c r="L473" s="7"/>
      <c r="M473" s="7"/>
      <c r="N473" s="7"/>
      <c r="O473" s="7"/>
      <c r="P473" s="7"/>
      <c r="Q473" s="7"/>
      <c r="R473" s="7"/>
      <c r="S473" s="7"/>
      <c r="T473" s="7"/>
      <c r="U473" s="7"/>
      <c r="V473" s="7"/>
      <c r="W473" s="7"/>
      <c r="X473" s="7"/>
      <c r="Y473" s="7"/>
      <c r="Z473" s="7"/>
    </row>
    <row r="474" spans="1:26" ht="21" customHeight="1" x14ac:dyDescent="0.2">
      <c r="A474" s="7"/>
      <c r="B474" s="6"/>
      <c r="C474" s="7"/>
      <c r="D474" s="7"/>
      <c r="E474" s="6"/>
      <c r="F474" s="6"/>
      <c r="G474" s="6"/>
      <c r="H474" s="6"/>
      <c r="I474" s="6"/>
      <c r="J474" s="7"/>
      <c r="K474" s="7"/>
      <c r="L474" s="7"/>
      <c r="M474" s="7"/>
      <c r="N474" s="7"/>
      <c r="O474" s="7"/>
      <c r="P474" s="7"/>
      <c r="Q474" s="7"/>
      <c r="R474" s="7"/>
      <c r="S474" s="7"/>
      <c r="T474" s="7"/>
      <c r="U474" s="7"/>
      <c r="V474" s="7"/>
      <c r="W474" s="7"/>
      <c r="X474" s="7"/>
      <c r="Y474" s="7"/>
      <c r="Z474" s="7"/>
    </row>
    <row r="475" spans="1:26" ht="21" customHeight="1" x14ac:dyDescent="0.2">
      <c r="A475" s="7"/>
      <c r="B475" s="6"/>
      <c r="C475" s="7"/>
      <c r="D475" s="7"/>
      <c r="E475" s="6"/>
      <c r="F475" s="6"/>
      <c r="G475" s="6"/>
      <c r="H475" s="6"/>
      <c r="I475" s="6"/>
      <c r="J475" s="7"/>
      <c r="K475" s="7"/>
      <c r="L475" s="7"/>
      <c r="M475" s="7"/>
      <c r="N475" s="7"/>
      <c r="O475" s="7"/>
      <c r="P475" s="7"/>
      <c r="Q475" s="7"/>
      <c r="R475" s="7"/>
      <c r="S475" s="7"/>
      <c r="T475" s="7"/>
      <c r="U475" s="7"/>
      <c r="V475" s="7"/>
      <c r="W475" s="7"/>
      <c r="X475" s="7"/>
      <c r="Y475" s="7"/>
      <c r="Z475" s="7"/>
    </row>
    <row r="476" spans="1:26" ht="21" customHeight="1" x14ac:dyDescent="0.2">
      <c r="A476" s="7"/>
      <c r="B476" s="6"/>
      <c r="C476" s="7"/>
      <c r="D476" s="7"/>
      <c r="E476" s="6"/>
      <c r="F476" s="6"/>
      <c r="G476" s="6"/>
      <c r="H476" s="6"/>
      <c r="I476" s="6"/>
      <c r="J476" s="7"/>
      <c r="K476" s="7"/>
      <c r="L476" s="7"/>
      <c r="M476" s="7"/>
      <c r="N476" s="7"/>
      <c r="O476" s="7"/>
      <c r="P476" s="7"/>
      <c r="Q476" s="7"/>
      <c r="R476" s="7"/>
      <c r="S476" s="7"/>
      <c r="T476" s="7"/>
      <c r="U476" s="7"/>
      <c r="V476" s="7"/>
      <c r="W476" s="7"/>
      <c r="X476" s="7"/>
      <c r="Y476" s="7"/>
      <c r="Z476" s="7"/>
    </row>
    <row r="477" spans="1:26" ht="21" customHeight="1" x14ac:dyDescent="0.2">
      <c r="A477" s="7"/>
      <c r="B477" s="6"/>
      <c r="C477" s="7"/>
      <c r="D477" s="7"/>
      <c r="E477" s="6"/>
      <c r="F477" s="6"/>
      <c r="G477" s="6"/>
      <c r="H477" s="6"/>
      <c r="I477" s="6"/>
      <c r="J477" s="7"/>
      <c r="K477" s="7"/>
      <c r="L477" s="7"/>
      <c r="M477" s="7"/>
      <c r="N477" s="7"/>
      <c r="O477" s="7"/>
      <c r="P477" s="7"/>
      <c r="Q477" s="7"/>
      <c r="R477" s="7"/>
      <c r="S477" s="7"/>
      <c r="T477" s="7"/>
      <c r="U477" s="7"/>
      <c r="V477" s="7"/>
      <c r="W477" s="7"/>
      <c r="X477" s="7"/>
      <c r="Y477" s="7"/>
      <c r="Z477" s="7"/>
    </row>
    <row r="478" spans="1:26" ht="21" customHeight="1" x14ac:dyDescent="0.2">
      <c r="A478" s="7"/>
      <c r="B478" s="6"/>
      <c r="C478" s="7"/>
      <c r="D478" s="7"/>
      <c r="E478" s="6"/>
      <c r="F478" s="6"/>
      <c r="G478" s="6"/>
      <c r="H478" s="6"/>
      <c r="I478" s="6"/>
      <c r="J478" s="7"/>
      <c r="K478" s="7"/>
      <c r="L478" s="7"/>
      <c r="M478" s="7"/>
      <c r="N478" s="7"/>
      <c r="O478" s="7"/>
      <c r="P478" s="7"/>
      <c r="Q478" s="7"/>
      <c r="R478" s="7"/>
      <c r="S478" s="7"/>
      <c r="T478" s="7"/>
      <c r="U478" s="7"/>
      <c r="V478" s="7"/>
      <c r="W478" s="7"/>
      <c r="X478" s="7"/>
      <c r="Y478" s="7"/>
      <c r="Z478" s="7"/>
    </row>
    <row r="479" spans="1:26" ht="21" customHeight="1" x14ac:dyDescent="0.2">
      <c r="A479" s="7"/>
      <c r="B479" s="6"/>
      <c r="C479" s="7"/>
      <c r="D479" s="7"/>
      <c r="E479" s="6"/>
      <c r="F479" s="6"/>
      <c r="G479" s="6"/>
      <c r="H479" s="6"/>
      <c r="I479" s="6"/>
      <c r="J479" s="7"/>
      <c r="K479" s="7"/>
      <c r="L479" s="7"/>
      <c r="M479" s="7"/>
      <c r="N479" s="7"/>
      <c r="O479" s="7"/>
      <c r="P479" s="7"/>
      <c r="Q479" s="7"/>
      <c r="R479" s="7"/>
      <c r="S479" s="7"/>
      <c r="T479" s="7"/>
      <c r="U479" s="7"/>
      <c r="V479" s="7"/>
      <c r="W479" s="7"/>
      <c r="X479" s="7"/>
      <c r="Y479" s="7"/>
      <c r="Z479" s="7"/>
    </row>
    <row r="480" spans="1:26" ht="21" customHeight="1" x14ac:dyDescent="0.2">
      <c r="A480" s="7"/>
      <c r="B480" s="6"/>
      <c r="C480" s="7"/>
      <c r="D480" s="7"/>
      <c r="E480" s="6"/>
      <c r="F480" s="6"/>
      <c r="G480" s="6"/>
      <c r="H480" s="6"/>
      <c r="I480" s="6"/>
      <c r="J480" s="7"/>
      <c r="K480" s="7"/>
      <c r="L480" s="7"/>
      <c r="M480" s="7"/>
      <c r="N480" s="7"/>
      <c r="O480" s="7"/>
      <c r="P480" s="7"/>
      <c r="Q480" s="7"/>
      <c r="R480" s="7"/>
      <c r="S480" s="7"/>
      <c r="T480" s="7"/>
      <c r="U480" s="7"/>
      <c r="V480" s="7"/>
      <c r="W480" s="7"/>
      <c r="X480" s="7"/>
      <c r="Y480" s="7"/>
      <c r="Z480" s="7"/>
    </row>
    <row r="481" spans="1:26" ht="21" customHeight="1" x14ac:dyDescent="0.2">
      <c r="A481" s="7"/>
      <c r="B481" s="6"/>
      <c r="C481" s="7"/>
      <c r="D481" s="7"/>
      <c r="E481" s="6"/>
      <c r="F481" s="6"/>
      <c r="G481" s="6"/>
      <c r="H481" s="6"/>
      <c r="I481" s="6"/>
      <c r="J481" s="7"/>
      <c r="K481" s="7"/>
      <c r="L481" s="7"/>
      <c r="M481" s="7"/>
      <c r="N481" s="7"/>
      <c r="O481" s="7"/>
      <c r="P481" s="7"/>
      <c r="Q481" s="7"/>
      <c r="R481" s="7"/>
      <c r="S481" s="7"/>
      <c r="T481" s="7"/>
      <c r="U481" s="7"/>
      <c r="V481" s="7"/>
      <c r="W481" s="7"/>
      <c r="X481" s="7"/>
      <c r="Y481" s="7"/>
      <c r="Z481" s="7"/>
    </row>
    <row r="482" spans="1:26" ht="21" customHeight="1" x14ac:dyDescent="0.2">
      <c r="A482" s="7"/>
      <c r="B482" s="6"/>
      <c r="C482" s="7"/>
      <c r="D482" s="7"/>
      <c r="E482" s="6"/>
      <c r="F482" s="6"/>
      <c r="G482" s="6"/>
      <c r="H482" s="6"/>
      <c r="I482" s="6"/>
      <c r="J482" s="7"/>
      <c r="K482" s="7"/>
      <c r="L482" s="7"/>
      <c r="M482" s="7"/>
      <c r="N482" s="7"/>
      <c r="O482" s="7"/>
      <c r="P482" s="7"/>
      <c r="Q482" s="7"/>
      <c r="R482" s="7"/>
      <c r="S482" s="7"/>
      <c r="T482" s="7"/>
      <c r="U482" s="7"/>
      <c r="V482" s="7"/>
      <c r="W482" s="7"/>
      <c r="X482" s="7"/>
      <c r="Y482" s="7"/>
      <c r="Z482" s="7"/>
    </row>
    <row r="483" spans="1:26" ht="21" customHeight="1" x14ac:dyDescent="0.2">
      <c r="A483" s="7"/>
      <c r="B483" s="6"/>
      <c r="C483" s="7"/>
      <c r="D483" s="7"/>
      <c r="E483" s="6"/>
      <c r="F483" s="6"/>
      <c r="G483" s="6"/>
      <c r="H483" s="6"/>
      <c r="I483" s="6"/>
      <c r="J483" s="7"/>
      <c r="K483" s="7"/>
      <c r="L483" s="7"/>
      <c r="M483" s="7"/>
      <c r="N483" s="7"/>
      <c r="O483" s="7"/>
      <c r="P483" s="7"/>
      <c r="Q483" s="7"/>
      <c r="R483" s="7"/>
      <c r="S483" s="7"/>
      <c r="T483" s="7"/>
      <c r="U483" s="7"/>
      <c r="V483" s="7"/>
      <c r="W483" s="7"/>
      <c r="X483" s="7"/>
      <c r="Y483" s="7"/>
      <c r="Z483" s="7"/>
    </row>
    <row r="484" spans="1:26" ht="21" customHeight="1" x14ac:dyDescent="0.2">
      <c r="A484" s="7"/>
      <c r="B484" s="6"/>
      <c r="C484" s="7"/>
      <c r="D484" s="7"/>
      <c r="E484" s="6"/>
      <c r="F484" s="6"/>
      <c r="G484" s="6"/>
      <c r="H484" s="6"/>
      <c r="I484" s="6"/>
      <c r="J484" s="7"/>
      <c r="K484" s="7"/>
      <c r="L484" s="7"/>
      <c r="M484" s="7"/>
      <c r="N484" s="7"/>
      <c r="O484" s="7"/>
      <c r="P484" s="7"/>
      <c r="Q484" s="7"/>
      <c r="R484" s="7"/>
      <c r="S484" s="7"/>
      <c r="T484" s="7"/>
      <c r="U484" s="7"/>
      <c r="V484" s="7"/>
      <c r="W484" s="7"/>
      <c r="X484" s="7"/>
      <c r="Y484" s="7"/>
      <c r="Z484" s="7"/>
    </row>
    <row r="485" spans="1:26" ht="21" customHeight="1" x14ac:dyDescent="0.2">
      <c r="A485" s="7"/>
      <c r="B485" s="6"/>
      <c r="C485" s="7"/>
      <c r="D485" s="7"/>
      <c r="E485" s="6"/>
      <c r="F485" s="6"/>
      <c r="G485" s="6"/>
      <c r="H485" s="6"/>
      <c r="I485" s="6"/>
      <c r="J485" s="7"/>
      <c r="K485" s="7"/>
      <c r="L485" s="7"/>
      <c r="M485" s="7"/>
      <c r="N485" s="7"/>
      <c r="O485" s="7"/>
      <c r="P485" s="7"/>
      <c r="Q485" s="7"/>
      <c r="R485" s="7"/>
      <c r="S485" s="7"/>
      <c r="T485" s="7"/>
      <c r="U485" s="7"/>
      <c r="V485" s="7"/>
      <c r="W485" s="7"/>
      <c r="X485" s="7"/>
      <c r="Y485" s="7"/>
      <c r="Z485" s="7"/>
    </row>
    <row r="486" spans="1:26" ht="21" customHeight="1" x14ac:dyDescent="0.2">
      <c r="A486" s="7"/>
      <c r="B486" s="6"/>
      <c r="C486" s="7"/>
      <c r="D486" s="7"/>
      <c r="E486" s="6"/>
      <c r="F486" s="6"/>
      <c r="G486" s="6"/>
      <c r="H486" s="6"/>
      <c r="I486" s="6"/>
      <c r="J486" s="7"/>
      <c r="K486" s="7"/>
      <c r="L486" s="7"/>
      <c r="M486" s="7"/>
      <c r="N486" s="7"/>
      <c r="O486" s="7"/>
      <c r="P486" s="7"/>
      <c r="Q486" s="7"/>
      <c r="R486" s="7"/>
      <c r="S486" s="7"/>
      <c r="T486" s="7"/>
      <c r="U486" s="7"/>
      <c r="V486" s="7"/>
      <c r="W486" s="7"/>
      <c r="X486" s="7"/>
      <c r="Y486" s="7"/>
      <c r="Z486" s="7"/>
    </row>
    <row r="487" spans="1:26" ht="21" customHeight="1" x14ac:dyDescent="0.2">
      <c r="A487" s="7"/>
      <c r="B487" s="6"/>
      <c r="C487" s="7"/>
      <c r="D487" s="7"/>
      <c r="E487" s="6"/>
      <c r="F487" s="6"/>
      <c r="G487" s="6"/>
      <c r="H487" s="6"/>
      <c r="I487" s="6"/>
      <c r="J487" s="7"/>
      <c r="K487" s="7"/>
      <c r="L487" s="7"/>
      <c r="M487" s="7"/>
      <c r="N487" s="7"/>
      <c r="O487" s="7"/>
      <c r="P487" s="7"/>
      <c r="Q487" s="7"/>
      <c r="R487" s="7"/>
      <c r="S487" s="7"/>
      <c r="T487" s="7"/>
      <c r="U487" s="7"/>
      <c r="V487" s="7"/>
      <c r="W487" s="7"/>
      <c r="X487" s="7"/>
      <c r="Y487" s="7"/>
      <c r="Z487" s="7"/>
    </row>
    <row r="488" spans="1:26" ht="21" customHeight="1" x14ac:dyDescent="0.2">
      <c r="A488" s="7"/>
      <c r="B488" s="6"/>
      <c r="C488" s="7"/>
      <c r="D488" s="7"/>
      <c r="E488" s="6"/>
      <c r="F488" s="6"/>
      <c r="G488" s="6"/>
      <c r="H488" s="6"/>
      <c r="I488" s="6"/>
      <c r="J488" s="7"/>
      <c r="K488" s="7"/>
      <c r="L488" s="7"/>
      <c r="M488" s="7"/>
      <c r="N488" s="7"/>
      <c r="O488" s="7"/>
      <c r="P488" s="7"/>
      <c r="Q488" s="7"/>
      <c r="R488" s="7"/>
      <c r="S488" s="7"/>
      <c r="T488" s="7"/>
      <c r="U488" s="7"/>
      <c r="V488" s="7"/>
      <c r="W488" s="7"/>
      <c r="X488" s="7"/>
      <c r="Y488" s="7"/>
      <c r="Z488" s="7"/>
    </row>
    <row r="489" spans="1:26" ht="21" customHeight="1" x14ac:dyDescent="0.2">
      <c r="A489" s="7"/>
      <c r="B489" s="6"/>
      <c r="C489" s="7"/>
      <c r="D489" s="7"/>
      <c r="E489" s="6"/>
      <c r="F489" s="6"/>
      <c r="G489" s="6"/>
      <c r="H489" s="6"/>
      <c r="I489" s="6"/>
      <c r="J489" s="7"/>
      <c r="K489" s="7"/>
      <c r="L489" s="7"/>
      <c r="M489" s="7"/>
      <c r="N489" s="7"/>
      <c r="O489" s="7"/>
      <c r="P489" s="7"/>
      <c r="Q489" s="7"/>
      <c r="R489" s="7"/>
      <c r="S489" s="7"/>
      <c r="T489" s="7"/>
      <c r="U489" s="7"/>
      <c r="V489" s="7"/>
      <c r="W489" s="7"/>
      <c r="X489" s="7"/>
      <c r="Y489" s="7"/>
      <c r="Z489" s="7"/>
    </row>
    <row r="490" spans="1:26" ht="21" customHeight="1" x14ac:dyDescent="0.2">
      <c r="A490" s="7"/>
      <c r="B490" s="6"/>
      <c r="C490" s="7"/>
      <c r="D490" s="7"/>
      <c r="E490" s="6"/>
      <c r="F490" s="6"/>
      <c r="G490" s="6"/>
      <c r="H490" s="6"/>
      <c r="I490" s="6"/>
      <c r="J490" s="7"/>
      <c r="K490" s="7"/>
      <c r="L490" s="7"/>
      <c r="M490" s="7"/>
      <c r="N490" s="7"/>
      <c r="O490" s="7"/>
      <c r="P490" s="7"/>
      <c r="Q490" s="7"/>
      <c r="R490" s="7"/>
      <c r="S490" s="7"/>
      <c r="T490" s="7"/>
      <c r="U490" s="7"/>
      <c r="V490" s="7"/>
      <c r="W490" s="7"/>
      <c r="X490" s="7"/>
      <c r="Y490" s="7"/>
      <c r="Z490" s="7"/>
    </row>
    <row r="491" spans="1:26" ht="21" customHeight="1" x14ac:dyDescent="0.2">
      <c r="A491" s="7"/>
      <c r="B491" s="6"/>
      <c r="C491" s="7"/>
      <c r="D491" s="7"/>
      <c r="E491" s="6"/>
      <c r="F491" s="6"/>
      <c r="G491" s="6"/>
      <c r="H491" s="6"/>
      <c r="I491" s="6"/>
      <c r="J491" s="7"/>
      <c r="K491" s="7"/>
      <c r="L491" s="7"/>
      <c r="M491" s="7"/>
      <c r="N491" s="7"/>
      <c r="O491" s="7"/>
      <c r="P491" s="7"/>
      <c r="Q491" s="7"/>
      <c r="R491" s="7"/>
      <c r="S491" s="7"/>
      <c r="T491" s="7"/>
      <c r="U491" s="7"/>
      <c r="V491" s="7"/>
      <c r="W491" s="7"/>
      <c r="X491" s="7"/>
      <c r="Y491" s="7"/>
      <c r="Z491" s="7"/>
    </row>
    <row r="492" spans="1:26" ht="21" customHeight="1" x14ac:dyDescent="0.2">
      <c r="A492" s="7"/>
      <c r="B492" s="6"/>
      <c r="C492" s="7"/>
      <c r="D492" s="7"/>
      <c r="E492" s="6"/>
      <c r="F492" s="6"/>
      <c r="G492" s="6"/>
      <c r="H492" s="6"/>
      <c r="I492" s="6"/>
      <c r="J492" s="7"/>
      <c r="K492" s="7"/>
      <c r="L492" s="7"/>
      <c r="M492" s="7"/>
      <c r="N492" s="7"/>
      <c r="O492" s="7"/>
      <c r="P492" s="7"/>
      <c r="Q492" s="7"/>
      <c r="R492" s="7"/>
      <c r="S492" s="7"/>
      <c r="T492" s="7"/>
      <c r="U492" s="7"/>
      <c r="V492" s="7"/>
      <c r="W492" s="7"/>
      <c r="X492" s="7"/>
      <c r="Y492" s="7"/>
      <c r="Z492" s="7"/>
    </row>
    <row r="493" spans="1:26" ht="21" customHeight="1" x14ac:dyDescent="0.2">
      <c r="A493" s="7"/>
      <c r="B493" s="6"/>
      <c r="C493" s="7"/>
      <c r="D493" s="7"/>
      <c r="E493" s="6"/>
      <c r="F493" s="6"/>
      <c r="G493" s="6"/>
      <c r="H493" s="6"/>
      <c r="I493" s="6"/>
      <c r="J493" s="7"/>
      <c r="K493" s="7"/>
      <c r="L493" s="7"/>
      <c r="M493" s="7"/>
      <c r="N493" s="7"/>
      <c r="O493" s="7"/>
      <c r="P493" s="7"/>
      <c r="Q493" s="7"/>
      <c r="R493" s="7"/>
      <c r="S493" s="7"/>
      <c r="T493" s="7"/>
      <c r="U493" s="7"/>
      <c r="V493" s="7"/>
      <c r="W493" s="7"/>
      <c r="X493" s="7"/>
      <c r="Y493" s="7"/>
      <c r="Z493" s="7"/>
    </row>
    <row r="494" spans="1:26" ht="21" customHeight="1" x14ac:dyDescent="0.2">
      <c r="A494" s="7"/>
      <c r="B494" s="6"/>
      <c r="C494" s="7"/>
      <c r="D494" s="7"/>
      <c r="E494" s="6"/>
      <c r="F494" s="6"/>
      <c r="G494" s="6"/>
      <c r="H494" s="6"/>
      <c r="I494" s="6"/>
      <c r="J494" s="7"/>
      <c r="K494" s="7"/>
      <c r="L494" s="7"/>
      <c r="M494" s="7"/>
      <c r="N494" s="7"/>
      <c r="O494" s="7"/>
      <c r="P494" s="7"/>
      <c r="Q494" s="7"/>
      <c r="R494" s="7"/>
      <c r="S494" s="7"/>
      <c r="T494" s="7"/>
      <c r="U494" s="7"/>
      <c r="V494" s="7"/>
      <c r="W494" s="7"/>
      <c r="X494" s="7"/>
      <c r="Y494" s="7"/>
      <c r="Z494" s="7"/>
    </row>
    <row r="495" spans="1:26" ht="21" customHeight="1" x14ac:dyDescent="0.2">
      <c r="A495" s="7"/>
      <c r="B495" s="6"/>
      <c r="C495" s="7"/>
      <c r="D495" s="7"/>
      <c r="E495" s="6"/>
      <c r="F495" s="6"/>
      <c r="G495" s="6"/>
      <c r="H495" s="6"/>
      <c r="I495" s="6"/>
      <c r="J495" s="7"/>
      <c r="K495" s="7"/>
      <c r="L495" s="7"/>
      <c r="M495" s="7"/>
      <c r="N495" s="7"/>
      <c r="O495" s="7"/>
      <c r="P495" s="7"/>
      <c r="Q495" s="7"/>
      <c r="R495" s="7"/>
      <c r="S495" s="7"/>
      <c r="T495" s="7"/>
      <c r="U495" s="7"/>
      <c r="V495" s="7"/>
      <c r="W495" s="7"/>
      <c r="X495" s="7"/>
      <c r="Y495" s="7"/>
      <c r="Z495" s="7"/>
    </row>
    <row r="496" spans="1:26" ht="21" customHeight="1" x14ac:dyDescent="0.2">
      <c r="A496" s="7"/>
      <c r="B496" s="6"/>
      <c r="C496" s="7"/>
      <c r="D496" s="7"/>
      <c r="E496" s="6"/>
      <c r="F496" s="6"/>
      <c r="G496" s="6"/>
      <c r="H496" s="6"/>
      <c r="I496" s="6"/>
      <c r="J496" s="7"/>
      <c r="K496" s="7"/>
      <c r="L496" s="7"/>
      <c r="M496" s="7"/>
      <c r="N496" s="7"/>
      <c r="O496" s="7"/>
      <c r="P496" s="7"/>
      <c r="Q496" s="7"/>
      <c r="R496" s="7"/>
      <c r="S496" s="7"/>
      <c r="T496" s="7"/>
      <c r="U496" s="7"/>
      <c r="V496" s="7"/>
      <c r="W496" s="7"/>
      <c r="X496" s="7"/>
      <c r="Y496" s="7"/>
      <c r="Z496" s="7"/>
    </row>
    <row r="497" spans="1:26" ht="21" customHeight="1" x14ac:dyDescent="0.2">
      <c r="A497" s="7"/>
      <c r="B497" s="6"/>
      <c r="C497" s="7"/>
      <c r="D497" s="7"/>
      <c r="E497" s="6"/>
      <c r="F497" s="6"/>
      <c r="G497" s="6"/>
      <c r="H497" s="6"/>
      <c r="I497" s="6"/>
      <c r="J497" s="7"/>
      <c r="K497" s="7"/>
      <c r="L497" s="7"/>
      <c r="M497" s="7"/>
      <c r="N497" s="7"/>
      <c r="O497" s="7"/>
      <c r="P497" s="7"/>
      <c r="Q497" s="7"/>
      <c r="R497" s="7"/>
      <c r="S497" s="7"/>
      <c r="T497" s="7"/>
      <c r="U497" s="7"/>
      <c r="V497" s="7"/>
      <c r="W497" s="7"/>
      <c r="X497" s="7"/>
      <c r="Y497" s="7"/>
      <c r="Z497" s="7"/>
    </row>
    <row r="498" spans="1:26" ht="21" customHeight="1" x14ac:dyDescent="0.2">
      <c r="A498" s="7"/>
      <c r="B498" s="6"/>
      <c r="C498" s="7"/>
      <c r="D498" s="7"/>
      <c r="E498" s="6"/>
      <c r="F498" s="6"/>
      <c r="G498" s="6"/>
      <c r="H498" s="6"/>
      <c r="I498" s="6"/>
      <c r="J498" s="7"/>
      <c r="K498" s="7"/>
      <c r="L498" s="7"/>
      <c r="M498" s="7"/>
      <c r="N498" s="7"/>
      <c r="O498" s="7"/>
      <c r="P498" s="7"/>
      <c r="Q498" s="7"/>
      <c r="R498" s="7"/>
      <c r="S498" s="7"/>
      <c r="T498" s="7"/>
      <c r="U498" s="7"/>
      <c r="V498" s="7"/>
      <c r="W498" s="7"/>
      <c r="X498" s="7"/>
      <c r="Y498" s="7"/>
      <c r="Z498" s="7"/>
    </row>
    <row r="499" spans="1:26" ht="21" customHeight="1" x14ac:dyDescent="0.2">
      <c r="A499" s="7"/>
      <c r="B499" s="6"/>
      <c r="C499" s="7"/>
      <c r="D499" s="7"/>
      <c r="E499" s="6"/>
      <c r="F499" s="6"/>
      <c r="G499" s="6"/>
      <c r="H499" s="6"/>
      <c r="I499" s="6"/>
      <c r="J499" s="7"/>
      <c r="K499" s="7"/>
      <c r="L499" s="7"/>
      <c r="M499" s="7"/>
      <c r="N499" s="7"/>
      <c r="O499" s="7"/>
      <c r="P499" s="7"/>
      <c r="Q499" s="7"/>
      <c r="R499" s="7"/>
      <c r="S499" s="7"/>
      <c r="T499" s="7"/>
      <c r="U499" s="7"/>
      <c r="V499" s="7"/>
      <c r="W499" s="7"/>
      <c r="X499" s="7"/>
      <c r="Y499" s="7"/>
      <c r="Z499" s="7"/>
    </row>
    <row r="500" spans="1:26" ht="21" customHeight="1" x14ac:dyDescent="0.2">
      <c r="A500" s="7"/>
      <c r="B500" s="6"/>
      <c r="C500" s="7"/>
      <c r="D500" s="7"/>
      <c r="E500" s="6"/>
      <c r="F500" s="6"/>
      <c r="G500" s="6"/>
      <c r="H500" s="6"/>
      <c r="I500" s="6"/>
      <c r="J500" s="7"/>
      <c r="K500" s="7"/>
      <c r="L500" s="7"/>
      <c r="M500" s="7"/>
      <c r="N500" s="7"/>
      <c r="O500" s="7"/>
      <c r="P500" s="7"/>
      <c r="Q500" s="7"/>
      <c r="R500" s="7"/>
      <c r="S500" s="7"/>
      <c r="T500" s="7"/>
      <c r="U500" s="7"/>
      <c r="V500" s="7"/>
      <c r="W500" s="7"/>
      <c r="X500" s="7"/>
      <c r="Y500" s="7"/>
      <c r="Z500" s="7"/>
    </row>
    <row r="501" spans="1:26" ht="21" customHeight="1" x14ac:dyDescent="0.2">
      <c r="A501" s="7"/>
      <c r="B501" s="6"/>
      <c r="C501" s="7"/>
      <c r="D501" s="7"/>
      <c r="E501" s="6"/>
      <c r="F501" s="6"/>
      <c r="G501" s="6"/>
      <c r="H501" s="6"/>
      <c r="I501" s="6"/>
      <c r="J501" s="7"/>
      <c r="K501" s="7"/>
      <c r="L501" s="7"/>
      <c r="M501" s="7"/>
      <c r="N501" s="7"/>
      <c r="O501" s="7"/>
      <c r="P501" s="7"/>
      <c r="Q501" s="7"/>
      <c r="R501" s="7"/>
      <c r="S501" s="7"/>
      <c r="T501" s="7"/>
      <c r="U501" s="7"/>
      <c r="V501" s="7"/>
      <c r="W501" s="7"/>
      <c r="X501" s="7"/>
      <c r="Y501" s="7"/>
      <c r="Z501" s="7"/>
    </row>
    <row r="502" spans="1:26" ht="21" customHeight="1" x14ac:dyDescent="0.2">
      <c r="A502" s="7"/>
      <c r="B502" s="6"/>
      <c r="C502" s="7"/>
      <c r="D502" s="7"/>
      <c r="E502" s="6"/>
      <c r="F502" s="6"/>
      <c r="G502" s="6"/>
      <c r="H502" s="6"/>
      <c r="I502" s="6"/>
      <c r="J502" s="7"/>
      <c r="K502" s="7"/>
      <c r="L502" s="7"/>
      <c r="M502" s="7"/>
      <c r="N502" s="7"/>
      <c r="O502" s="7"/>
      <c r="P502" s="7"/>
      <c r="Q502" s="7"/>
      <c r="R502" s="7"/>
      <c r="S502" s="7"/>
      <c r="T502" s="7"/>
      <c r="U502" s="7"/>
      <c r="V502" s="7"/>
      <c r="W502" s="7"/>
      <c r="X502" s="7"/>
      <c r="Y502" s="7"/>
      <c r="Z502" s="7"/>
    </row>
    <row r="503" spans="1:26" ht="21" customHeight="1" x14ac:dyDescent="0.2">
      <c r="A503" s="7"/>
      <c r="B503" s="6"/>
      <c r="C503" s="7"/>
      <c r="D503" s="7"/>
      <c r="E503" s="6"/>
      <c r="F503" s="6"/>
      <c r="G503" s="6"/>
      <c r="H503" s="6"/>
      <c r="I503" s="6"/>
      <c r="J503" s="7"/>
      <c r="K503" s="7"/>
      <c r="L503" s="7"/>
      <c r="M503" s="7"/>
      <c r="N503" s="7"/>
      <c r="O503" s="7"/>
      <c r="P503" s="7"/>
      <c r="Q503" s="7"/>
      <c r="R503" s="7"/>
      <c r="S503" s="7"/>
      <c r="T503" s="7"/>
      <c r="U503" s="7"/>
      <c r="V503" s="7"/>
      <c r="W503" s="7"/>
      <c r="X503" s="7"/>
      <c r="Y503" s="7"/>
      <c r="Z503" s="7"/>
    </row>
    <row r="504" spans="1:26" ht="21" customHeight="1" x14ac:dyDescent="0.2">
      <c r="A504" s="7"/>
      <c r="B504" s="6"/>
      <c r="C504" s="7"/>
      <c r="D504" s="7"/>
      <c r="E504" s="6"/>
      <c r="F504" s="6"/>
      <c r="G504" s="6"/>
      <c r="H504" s="6"/>
      <c r="I504" s="6"/>
      <c r="J504" s="7"/>
      <c r="K504" s="7"/>
      <c r="L504" s="7"/>
      <c r="M504" s="7"/>
      <c r="N504" s="7"/>
      <c r="O504" s="7"/>
      <c r="P504" s="7"/>
      <c r="Q504" s="7"/>
      <c r="R504" s="7"/>
      <c r="S504" s="7"/>
      <c r="T504" s="7"/>
      <c r="U504" s="7"/>
      <c r="V504" s="7"/>
      <c r="W504" s="7"/>
      <c r="X504" s="7"/>
      <c r="Y504" s="7"/>
      <c r="Z504" s="7"/>
    </row>
    <row r="505" spans="1:26" ht="21" customHeight="1" x14ac:dyDescent="0.2">
      <c r="A505" s="7"/>
      <c r="B505" s="6"/>
      <c r="C505" s="7"/>
      <c r="D505" s="7"/>
      <c r="E505" s="6"/>
      <c r="F505" s="6"/>
      <c r="G505" s="6"/>
      <c r="H505" s="6"/>
      <c r="I505" s="6"/>
      <c r="J505" s="7"/>
      <c r="K505" s="7"/>
      <c r="L505" s="7"/>
      <c r="M505" s="7"/>
      <c r="N505" s="7"/>
      <c r="O505" s="7"/>
      <c r="P505" s="7"/>
      <c r="Q505" s="7"/>
      <c r="R505" s="7"/>
      <c r="S505" s="7"/>
      <c r="T505" s="7"/>
      <c r="U505" s="7"/>
      <c r="V505" s="7"/>
      <c r="W505" s="7"/>
      <c r="X505" s="7"/>
      <c r="Y505" s="7"/>
      <c r="Z505" s="7"/>
    </row>
    <row r="506" spans="1:26" ht="21" customHeight="1" x14ac:dyDescent="0.2">
      <c r="A506" s="7"/>
      <c r="B506" s="6"/>
      <c r="C506" s="7"/>
      <c r="D506" s="7"/>
      <c r="E506" s="6"/>
      <c r="F506" s="6"/>
      <c r="G506" s="6"/>
      <c r="H506" s="6"/>
      <c r="I506" s="6"/>
      <c r="J506" s="7"/>
      <c r="K506" s="7"/>
      <c r="L506" s="7"/>
      <c r="M506" s="7"/>
      <c r="N506" s="7"/>
      <c r="O506" s="7"/>
      <c r="P506" s="7"/>
      <c r="Q506" s="7"/>
      <c r="R506" s="7"/>
      <c r="S506" s="7"/>
      <c r="T506" s="7"/>
      <c r="U506" s="7"/>
      <c r="V506" s="7"/>
      <c r="W506" s="7"/>
      <c r="X506" s="7"/>
      <c r="Y506" s="7"/>
      <c r="Z506" s="7"/>
    </row>
    <row r="507" spans="1:26" ht="21" customHeight="1" x14ac:dyDescent="0.2">
      <c r="A507" s="7"/>
      <c r="B507" s="6"/>
      <c r="C507" s="7"/>
      <c r="D507" s="7"/>
      <c r="E507" s="6"/>
      <c r="F507" s="6"/>
      <c r="G507" s="6"/>
      <c r="H507" s="6"/>
      <c r="I507" s="6"/>
      <c r="J507" s="7"/>
      <c r="K507" s="7"/>
      <c r="L507" s="7"/>
      <c r="M507" s="7"/>
      <c r="N507" s="7"/>
      <c r="O507" s="7"/>
      <c r="P507" s="7"/>
      <c r="Q507" s="7"/>
      <c r="R507" s="7"/>
      <c r="S507" s="7"/>
      <c r="T507" s="7"/>
      <c r="U507" s="7"/>
      <c r="V507" s="7"/>
      <c r="W507" s="7"/>
      <c r="X507" s="7"/>
      <c r="Y507" s="7"/>
      <c r="Z507" s="7"/>
    </row>
    <row r="508" spans="1:26" ht="21" customHeight="1" x14ac:dyDescent="0.2">
      <c r="A508" s="7"/>
      <c r="B508" s="6"/>
      <c r="C508" s="7"/>
      <c r="D508" s="7"/>
      <c r="E508" s="6"/>
      <c r="F508" s="6"/>
      <c r="G508" s="6"/>
      <c r="H508" s="6"/>
      <c r="I508" s="6"/>
      <c r="J508" s="7"/>
      <c r="K508" s="7"/>
      <c r="L508" s="7"/>
      <c r="M508" s="7"/>
      <c r="N508" s="7"/>
      <c r="O508" s="7"/>
      <c r="P508" s="7"/>
      <c r="Q508" s="7"/>
      <c r="R508" s="7"/>
      <c r="S508" s="7"/>
      <c r="T508" s="7"/>
      <c r="U508" s="7"/>
      <c r="V508" s="7"/>
      <c r="W508" s="7"/>
      <c r="X508" s="7"/>
      <c r="Y508" s="7"/>
      <c r="Z508" s="7"/>
    </row>
    <row r="509" spans="1:26" ht="21" customHeight="1" x14ac:dyDescent="0.2">
      <c r="A509" s="7"/>
      <c r="B509" s="6"/>
      <c r="C509" s="7"/>
      <c r="D509" s="7"/>
      <c r="E509" s="6"/>
      <c r="F509" s="6"/>
      <c r="G509" s="6"/>
      <c r="H509" s="6"/>
      <c r="I509" s="6"/>
      <c r="J509" s="7"/>
      <c r="K509" s="7"/>
      <c r="L509" s="7"/>
      <c r="M509" s="7"/>
      <c r="N509" s="7"/>
      <c r="O509" s="7"/>
      <c r="P509" s="7"/>
      <c r="Q509" s="7"/>
      <c r="R509" s="7"/>
      <c r="S509" s="7"/>
      <c r="T509" s="7"/>
      <c r="U509" s="7"/>
      <c r="V509" s="7"/>
      <c r="W509" s="7"/>
      <c r="X509" s="7"/>
      <c r="Y509" s="7"/>
      <c r="Z509" s="7"/>
    </row>
    <row r="510" spans="1:26" ht="21" customHeight="1" x14ac:dyDescent="0.2">
      <c r="A510" s="7"/>
      <c r="B510" s="6"/>
      <c r="C510" s="7"/>
      <c r="D510" s="7"/>
      <c r="E510" s="6"/>
      <c r="F510" s="6"/>
      <c r="G510" s="6"/>
      <c r="H510" s="6"/>
      <c r="I510" s="6"/>
      <c r="J510" s="7"/>
      <c r="K510" s="7"/>
      <c r="L510" s="7"/>
      <c r="M510" s="7"/>
      <c r="N510" s="7"/>
      <c r="O510" s="7"/>
      <c r="P510" s="7"/>
      <c r="Q510" s="7"/>
      <c r="R510" s="7"/>
      <c r="S510" s="7"/>
      <c r="T510" s="7"/>
      <c r="U510" s="7"/>
      <c r="V510" s="7"/>
      <c r="W510" s="7"/>
      <c r="X510" s="7"/>
      <c r="Y510" s="7"/>
      <c r="Z510" s="7"/>
    </row>
    <row r="511" spans="1:26" ht="21" customHeight="1" x14ac:dyDescent="0.2">
      <c r="A511" s="7"/>
      <c r="B511" s="6"/>
      <c r="C511" s="7"/>
      <c r="D511" s="7"/>
      <c r="E511" s="6"/>
      <c r="F511" s="6"/>
      <c r="G511" s="6"/>
      <c r="H511" s="6"/>
      <c r="I511" s="6"/>
      <c r="J511" s="7"/>
      <c r="K511" s="7"/>
      <c r="L511" s="7"/>
      <c r="M511" s="7"/>
      <c r="N511" s="7"/>
      <c r="O511" s="7"/>
      <c r="P511" s="7"/>
      <c r="Q511" s="7"/>
      <c r="R511" s="7"/>
      <c r="S511" s="7"/>
      <c r="T511" s="7"/>
      <c r="U511" s="7"/>
      <c r="V511" s="7"/>
      <c r="W511" s="7"/>
      <c r="X511" s="7"/>
      <c r="Y511" s="7"/>
      <c r="Z511" s="7"/>
    </row>
    <row r="512" spans="1:26" ht="21" customHeight="1" x14ac:dyDescent="0.2">
      <c r="A512" s="7"/>
      <c r="B512" s="6"/>
      <c r="C512" s="7"/>
      <c r="D512" s="7"/>
      <c r="E512" s="6"/>
      <c r="F512" s="6"/>
      <c r="G512" s="6"/>
      <c r="H512" s="6"/>
      <c r="I512" s="6"/>
      <c r="J512" s="7"/>
      <c r="K512" s="7"/>
      <c r="L512" s="7"/>
      <c r="M512" s="7"/>
      <c r="N512" s="7"/>
      <c r="O512" s="7"/>
      <c r="P512" s="7"/>
      <c r="Q512" s="7"/>
      <c r="R512" s="7"/>
      <c r="S512" s="7"/>
      <c r="T512" s="7"/>
      <c r="U512" s="7"/>
      <c r="V512" s="7"/>
      <c r="W512" s="7"/>
      <c r="X512" s="7"/>
      <c r="Y512" s="7"/>
      <c r="Z512" s="7"/>
    </row>
    <row r="513" spans="1:26" ht="21" customHeight="1" x14ac:dyDescent="0.2">
      <c r="A513" s="7"/>
      <c r="B513" s="6"/>
      <c r="C513" s="7"/>
      <c r="D513" s="7"/>
      <c r="E513" s="6"/>
      <c r="F513" s="6"/>
      <c r="G513" s="6"/>
      <c r="H513" s="6"/>
      <c r="I513" s="6"/>
      <c r="J513" s="7"/>
      <c r="K513" s="7"/>
      <c r="L513" s="7"/>
      <c r="M513" s="7"/>
      <c r="N513" s="7"/>
      <c r="O513" s="7"/>
      <c r="P513" s="7"/>
      <c r="Q513" s="7"/>
      <c r="R513" s="7"/>
      <c r="S513" s="7"/>
      <c r="T513" s="7"/>
      <c r="U513" s="7"/>
      <c r="V513" s="7"/>
      <c r="W513" s="7"/>
      <c r="X513" s="7"/>
      <c r="Y513" s="7"/>
      <c r="Z513" s="7"/>
    </row>
    <row r="514" spans="1:26" ht="21" customHeight="1" x14ac:dyDescent="0.2">
      <c r="A514" s="7"/>
      <c r="B514" s="6"/>
      <c r="C514" s="7"/>
      <c r="D514" s="7"/>
      <c r="E514" s="6"/>
      <c r="F514" s="6"/>
      <c r="G514" s="6"/>
      <c r="H514" s="6"/>
      <c r="I514" s="6"/>
      <c r="J514" s="7"/>
      <c r="K514" s="7"/>
      <c r="L514" s="7"/>
      <c r="M514" s="7"/>
      <c r="N514" s="7"/>
      <c r="O514" s="7"/>
      <c r="P514" s="7"/>
      <c r="Q514" s="7"/>
      <c r="R514" s="7"/>
      <c r="S514" s="7"/>
      <c r="T514" s="7"/>
      <c r="U514" s="7"/>
      <c r="V514" s="7"/>
      <c r="W514" s="7"/>
      <c r="X514" s="7"/>
      <c r="Y514" s="7"/>
      <c r="Z514" s="7"/>
    </row>
    <row r="515" spans="1:26" ht="21" customHeight="1" x14ac:dyDescent="0.2">
      <c r="A515" s="7"/>
      <c r="B515" s="6"/>
      <c r="C515" s="7"/>
      <c r="D515" s="7"/>
      <c r="E515" s="6"/>
      <c r="F515" s="6"/>
      <c r="G515" s="6"/>
      <c r="H515" s="6"/>
      <c r="I515" s="6"/>
      <c r="J515" s="7"/>
      <c r="K515" s="7"/>
      <c r="L515" s="7"/>
      <c r="M515" s="7"/>
      <c r="N515" s="7"/>
      <c r="O515" s="7"/>
      <c r="P515" s="7"/>
      <c r="Q515" s="7"/>
      <c r="R515" s="7"/>
      <c r="S515" s="7"/>
      <c r="T515" s="7"/>
      <c r="U515" s="7"/>
      <c r="V515" s="7"/>
      <c r="W515" s="7"/>
      <c r="X515" s="7"/>
      <c r="Y515" s="7"/>
      <c r="Z515" s="7"/>
    </row>
    <row r="516" spans="1:26" ht="21" customHeight="1" x14ac:dyDescent="0.2">
      <c r="A516" s="7"/>
      <c r="B516" s="6"/>
      <c r="C516" s="7"/>
      <c r="D516" s="7"/>
      <c r="E516" s="6"/>
      <c r="F516" s="6"/>
      <c r="G516" s="6"/>
      <c r="H516" s="6"/>
      <c r="I516" s="6"/>
      <c r="J516" s="7"/>
      <c r="K516" s="7"/>
      <c r="L516" s="7"/>
      <c r="M516" s="7"/>
      <c r="N516" s="7"/>
      <c r="O516" s="7"/>
      <c r="P516" s="7"/>
      <c r="Q516" s="7"/>
      <c r="R516" s="7"/>
      <c r="S516" s="7"/>
      <c r="T516" s="7"/>
      <c r="U516" s="7"/>
      <c r="V516" s="7"/>
      <c r="W516" s="7"/>
      <c r="X516" s="7"/>
      <c r="Y516" s="7"/>
      <c r="Z516" s="7"/>
    </row>
    <row r="517" spans="1:26" ht="21" customHeight="1" x14ac:dyDescent="0.2">
      <c r="A517" s="7"/>
      <c r="B517" s="6"/>
      <c r="C517" s="7"/>
      <c r="D517" s="7"/>
      <c r="E517" s="6"/>
      <c r="F517" s="6"/>
      <c r="G517" s="6"/>
      <c r="H517" s="6"/>
      <c r="I517" s="6"/>
      <c r="J517" s="7"/>
      <c r="K517" s="7"/>
      <c r="L517" s="7"/>
      <c r="M517" s="7"/>
      <c r="N517" s="7"/>
      <c r="O517" s="7"/>
      <c r="P517" s="7"/>
      <c r="Q517" s="7"/>
      <c r="R517" s="7"/>
      <c r="S517" s="7"/>
      <c r="T517" s="7"/>
      <c r="U517" s="7"/>
      <c r="V517" s="7"/>
      <c r="W517" s="7"/>
      <c r="X517" s="7"/>
      <c r="Y517" s="7"/>
      <c r="Z517" s="7"/>
    </row>
    <row r="518" spans="1:26" ht="21" customHeight="1" x14ac:dyDescent="0.2">
      <c r="A518" s="7"/>
      <c r="B518" s="6"/>
      <c r="C518" s="7"/>
      <c r="D518" s="7"/>
      <c r="E518" s="6"/>
      <c r="F518" s="6"/>
      <c r="G518" s="6"/>
      <c r="H518" s="6"/>
      <c r="I518" s="6"/>
      <c r="J518" s="7"/>
      <c r="K518" s="7"/>
      <c r="L518" s="7"/>
      <c r="M518" s="7"/>
      <c r="N518" s="7"/>
      <c r="O518" s="7"/>
      <c r="P518" s="7"/>
      <c r="Q518" s="7"/>
      <c r="R518" s="7"/>
      <c r="S518" s="7"/>
      <c r="T518" s="7"/>
      <c r="U518" s="7"/>
      <c r="V518" s="7"/>
      <c r="W518" s="7"/>
      <c r="X518" s="7"/>
      <c r="Y518" s="7"/>
      <c r="Z518" s="7"/>
    </row>
    <row r="519" spans="1:26" ht="21" customHeight="1" x14ac:dyDescent="0.2">
      <c r="A519" s="7"/>
      <c r="B519" s="6"/>
      <c r="C519" s="7"/>
      <c r="D519" s="7"/>
      <c r="E519" s="6"/>
      <c r="F519" s="6"/>
      <c r="G519" s="6"/>
      <c r="H519" s="6"/>
      <c r="I519" s="6"/>
      <c r="J519" s="7"/>
      <c r="K519" s="7"/>
      <c r="L519" s="7"/>
      <c r="M519" s="7"/>
      <c r="N519" s="7"/>
      <c r="O519" s="7"/>
      <c r="P519" s="7"/>
      <c r="Q519" s="7"/>
      <c r="R519" s="7"/>
      <c r="S519" s="7"/>
      <c r="T519" s="7"/>
      <c r="U519" s="7"/>
      <c r="V519" s="7"/>
      <c r="W519" s="7"/>
      <c r="X519" s="7"/>
      <c r="Y519" s="7"/>
      <c r="Z519" s="7"/>
    </row>
    <row r="520" spans="1:26" ht="21" customHeight="1" x14ac:dyDescent="0.2">
      <c r="A520" s="7"/>
      <c r="B520" s="6"/>
      <c r="C520" s="7"/>
      <c r="D520" s="7"/>
      <c r="E520" s="6"/>
      <c r="F520" s="6"/>
      <c r="G520" s="6"/>
      <c r="H520" s="6"/>
      <c r="I520" s="6"/>
      <c r="J520" s="7"/>
      <c r="K520" s="7"/>
      <c r="L520" s="7"/>
      <c r="M520" s="7"/>
      <c r="N520" s="7"/>
      <c r="O520" s="7"/>
      <c r="P520" s="7"/>
      <c r="Q520" s="7"/>
      <c r="R520" s="7"/>
      <c r="S520" s="7"/>
      <c r="T520" s="7"/>
      <c r="U520" s="7"/>
      <c r="V520" s="7"/>
      <c r="W520" s="7"/>
      <c r="X520" s="7"/>
      <c r="Y520" s="7"/>
      <c r="Z520" s="7"/>
    </row>
    <row r="521" spans="1:26" ht="21" customHeight="1" x14ac:dyDescent="0.2">
      <c r="A521" s="7"/>
      <c r="B521" s="6"/>
      <c r="C521" s="7"/>
      <c r="D521" s="7"/>
      <c r="E521" s="6"/>
      <c r="F521" s="6"/>
      <c r="G521" s="6"/>
      <c r="H521" s="6"/>
      <c r="I521" s="6"/>
      <c r="J521" s="7"/>
      <c r="K521" s="7"/>
      <c r="L521" s="7"/>
      <c r="M521" s="7"/>
      <c r="N521" s="7"/>
      <c r="O521" s="7"/>
      <c r="P521" s="7"/>
      <c r="Q521" s="7"/>
      <c r="R521" s="7"/>
      <c r="S521" s="7"/>
      <c r="T521" s="7"/>
      <c r="U521" s="7"/>
      <c r="V521" s="7"/>
      <c r="W521" s="7"/>
      <c r="X521" s="7"/>
      <c r="Y521" s="7"/>
      <c r="Z521" s="7"/>
    </row>
    <row r="522" spans="1:26" ht="21" customHeight="1" x14ac:dyDescent="0.2">
      <c r="A522" s="7"/>
      <c r="B522" s="6"/>
      <c r="C522" s="7"/>
      <c r="D522" s="7"/>
      <c r="E522" s="6"/>
      <c r="F522" s="6"/>
      <c r="G522" s="6"/>
      <c r="H522" s="6"/>
      <c r="I522" s="6"/>
      <c r="J522" s="7"/>
      <c r="K522" s="7"/>
      <c r="L522" s="7"/>
      <c r="M522" s="7"/>
      <c r="N522" s="7"/>
      <c r="O522" s="7"/>
      <c r="P522" s="7"/>
      <c r="Q522" s="7"/>
      <c r="R522" s="7"/>
      <c r="S522" s="7"/>
      <c r="T522" s="7"/>
      <c r="U522" s="7"/>
      <c r="V522" s="7"/>
      <c r="W522" s="7"/>
      <c r="X522" s="7"/>
      <c r="Y522" s="7"/>
      <c r="Z522" s="7"/>
    </row>
    <row r="523" spans="1:26" ht="21" customHeight="1" x14ac:dyDescent="0.2">
      <c r="A523" s="7"/>
      <c r="B523" s="6"/>
      <c r="C523" s="7"/>
      <c r="D523" s="7"/>
      <c r="E523" s="6"/>
      <c r="F523" s="6"/>
      <c r="G523" s="6"/>
      <c r="H523" s="6"/>
      <c r="I523" s="6"/>
      <c r="J523" s="7"/>
      <c r="K523" s="7"/>
      <c r="L523" s="7"/>
      <c r="M523" s="7"/>
      <c r="N523" s="7"/>
      <c r="O523" s="7"/>
      <c r="P523" s="7"/>
      <c r="Q523" s="7"/>
      <c r="R523" s="7"/>
      <c r="S523" s="7"/>
      <c r="T523" s="7"/>
      <c r="U523" s="7"/>
      <c r="V523" s="7"/>
      <c r="W523" s="7"/>
      <c r="X523" s="7"/>
      <c r="Y523" s="7"/>
      <c r="Z523" s="7"/>
    </row>
    <row r="524" spans="1:26" ht="21" customHeight="1" x14ac:dyDescent="0.2">
      <c r="A524" s="7"/>
      <c r="B524" s="6"/>
      <c r="C524" s="7"/>
      <c r="D524" s="7"/>
      <c r="E524" s="6"/>
      <c r="F524" s="6"/>
      <c r="G524" s="6"/>
      <c r="H524" s="6"/>
      <c r="I524" s="6"/>
      <c r="J524" s="7"/>
      <c r="K524" s="7"/>
      <c r="L524" s="7"/>
      <c r="M524" s="7"/>
      <c r="N524" s="7"/>
      <c r="O524" s="7"/>
      <c r="P524" s="7"/>
      <c r="Q524" s="7"/>
      <c r="R524" s="7"/>
      <c r="S524" s="7"/>
      <c r="T524" s="7"/>
      <c r="U524" s="7"/>
      <c r="V524" s="7"/>
      <c r="W524" s="7"/>
      <c r="X524" s="7"/>
      <c r="Y524" s="7"/>
      <c r="Z524" s="7"/>
    </row>
    <row r="525" spans="1:26" ht="21" customHeight="1" x14ac:dyDescent="0.2">
      <c r="A525" s="7"/>
      <c r="B525" s="6"/>
      <c r="C525" s="7"/>
      <c r="D525" s="7"/>
      <c r="E525" s="6"/>
      <c r="F525" s="6"/>
      <c r="G525" s="6"/>
      <c r="H525" s="6"/>
      <c r="I525" s="6"/>
      <c r="J525" s="7"/>
      <c r="K525" s="7"/>
      <c r="L525" s="7"/>
      <c r="M525" s="7"/>
      <c r="N525" s="7"/>
      <c r="O525" s="7"/>
      <c r="P525" s="7"/>
      <c r="Q525" s="7"/>
      <c r="R525" s="7"/>
      <c r="S525" s="7"/>
      <c r="T525" s="7"/>
      <c r="U525" s="7"/>
      <c r="V525" s="7"/>
      <c r="W525" s="7"/>
      <c r="X525" s="7"/>
      <c r="Y525" s="7"/>
      <c r="Z525" s="7"/>
    </row>
    <row r="526" spans="1:26" ht="21" customHeight="1" x14ac:dyDescent="0.2">
      <c r="A526" s="7"/>
      <c r="B526" s="6"/>
      <c r="C526" s="7"/>
      <c r="D526" s="7"/>
      <c r="E526" s="6"/>
      <c r="F526" s="6"/>
      <c r="G526" s="6"/>
      <c r="H526" s="6"/>
      <c r="I526" s="6"/>
      <c r="J526" s="7"/>
      <c r="K526" s="7"/>
      <c r="L526" s="7"/>
      <c r="M526" s="7"/>
      <c r="N526" s="7"/>
      <c r="O526" s="7"/>
      <c r="P526" s="7"/>
      <c r="Q526" s="7"/>
      <c r="R526" s="7"/>
      <c r="S526" s="7"/>
      <c r="T526" s="7"/>
      <c r="U526" s="7"/>
      <c r="V526" s="7"/>
      <c r="W526" s="7"/>
      <c r="X526" s="7"/>
      <c r="Y526" s="7"/>
      <c r="Z526" s="7"/>
    </row>
    <row r="527" spans="1:26" ht="21" customHeight="1" x14ac:dyDescent="0.2">
      <c r="A527" s="7"/>
      <c r="B527" s="6"/>
      <c r="C527" s="7"/>
      <c r="D527" s="7"/>
      <c r="E527" s="6"/>
      <c r="F527" s="6"/>
      <c r="G527" s="6"/>
      <c r="H527" s="6"/>
      <c r="I527" s="6"/>
      <c r="J527" s="7"/>
      <c r="K527" s="7"/>
      <c r="L527" s="7"/>
      <c r="M527" s="7"/>
      <c r="N527" s="7"/>
      <c r="O527" s="7"/>
      <c r="P527" s="7"/>
      <c r="Q527" s="7"/>
      <c r="R527" s="7"/>
      <c r="S527" s="7"/>
      <c r="T527" s="7"/>
      <c r="U527" s="7"/>
      <c r="V527" s="7"/>
      <c r="W527" s="7"/>
      <c r="X527" s="7"/>
      <c r="Y527" s="7"/>
      <c r="Z527" s="7"/>
    </row>
    <row r="528" spans="1:26" ht="21" customHeight="1" x14ac:dyDescent="0.2">
      <c r="A528" s="7"/>
      <c r="B528" s="6"/>
      <c r="C528" s="7"/>
      <c r="D528" s="7"/>
      <c r="E528" s="6"/>
      <c r="F528" s="6"/>
      <c r="G528" s="6"/>
      <c r="H528" s="6"/>
      <c r="I528" s="6"/>
      <c r="J528" s="7"/>
      <c r="K528" s="7"/>
      <c r="L528" s="7"/>
      <c r="M528" s="7"/>
      <c r="N528" s="7"/>
      <c r="O528" s="7"/>
      <c r="P528" s="7"/>
      <c r="Q528" s="7"/>
      <c r="R528" s="7"/>
      <c r="S528" s="7"/>
      <c r="T528" s="7"/>
      <c r="U528" s="7"/>
      <c r="V528" s="7"/>
      <c r="W528" s="7"/>
      <c r="X528" s="7"/>
      <c r="Y528" s="7"/>
      <c r="Z528" s="7"/>
    </row>
    <row r="529" spans="1:26" ht="21" customHeight="1" x14ac:dyDescent="0.2">
      <c r="A529" s="7"/>
      <c r="B529" s="6"/>
      <c r="C529" s="7"/>
      <c r="D529" s="7"/>
      <c r="E529" s="6"/>
      <c r="F529" s="6"/>
      <c r="G529" s="6"/>
      <c r="H529" s="6"/>
      <c r="I529" s="6"/>
      <c r="J529" s="7"/>
      <c r="K529" s="7"/>
      <c r="L529" s="7"/>
      <c r="M529" s="7"/>
      <c r="N529" s="7"/>
      <c r="O529" s="7"/>
      <c r="P529" s="7"/>
      <c r="Q529" s="7"/>
      <c r="R529" s="7"/>
      <c r="S529" s="7"/>
      <c r="T529" s="7"/>
      <c r="U529" s="7"/>
      <c r="V529" s="7"/>
      <c r="W529" s="7"/>
      <c r="X529" s="7"/>
      <c r="Y529" s="7"/>
      <c r="Z529" s="7"/>
    </row>
    <row r="530" spans="1:26" ht="21" customHeight="1" x14ac:dyDescent="0.2">
      <c r="A530" s="7"/>
      <c r="B530" s="6"/>
      <c r="C530" s="7"/>
      <c r="D530" s="7"/>
      <c r="E530" s="6"/>
      <c r="F530" s="6"/>
      <c r="G530" s="6"/>
      <c r="H530" s="6"/>
      <c r="I530" s="6"/>
      <c r="J530" s="7"/>
      <c r="K530" s="7"/>
      <c r="L530" s="7"/>
      <c r="M530" s="7"/>
      <c r="N530" s="7"/>
      <c r="O530" s="7"/>
      <c r="P530" s="7"/>
      <c r="Q530" s="7"/>
      <c r="R530" s="7"/>
      <c r="S530" s="7"/>
      <c r="T530" s="7"/>
      <c r="U530" s="7"/>
      <c r="V530" s="7"/>
      <c r="W530" s="7"/>
      <c r="X530" s="7"/>
      <c r="Y530" s="7"/>
      <c r="Z530" s="7"/>
    </row>
    <row r="531" spans="1:26" ht="21" customHeight="1" x14ac:dyDescent="0.2">
      <c r="A531" s="7"/>
      <c r="B531" s="6"/>
      <c r="C531" s="7"/>
      <c r="D531" s="7"/>
      <c r="E531" s="6"/>
      <c r="F531" s="6"/>
      <c r="G531" s="6"/>
      <c r="H531" s="6"/>
      <c r="I531" s="6"/>
      <c r="J531" s="7"/>
      <c r="K531" s="7"/>
      <c r="L531" s="7"/>
      <c r="M531" s="7"/>
      <c r="N531" s="7"/>
      <c r="O531" s="7"/>
      <c r="P531" s="7"/>
      <c r="Q531" s="7"/>
      <c r="R531" s="7"/>
      <c r="S531" s="7"/>
      <c r="T531" s="7"/>
      <c r="U531" s="7"/>
      <c r="V531" s="7"/>
      <c r="W531" s="7"/>
      <c r="X531" s="7"/>
      <c r="Y531" s="7"/>
      <c r="Z531" s="7"/>
    </row>
    <row r="532" spans="1:26" ht="21" customHeight="1" x14ac:dyDescent="0.2">
      <c r="A532" s="7"/>
      <c r="B532" s="6"/>
      <c r="C532" s="7"/>
      <c r="D532" s="7"/>
      <c r="E532" s="6"/>
      <c r="F532" s="6"/>
      <c r="G532" s="6"/>
      <c r="H532" s="6"/>
      <c r="I532" s="6"/>
      <c r="J532" s="7"/>
      <c r="K532" s="7"/>
      <c r="L532" s="7"/>
      <c r="M532" s="7"/>
      <c r="N532" s="7"/>
      <c r="O532" s="7"/>
      <c r="P532" s="7"/>
      <c r="Q532" s="7"/>
      <c r="R532" s="7"/>
      <c r="S532" s="7"/>
      <c r="T532" s="7"/>
      <c r="U532" s="7"/>
      <c r="V532" s="7"/>
      <c r="W532" s="7"/>
      <c r="X532" s="7"/>
      <c r="Y532" s="7"/>
      <c r="Z532" s="7"/>
    </row>
    <row r="533" spans="1:26" ht="21" customHeight="1" x14ac:dyDescent="0.2">
      <c r="A533" s="7"/>
      <c r="B533" s="6"/>
      <c r="C533" s="7"/>
      <c r="D533" s="7"/>
      <c r="E533" s="6"/>
      <c r="F533" s="6"/>
      <c r="G533" s="6"/>
      <c r="H533" s="6"/>
      <c r="I533" s="6"/>
      <c r="J533" s="7"/>
      <c r="K533" s="7"/>
      <c r="L533" s="7"/>
      <c r="M533" s="7"/>
      <c r="N533" s="7"/>
      <c r="O533" s="7"/>
      <c r="P533" s="7"/>
      <c r="Q533" s="7"/>
      <c r="R533" s="7"/>
      <c r="S533" s="7"/>
      <c r="T533" s="7"/>
      <c r="U533" s="7"/>
      <c r="V533" s="7"/>
      <c r="W533" s="7"/>
      <c r="X533" s="7"/>
      <c r="Y533" s="7"/>
      <c r="Z533" s="7"/>
    </row>
    <row r="534" spans="1:26" ht="21" customHeight="1" x14ac:dyDescent="0.2">
      <c r="A534" s="7"/>
      <c r="B534" s="6"/>
      <c r="C534" s="7"/>
      <c r="D534" s="7"/>
      <c r="E534" s="6"/>
      <c r="F534" s="6"/>
      <c r="G534" s="6"/>
      <c r="H534" s="6"/>
      <c r="I534" s="6"/>
      <c r="J534" s="7"/>
      <c r="K534" s="7"/>
      <c r="L534" s="7"/>
      <c r="M534" s="7"/>
      <c r="N534" s="7"/>
      <c r="O534" s="7"/>
      <c r="P534" s="7"/>
      <c r="Q534" s="7"/>
      <c r="R534" s="7"/>
      <c r="S534" s="7"/>
      <c r="T534" s="7"/>
      <c r="U534" s="7"/>
      <c r="V534" s="7"/>
      <c r="W534" s="7"/>
      <c r="X534" s="7"/>
      <c r="Y534" s="7"/>
      <c r="Z534" s="7"/>
    </row>
    <row r="535" spans="1:26" ht="21" customHeight="1" x14ac:dyDescent="0.2">
      <c r="A535" s="7"/>
      <c r="B535" s="6"/>
      <c r="C535" s="7"/>
      <c r="D535" s="7"/>
      <c r="E535" s="6"/>
      <c r="F535" s="6"/>
      <c r="G535" s="6"/>
      <c r="H535" s="6"/>
      <c r="I535" s="6"/>
      <c r="J535" s="7"/>
      <c r="K535" s="7"/>
      <c r="L535" s="7"/>
      <c r="M535" s="7"/>
      <c r="N535" s="7"/>
      <c r="O535" s="7"/>
      <c r="P535" s="7"/>
      <c r="Q535" s="7"/>
      <c r="R535" s="7"/>
      <c r="S535" s="7"/>
      <c r="T535" s="7"/>
      <c r="U535" s="7"/>
      <c r="V535" s="7"/>
      <c r="W535" s="7"/>
      <c r="X535" s="7"/>
      <c r="Y535" s="7"/>
      <c r="Z535" s="7"/>
    </row>
    <row r="536" spans="1:26" ht="21" customHeight="1" x14ac:dyDescent="0.2">
      <c r="A536" s="7"/>
      <c r="B536" s="6"/>
      <c r="C536" s="7"/>
      <c r="D536" s="7"/>
      <c r="E536" s="6"/>
      <c r="F536" s="6"/>
      <c r="G536" s="6"/>
      <c r="H536" s="6"/>
      <c r="I536" s="6"/>
      <c r="J536" s="7"/>
      <c r="K536" s="7"/>
      <c r="L536" s="7"/>
      <c r="M536" s="7"/>
      <c r="N536" s="7"/>
      <c r="O536" s="7"/>
      <c r="P536" s="7"/>
      <c r="Q536" s="7"/>
      <c r="R536" s="7"/>
      <c r="S536" s="7"/>
      <c r="T536" s="7"/>
      <c r="U536" s="7"/>
      <c r="V536" s="7"/>
      <c r="W536" s="7"/>
      <c r="X536" s="7"/>
      <c r="Y536" s="7"/>
      <c r="Z536" s="7"/>
    </row>
    <row r="537" spans="1:26" ht="21" customHeight="1" x14ac:dyDescent="0.2">
      <c r="A537" s="7"/>
      <c r="B537" s="6"/>
      <c r="C537" s="7"/>
      <c r="D537" s="7"/>
      <c r="E537" s="6"/>
      <c r="F537" s="6"/>
      <c r="G537" s="6"/>
      <c r="H537" s="6"/>
      <c r="I537" s="6"/>
      <c r="J537" s="7"/>
      <c r="K537" s="7"/>
      <c r="L537" s="7"/>
      <c r="M537" s="7"/>
      <c r="N537" s="7"/>
      <c r="O537" s="7"/>
      <c r="P537" s="7"/>
      <c r="Q537" s="7"/>
      <c r="R537" s="7"/>
      <c r="S537" s="7"/>
      <c r="T537" s="7"/>
      <c r="U537" s="7"/>
      <c r="V537" s="7"/>
      <c r="W537" s="7"/>
      <c r="X537" s="7"/>
      <c r="Y537" s="7"/>
      <c r="Z537" s="7"/>
    </row>
    <row r="538" spans="1:26" ht="21" customHeight="1" x14ac:dyDescent="0.2">
      <c r="A538" s="7"/>
      <c r="B538" s="6"/>
      <c r="C538" s="7"/>
      <c r="D538" s="7"/>
      <c r="E538" s="6"/>
      <c r="F538" s="6"/>
      <c r="G538" s="6"/>
      <c r="H538" s="6"/>
      <c r="I538" s="6"/>
      <c r="J538" s="7"/>
      <c r="K538" s="7"/>
      <c r="L538" s="7"/>
      <c r="M538" s="7"/>
      <c r="N538" s="7"/>
      <c r="O538" s="7"/>
      <c r="P538" s="7"/>
      <c r="Q538" s="7"/>
      <c r="R538" s="7"/>
      <c r="S538" s="7"/>
      <c r="T538" s="7"/>
      <c r="U538" s="7"/>
      <c r="V538" s="7"/>
      <c r="W538" s="7"/>
      <c r="X538" s="7"/>
      <c r="Y538" s="7"/>
      <c r="Z538" s="7"/>
    </row>
    <row r="539" spans="1:26" ht="21" customHeight="1" x14ac:dyDescent="0.2">
      <c r="A539" s="7"/>
      <c r="B539" s="6"/>
      <c r="C539" s="7"/>
      <c r="D539" s="7"/>
      <c r="E539" s="6"/>
      <c r="F539" s="6"/>
      <c r="G539" s="6"/>
      <c r="H539" s="6"/>
      <c r="I539" s="6"/>
      <c r="J539" s="7"/>
      <c r="K539" s="7"/>
      <c r="L539" s="7"/>
      <c r="M539" s="7"/>
      <c r="N539" s="7"/>
      <c r="O539" s="7"/>
      <c r="P539" s="7"/>
      <c r="Q539" s="7"/>
      <c r="R539" s="7"/>
      <c r="S539" s="7"/>
      <c r="T539" s="7"/>
      <c r="U539" s="7"/>
      <c r="V539" s="7"/>
      <c r="W539" s="7"/>
      <c r="X539" s="7"/>
      <c r="Y539" s="7"/>
      <c r="Z539" s="7"/>
    </row>
    <row r="540" spans="1:26" ht="21" customHeight="1" x14ac:dyDescent="0.2">
      <c r="A540" s="7"/>
      <c r="B540" s="6"/>
      <c r="C540" s="7"/>
      <c r="D540" s="7"/>
      <c r="E540" s="6"/>
      <c r="F540" s="6"/>
      <c r="G540" s="6"/>
      <c r="H540" s="6"/>
      <c r="I540" s="6"/>
      <c r="J540" s="7"/>
      <c r="K540" s="7"/>
      <c r="L540" s="7"/>
      <c r="M540" s="7"/>
      <c r="N540" s="7"/>
      <c r="O540" s="7"/>
      <c r="P540" s="7"/>
      <c r="Q540" s="7"/>
      <c r="R540" s="7"/>
      <c r="S540" s="7"/>
      <c r="T540" s="7"/>
      <c r="U540" s="7"/>
      <c r="V540" s="7"/>
      <c r="W540" s="7"/>
      <c r="X540" s="7"/>
      <c r="Y540" s="7"/>
      <c r="Z540" s="7"/>
    </row>
    <row r="541" spans="1:26" ht="21" customHeight="1" x14ac:dyDescent="0.2">
      <c r="A541" s="7"/>
      <c r="B541" s="6"/>
      <c r="C541" s="7"/>
      <c r="D541" s="7"/>
      <c r="E541" s="6"/>
      <c r="F541" s="6"/>
      <c r="G541" s="6"/>
      <c r="H541" s="6"/>
      <c r="I541" s="6"/>
      <c r="J541" s="7"/>
      <c r="K541" s="7"/>
      <c r="L541" s="7"/>
      <c r="M541" s="7"/>
      <c r="N541" s="7"/>
      <c r="O541" s="7"/>
      <c r="P541" s="7"/>
      <c r="Q541" s="7"/>
      <c r="R541" s="7"/>
      <c r="S541" s="7"/>
      <c r="T541" s="7"/>
      <c r="U541" s="7"/>
      <c r="V541" s="7"/>
      <c r="W541" s="7"/>
      <c r="X541" s="7"/>
      <c r="Y541" s="7"/>
      <c r="Z541" s="7"/>
    </row>
    <row r="542" spans="1:26" ht="21" customHeight="1" x14ac:dyDescent="0.2">
      <c r="A542" s="7"/>
      <c r="B542" s="6"/>
      <c r="C542" s="7"/>
      <c r="D542" s="7"/>
      <c r="E542" s="6"/>
      <c r="F542" s="6"/>
      <c r="G542" s="6"/>
      <c r="H542" s="6"/>
      <c r="I542" s="6"/>
      <c r="J542" s="7"/>
      <c r="K542" s="7"/>
      <c r="L542" s="7"/>
      <c r="M542" s="7"/>
      <c r="N542" s="7"/>
      <c r="O542" s="7"/>
      <c r="P542" s="7"/>
      <c r="Q542" s="7"/>
      <c r="R542" s="7"/>
      <c r="S542" s="7"/>
      <c r="T542" s="7"/>
      <c r="U542" s="7"/>
      <c r="V542" s="7"/>
      <c r="W542" s="7"/>
      <c r="X542" s="7"/>
      <c r="Y542" s="7"/>
      <c r="Z542" s="7"/>
    </row>
    <row r="543" spans="1:26" ht="21" customHeight="1" x14ac:dyDescent="0.2">
      <c r="A543" s="7"/>
      <c r="B543" s="6"/>
      <c r="C543" s="7"/>
      <c r="D543" s="7"/>
      <c r="E543" s="6"/>
      <c r="F543" s="6"/>
      <c r="G543" s="6"/>
      <c r="H543" s="6"/>
      <c r="I543" s="6"/>
      <c r="J543" s="7"/>
      <c r="K543" s="7"/>
      <c r="L543" s="7"/>
      <c r="M543" s="7"/>
      <c r="N543" s="7"/>
      <c r="O543" s="7"/>
      <c r="P543" s="7"/>
      <c r="Q543" s="7"/>
      <c r="R543" s="7"/>
      <c r="S543" s="7"/>
      <c r="T543" s="7"/>
      <c r="U543" s="7"/>
      <c r="V543" s="7"/>
      <c r="W543" s="7"/>
      <c r="X543" s="7"/>
      <c r="Y543" s="7"/>
      <c r="Z543" s="7"/>
    </row>
    <row r="544" spans="1:26" ht="21" customHeight="1" x14ac:dyDescent="0.2">
      <c r="A544" s="7"/>
      <c r="B544" s="6"/>
      <c r="C544" s="7"/>
      <c r="D544" s="7"/>
      <c r="E544" s="6"/>
      <c r="F544" s="6"/>
      <c r="G544" s="6"/>
      <c r="H544" s="6"/>
      <c r="I544" s="6"/>
      <c r="J544" s="7"/>
      <c r="K544" s="7"/>
      <c r="L544" s="7"/>
      <c r="M544" s="7"/>
      <c r="N544" s="7"/>
      <c r="O544" s="7"/>
      <c r="P544" s="7"/>
      <c r="Q544" s="7"/>
      <c r="R544" s="7"/>
      <c r="S544" s="7"/>
      <c r="T544" s="7"/>
      <c r="U544" s="7"/>
      <c r="V544" s="7"/>
      <c r="W544" s="7"/>
      <c r="X544" s="7"/>
      <c r="Y544" s="7"/>
      <c r="Z544" s="7"/>
    </row>
    <row r="545" spans="1:26" ht="21" customHeight="1" x14ac:dyDescent="0.2">
      <c r="A545" s="7"/>
      <c r="B545" s="6"/>
      <c r="C545" s="7"/>
      <c r="D545" s="7"/>
      <c r="E545" s="6"/>
      <c r="F545" s="6"/>
      <c r="G545" s="6"/>
      <c r="H545" s="6"/>
      <c r="I545" s="6"/>
      <c r="J545" s="7"/>
      <c r="K545" s="7"/>
      <c r="L545" s="7"/>
      <c r="M545" s="7"/>
      <c r="N545" s="7"/>
      <c r="O545" s="7"/>
      <c r="P545" s="7"/>
      <c r="Q545" s="7"/>
      <c r="R545" s="7"/>
      <c r="S545" s="7"/>
      <c r="T545" s="7"/>
      <c r="U545" s="7"/>
      <c r="V545" s="7"/>
      <c r="W545" s="7"/>
      <c r="X545" s="7"/>
      <c r="Y545" s="7"/>
      <c r="Z545" s="7"/>
    </row>
    <row r="546" spans="1:26" ht="21" customHeight="1" x14ac:dyDescent="0.2">
      <c r="A546" s="7"/>
      <c r="B546" s="6"/>
      <c r="C546" s="7"/>
      <c r="D546" s="7"/>
      <c r="E546" s="6"/>
      <c r="F546" s="6"/>
      <c r="G546" s="6"/>
      <c r="H546" s="6"/>
      <c r="I546" s="6"/>
      <c r="J546" s="7"/>
      <c r="K546" s="7"/>
      <c r="L546" s="7"/>
      <c r="M546" s="7"/>
      <c r="N546" s="7"/>
      <c r="O546" s="7"/>
      <c r="P546" s="7"/>
      <c r="Q546" s="7"/>
      <c r="R546" s="7"/>
      <c r="S546" s="7"/>
      <c r="T546" s="7"/>
      <c r="U546" s="7"/>
      <c r="V546" s="7"/>
      <c r="W546" s="7"/>
      <c r="X546" s="7"/>
      <c r="Y546" s="7"/>
      <c r="Z546" s="7"/>
    </row>
    <row r="547" spans="1:26" ht="21" customHeight="1" x14ac:dyDescent="0.2">
      <c r="A547" s="7"/>
      <c r="B547" s="6"/>
      <c r="C547" s="7"/>
      <c r="D547" s="7"/>
      <c r="E547" s="6"/>
      <c r="F547" s="6"/>
      <c r="G547" s="6"/>
      <c r="H547" s="6"/>
      <c r="I547" s="6"/>
      <c r="J547" s="7"/>
      <c r="K547" s="7"/>
      <c r="L547" s="7"/>
      <c r="M547" s="7"/>
      <c r="N547" s="7"/>
      <c r="O547" s="7"/>
      <c r="P547" s="7"/>
      <c r="Q547" s="7"/>
      <c r="R547" s="7"/>
      <c r="S547" s="7"/>
      <c r="T547" s="7"/>
      <c r="U547" s="7"/>
      <c r="V547" s="7"/>
      <c r="W547" s="7"/>
      <c r="X547" s="7"/>
      <c r="Y547" s="7"/>
      <c r="Z547" s="7"/>
    </row>
    <row r="548" spans="1:26" ht="21" customHeight="1" x14ac:dyDescent="0.2">
      <c r="A548" s="7"/>
      <c r="B548" s="6"/>
      <c r="C548" s="7"/>
      <c r="D548" s="7"/>
      <c r="E548" s="6"/>
      <c r="F548" s="6"/>
      <c r="G548" s="6"/>
      <c r="H548" s="6"/>
      <c r="I548" s="6"/>
      <c r="J548" s="7"/>
      <c r="K548" s="7"/>
      <c r="L548" s="7"/>
      <c r="M548" s="7"/>
      <c r="N548" s="7"/>
      <c r="O548" s="7"/>
      <c r="P548" s="7"/>
      <c r="Q548" s="7"/>
      <c r="R548" s="7"/>
      <c r="S548" s="7"/>
      <c r="T548" s="7"/>
      <c r="U548" s="7"/>
      <c r="V548" s="7"/>
      <c r="W548" s="7"/>
      <c r="X548" s="7"/>
      <c r="Y548" s="7"/>
      <c r="Z548" s="7"/>
    </row>
    <row r="549" spans="1:26" ht="21" customHeight="1" x14ac:dyDescent="0.2">
      <c r="A549" s="7"/>
      <c r="B549" s="6"/>
      <c r="C549" s="7"/>
      <c r="D549" s="7"/>
      <c r="E549" s="6"/>
      <c r="F549" s="6"/>
      <c r="G549" s="6"/>
      <c r="H549" s="6"/>
      <c r="I549" s="6"/>
      <c r="J549" s="7"/>
      <c r="K549" s="7"/>
      <c r="L549" s="7"/>
      <c r="M549" s="7"/>
      <c r="N549" s="7"/>
      <c r="O549" s="7"/>
      <c r="P549" s="7"/>
      <c r="Q549" s="7"/>
      <c r="R549" s="7"/>
      <c r="S549" s="7"/>
      <c r="T549" s="7"/>
      <c r="U549" s="7"/>
      <c r="V549" s="7"/>
      <c r="W549" s="7"/>
      <c r="X549" s="7"/>
      <c r="Y549" s="7"/>
      <c r="Z549" s="7"/>
    </row>
    <row r="550" spans="1:26" ht="21" customHeight="1" x14ac:dyDescent="0.2">
      <c r="A550" s="7"/>
      <c r="B550" s="6"/>
      <c r="C550" s="7"/>
      <c r="D550" s="7"/>
      <c r="E550" s="6"/>
      <c r="F550" s="6"/>
      <c r="G550" s="6"/>
      <c r="H550" s="6"/>
      <c r="I550" s="6"/>
      <c r="J550" s="7"/>
      <c r="K550" s="7"/>
      <c r="L550" s="7"/>
      <c r="M550" s="7"/>
      <c r="N550" s="7"/>
      <c r="O550" s="7"/>
      <c r="P550" s="7"/>
      <c r="Q550" s="7"/>
      <c r="R550" s="7"/>
      <c r="S550" s="7"/>
      <c r="T550" s="7"/>
      <c r="U550" s="7"/>
      <c r="V550" s="7"/>
      <c r="W550" s="7"/>
      <c r="X550" s="7"/>
      <c r="Y550" s="7"/>
      <c r="Z550" s="7"/>
    </row>
    <row r="551" spans="1:26" ht="21" customHeight="1" x14ac:dyDescent="0.2">
      <c r="A551" s="7"/>
      <c r="B551" s="6"/>
      <c r="C551" s="7"/>
      <c r="D551" s="7"/>
      <c r="E551" s="6"/>
      <c r="F551" s="6"/>
      <c r="G551" s="6"/>
      <c r="H551" s="6"/>
      <c r="I551" s="6"/>
      <c r="J551" s="7"/>
      <c r="K551" s="7"/>
      <c r="L551" s="7"/>
      <c r="M551" s="7"/>
      <c r="N551" s="7"/>
      <c r="O551" s="7"/>
      <c r="P551" s="7"/>
      <c r="Q551" s="7"/>
      <c r="R551" s="7"/>
      <c r="S551" s="7"/>
      <c r="T551" s="7"/>
      <c r="U551" s="7"/>
      <c r="V551" s="7"/>
      <c r="W551" s="7"/>
      <c r="X551" s="7"/>
      <c r="Y551" s="7"/>
      <c r="Z551" s="7"/>
    </row>
    <row r="552" spans="1:26" ht="21" customHeight="1" x14ac:dyDescent="0.2">
      <c r="A552" s="7"/>
      <c r="B552" s="6"/>
      <c r="C552" s="7"/>
      <c r="D552" s="7"/>
      <c r="E552" s="6"/>
      <c r="F552" s="6"/>
      <c r="G552" s="6"/>
      <c r="H552" s="6"/>
      <c r="I552" s="6"/>
      <c r="J552" s="7"/>
      <c r="K552" s="7"/>
      <c r="L552" s="7"/>
      <c r="M552" s="7"/>
      <c r="N552" s="7"/>
      <c r="O552" s="7"/>
      <c r="P552" s="7"/>
      <c r="Q552" s="7"/>
      <c r="R552" s="7"/>
      <c r="S552" s="7"/>
      <c r="T552" s="7"/>
      <c r="U552" s="7"/>
      <c r="V552" s="7"/>
      <c r="W552" s="7"/>
      <c r="X552" s="7"/>
      <c r="Y552" s="7"/>
      <c r="Z552" s="7"/>
    </row>
    <row r="553" spans="1:26" ht="21" customHeight="1" x14ac:dyDescent="0.2">
      <c r="A553" s="7"/>
      <c r="B553" s="6"/>
      <c r="C553" s="7"/>
      <c r="D553" s="7"/>
      <c r="E553" s="6"/>
      <c r="F553" s="6"/>
      <c r="G553" s="6"/>
      <c r="H553" s="6"/>
      <c r="I553" s="6"/>
      <c r="J553" s="7"/>
      <c r="K553" s="7"/>
      <c r="L553" s="7"/>
      <c r="M553" s="7"/>
      <c r="N553" s="7"/>
      <c r="O553" s="7"/>
      <c r="P553" s="7"/>
      <c r="Q553" s="7"/>
      <c r="R553" s="7"/>
      <c r="S553" s="7"/>
      <c r="T553" s="7"/>
      <c r="U553" s="7"/>
      <c r="V553" s="7"/>
      <c r="W553" s="7"/>
      <c r="X553" s="7"/>
      <c r="Y553" s="7"/>
      <c r="Z553" s="7"/>
    </row>
    <row r="554" spans="1:26" ht="21" customHeight="1" x14ac:dyDescent="0.2">
      <c r="A554" s="7"/>
      <c r="B554" s="6"/>
      <c r="C554" s="7"/>
      <c r="D554" s="7"/>
      <c r="E554" s="6"/>
      <c r="F554" s="6"/>
      <c r="G554" s="6"/>
      <c r="H554" s="6"/>
      <c r="I554" s="6"/>
      <c r="J554" s="7"/>
      <c r="K554" s="7"/>
      <c r="L554" s="7"/>
      <c r="M554" s="7"/>
      <c r="N554" s="7"/>
      <c r="O554" s="7"/>
      <c r="P554" s="7"/>
      <c r="Q554" s="7"/>
      <c r="R554" s="7"/>
      <c r="S554" s="7"/>
      <c r="T554" s="7"/>
      <c r="U554" s="7"/>
      <c r="V554" s="7"/>
      <c r="W554" s="7"/>
      <c r="X554" s="7"/>
      <c r="Y554" s="7"/>
      <c r="Z554" s="7"/>
    </row>
    <row r="555" spans="1:26" ht="21" customHeight="1" x14ac:dyDescent="0.2">
      <c r="A555" s="7"/>
      <c r="B555" s="6"/>
      <c r="C555" s="7"/>
      <c r="D555" s="7"/>
      <c r="E555" s="6"/>
      <c r="F555" s="6"/>
      <c r="G555" s="6"/>
      <c r="H555" s="6"/>
      <c r="I555" s="6"/>
      <c r="J555" s="7"/>
      <c r="K555" s="7"/>
      <c r="L555" s="7"/>
      <c r="M555" s="7"/>
      <c r="N555" s="7"/>
      <c r="O555" s="7"/>
      <c r="P555" s="7"/>
      <c r="Q555" s="7"/>
      <c r="R555" s="7"/>
      <c r="S555" s="7"/>
      <c r="T555" s="7"/>
      <c r="U555" s="7"/>
      <c r="V555" s="7"/>
      <c r="W555" s="7"/>
      <c r="X555" s="7"/>
      <c r="Y555" s="7"/>
      <c r="Z555" s="7"/>
    </row>
    <row r="556" spans="1:26" ht="21" customHeight="1" x14ac:dyDescent="0.2">
      <c r="A556" s="7"/>
      <c r="B556" s="6"/>
      <c r="C556" s="7"/>
      <c r="D556" s="7"/>
      <c r="E556" s="6"/>
      <c r="F556" s="6"/>
      <c r="G556" s="6"/>
      <c r="H556" s="6"/>
      <c r="I556" s="6"/>
      <c r="J556" s="7"/>
      <c r="K556" s="7"/>
      <c r="L556" s="7"/>
      <c r="M556" s="7"/>
      <c r="N556" s="7"/>
      <c r="O556" s="7"/>
      <c r="P556" s="7"/>
      <c r="Q556" s="7"/>
      <c r="R556" s="7"/>
      <c r="S556" s="7"/>
      <c r="T556" s="7"/>
      <c r="U556" s="7"/>
      <c r="V556" s="7"/>
      <c r="W556" s="7"/>
      <c r="X556" s="7"/>
      <c r="Y556" s="7"/>
      <c r="Z556" s="7"/>
    </row>
    <row r="557" spans="1:26" ht="21" customHeight="1" x14ac:dyDescent="0.2">
      <c r="A557" s="7"/>
      <c r="B557" s="6"/>
      <c r="C557" s="7"/>
      <c r="D557" s="7"/>
      <c r="E557" s="6"/>
      <c r="F557" s="6"/>
      <c r="G557" s="6"/>
      <c r="H557" s="6"/>
      <c r="I557" s="6"/>
      <c r="J557" s="7"/>
      <c r="K557" s="7"/>
      <c r="L557" s="7"/>
      <c r="M557" s="7"/>
      <c r="N557" s="7"/>
      <c r="O557" s="7"/>
      <c r="P557" s="7"/>
      <c r="Q557" s="7"/>
      <c r="R557" s="7"/>
      <c r="S557" s="7"/>
      <c r="T557" s="7"/>
      <c r="U557" s="7"/>
      <c r="V557" s="7"/>
      <c r="W557" s="7"/>
      <c r="X557" s="7"/>
      <c r="Y557" s="7"/>
      <c r="Z557" s="7"/>
    </row>
    <row r="558" spans="1:26" ht="21" customHeight="1" x14ac:dyDescent="0.2">
      <c r="A558" s="7"/>
      <c r="B558" s="6"/>
      <c r="C558" s="7"/>
      <c r="D558" s="7"/>
      <c r="E558" s="6"/>
      <c r="F558" s="6"/>
      <c r="G558" s="6"/>
      <c r="H558" s="6"/>
      <c r="I558" s="6"/>
      <c r="J558" s="7"/>
      <c r="K558" s="7"/>
      <c r="L558" s="7"/>
      <c r="M558" s="7"/>
      <c r="N558" s="7"/>
      <c r="O558" s="7"/>
      <c r="P558" s="7"/>
      <c r="Q558" s="7"/>
      <c r="R558" s="7"/>
      <c r="S558" s="7"/>
      <c r="T558" s="7"/>
      <c r="U558" s="7"/>
      <c r="V558" s="7"/>
      <c r="W558" s="7"/>
      <c r="X558" s="7"/>
      <c r="Y558" s="7"/>
      <c r="Z558" s="7"/>
    </row>
    <row r="559" spans="1:26" ht="21" customHeight="1" x14ac:dyDescent="0.2">
      <c r="A559" s="7"/>
      <c r="B559" s="6"/>
      <c r="C559" s="7"/>
      <c r="D559" s="7"/>
      <c r="E559" s="6"/>
      <c r="F559" s="6"/>
      <c r="G559" s="6"/>
      <c r="H559" s="6"/>
      <c r="I559" s="6"/>
      <c r="J559" s="7"/>
      <c r="K559" s="7"/>
      <c r="L559" s="7"/>
      <c r="M559" s="7"/>
      <c r="N559" s="7"/>
      <c r="O559" s="7"/>
      <c r="P559" s="7"/>
      <c r="Q559" s="7"/>
      <c r="R559" s="7"/>
      <c r="S559" s="7"/>
      <c r="T559" s="7"/>
      <c r="U559" s="7"/>
      <c r="V559" s="7"/>
      <c r="W559" s="7"/>
      <c r="X559" s="7"/>
      <c r="Y559" s="7"/>
      <c r="Z559" s="7"/>
    </row>
    <row r="560" spans="1:26" ht="21" customHeight="1" x14ac:dyDescent="0.2">
      <c r="A560" s="7"/>
      <c r="B560" s="6"/>
      <c r="C560" s="7"/>
      <c r="D560" s="7"/>
      <c r="E560" s="6"/>
      <c r="F560" s="6"/>
      <c r="G560" s="6"/>
      <c r="H560" s="6"/>
      <c r="I560" s="6"/>
      <c r="J560" s="7"/>
      <c r="K560" s="7"/>
      <c r="L560" s="7"/>
      <c r="M560" s="7"/>
      <c r="N560" s="7"/>
      <c r="O560" s="7"/>
      <c r="P560" s="7"/>
      <c r="Q560" s="7"/>
      <c r="R560" s="7"/>
      <c r="S560" s="7"/>
      <c r="T560" s="7"/>
      <c r="U560" s="7"/>
      <c r="V560" s="7"/>
      <c r="W560" s="7"/>
      <c r="X560" s="7"/>
      <c r="Y560" s="7"/>
      <c r="Z560" s="7"/>
    </row>
    <row r="561" spans="1:26" ht="21" customHeight="1" x14ac:dyDescent="0.2">
      <c r="A561" s="7"/>
      <c r="B561" s="6"/>
      <c r="C561" s="7"/>
      <c r="D561" s="7"/>
      <c r="E561" s="6"/>
      <c r="F561" s="6"/>
      <c r="G561" s="6"/>
      <c r="H561" s="6"/>
      <c r="I561" s="6"/>
      <c r="J561" s="7"/>
      <c r="K561" s="7"/>
      <c r="L561" s="7"/>
      <c r="M561" s="7"/>
      <c r="N561" s="7"/>
      <c r="O561" s="7"/>
      <c r="P561" s="7"/>
      <c r="Q561" s="7"/>
      <c r="R561" s="7"/>
      <c r="S561" s="7"/>
      <c r="T561" s="7"/>
      <c r="U561" s="7"/>
      <c r="V561" s="7"/>
      <c r="W561" s="7"/>
      <c r="X561" s="7"/>
      <c r="Y561" s="7"/>
      <c r="Z561" s="7"/>
    </row>
    <row r="562" spans="1:26" ht="21" customHeight="1" x14ac:dyDescent="0.2">
      <c r="A562" s="7"/>
      <c r="B562" s="6"/>
      <c r="C562" s="7"/>
      <c r="D562" s="7"/>
      <c r="E562" s="6"/>
      <c r="F562" s="6"/>
      <c r="G562" s="6"/>
      <c r="H562" s="6"/>
      <c r="I562" s="6"/>
      <c r="J562" s="7"/>
      <c r="K562" s="7"/>
      <c r="L562" s="7"/>
      <c r="M562" s="7"/>
      <c r="N562" s="7"/>
      <c r="O562" s="7"/>
      <c r="P562" s="7"/>
      <c r="Q562" s="7"/>
      <c r="R562" s="7"/>
      <c r="S562" s="7"/>
      <c r="T562" s="7"/>
      <c r="U562" s="7"/>
      <c r="V562" s="7"/>
      <c r="W562" s="7"/>
      <c r="X562" s="7"/>
      <c r="Y562" s="7"/>
      <c r="Z562" s="7"/>
    </row>
    <row r="563" spans="1:26" ht="21" customHeight="1" x14ac:dyDescent="0.2">
      <c r="A563" s="7"/>
      <c r="B563" s="6"/>
      <c r="C563" s="7"/>
      <c r="D563" s="7"/>
      <c r="E563" s="6"/>
      <c r="F563" s="6"/>
      <c r="G563" s="6"/>
      <c r="H563" s="6"/>
      <c r="I563" s="6"/>
      <c r="J563" s="7"/>
      <c r="K563" s="7"/>
      <c r="L563" s="7"/>
      <c r="M563" s="7"/>
      <c r="N563" s="7"/>
      <c r="O563" s="7"/>
      <c r="P563" s="7"/>
      <c r="Q563" s="7"/>
      <c r="R563" s="7"/>
      <c r="S563" s="7"/>
      <c r="T563" s="7"/>
      <c r="U563" s="7"/>
      <c r="V563" s="7"/>
      <c r="W563" s="7"/>
      <c r="X563" s="7"/>
      <c r="Y563" s="7"/>
      <c r="Z563" s="7"/>
    </row>
    <row r="564" spans="1:26" ht="21" customHeight="1" x14ac:dyDescent="0.2">
      <c r="A564" s="7"/>
      <c r="B564" s="6"/>
      <c r="C564" s="7"/>
      <c r="D564" s="7"/>
      <c r="E564" s="6"/>
      <c r="F564" s="6"/>
      <c r="G564" s="6"/>
      <c r="H564" s="6"/>
      <c r="I564" s="6"/>
      <c r="J564" s="7"/>
      <c r="K564" s="7"/>
      <c r="L564" s="7"/>
      <c r="M564" s="7"/>
      <c r="N564" s="7"/>
      <c r="O564" s="7"/>
      <c r="P564" s="7"/>
      <c r="Q564" s="7"/>
      <c r="R564" s="7"/>
      <c r="S564" s="7"/>
      <c r="T564" s="7"/>
      <c r="U564" s="7"/>
      <c r="V564" s="7"/>
      <c r="W564" s="7"/>
      <c r="X564" s="7"/>
      <c r="Y564" s="7"/>
      <c r="Z564" s="7"/>
    </row>
    <row r="565" spans="1:26" ht="21" customHeight="1" x14ac:dyDescent="0.2">
      <c r="A565" s="7"/>
      <c r="B565" s="6"/>
      <c r="C565" s="7"/>
      <c r="D565" s="7"/>
      <c r="E565" s="6"/>
      <c r="F565" s="6"/>
      <c r="G565" s="6"/>
      <c r="H565" s="6"/>
      <c r="I565" s="6"/>
      <c r="J565" s="7"/>
      <c r="K565" s="7"/>
      <c r="L565" s="7"/>
      <c r="M565" s="7"/>
      <c r="N565" s="7"/>
      <c r="O565" s="7"/>
      <c r="P565" s="7"/>
      <c r="Q565" s="7"/>
      <c r="R565" s="7"/>
      <c r="S565" s="7"/>
      <c r="T565" s="7"/>
      <c r="U565" s="7"/>
      <c r="V565" s="7"/>
      <c r="W565" s="7"/>
      <c r="X565" s="7"/>
      <c r="Y565" s="7"/>
      <c r="Z565" s="7"/>
    </row>
    <row r="566" spans="1:26" ht="21" customHeight="1" x14ac:dyDescent="0.2">
      <c r="A566" s="7"/>
      <c r="B566" s="6"/>
      <c r="C566" s="7"/>
      <c r="D566" s="7"/>
      <c r="E566" s="6"/>
      <c r="F566" s="6"/>
      <c r="G566" s="6"/>
      <c r="H566" s="6"/>
      <c r="I566" s="6"/>
      <c r="J566" s="7"/>
      <c r="K566" s="7"/>
      <c r="L566" s="7"/>
      <c r="M566" s="7"/>
      <c r="N566" s="7"/>
      <c r="O566" s="7"/>
      <c r="P566" s="7"/>
      <c r="Q566" s="7"/>
      <c r="R566" s="7"/>
      <c r="S566" s="7"/>
      <c r="T566" s="7"/>
      <c r="U566" s="7"/>
      <c r="V566" s="7"/>
      <c r="W566" s="7"/>
      <c r="X566" s="7"/>
      <c r="Y566" s="7"/>
      <c r="Z566" s="7"/>
    </row>
    <row r="567" spans="1:26" ht="21" customHeight="1" x14ac:dyDescent="0.2">
      <c r="A567" s="7"/>
      <c r="B567" s="6"/>
      <c r="C567" s="7"/>
      <c r="D567" s="7"/>
      <c r="E567" s="6"/>
      <c r="F567" s="6"/>
      <c r="G567" s="6"/>
      <c r="H567" s="6"/>
      <c r="I567" s="6"/>
      <c r="J567" s="7"/>
      <c r="K567" s="7"/>
      <c r="L567" s="7"/>
      <c r="M567" s="7"/>
      <c r="N567" s="7"/>
      <c r="O567" s="7"/>
      <c r="P567" s="7"/>
      <c r="Q567" s="7"/>
      <c r="R567" s="7"/>
      <c r="S567" s="7"/>
      <c r="T567" s="7"/>
      <c r="U567" s="7"/>
      <c r="V567" s="7"/>
      <c r="W567" s="7"/>
      <c r="X567" s="7"/>
      <c r="Y567" s="7"/>
      <c r="Z567" s="7"/>
    </row>
    <row r="568" spans="1:26" ht="21" customHeight="1" x14ac:dyDescent="0.2">
      <c r="A568" s="7"/>
      <c r="B568" s="6"/>
      <c r="C568" s="7"/>
      <c r="D568" s="7"/>
      <c r="E568" s="6"/>
      <c r="F568" s="6"/>
      <c r="G568" s="6"/>
      <c r="H568" s="6"/>
      <c r="I568" s="6"/>
      <c r="J568" s="7"/>
      <c r="K568" s="7"/>
      <c r="L568" s="7"/>
      <c r="M568" s="7"/>
      <c r="N568" s="7"/>
      <c r="O568" s="7"/>
      <c r="P568" s="7"/>
      <c r="Q568" s="7"/>
      <c r="R568" s="7"/>
      <c r="S568" s="7"/>
      <c r="T568" s="7"/>
      <c r="U568" s="7"/>
      <c r="V568" s="7"/>
      <c r="W568" s="7"/>
      <c r="X568" s="7"/>
      <c r="Y568" s="7"/>
      <c r="Z568" s="7"/>
    </row>
    <row r="569" spans="1:26" ht="21" customHeight="1" x14ac:dyDescent="0.2">
      <c r="A569" s="7"/>
      <c r="B569" s="6"/>
      <c r="C569" s="7"/>
      <c r="D569" s="7"/>
      <c r="E569" s="6"/>
      <c r="F569" s="6"/>
      <c r="G569" s="6"/>
      <c r="H569" s="6"/>
      <c r="I569" s="6"/>
      <c r="J569" s="7"/>
      <c r="K569" s="7"/>
      <c r="L569" s="7"/>
      <c r="M569" s="7"/>
      <c r="N569" s="7"/>
      <c r="O569" s="7"/>
      <c r="P569" s="7"/>
      <c r="Q569" s="7"/>
      <c r="R569" s="7"/>
      <c r="S569" s="7"/>
      <c r="T569" s="7"/>
      <c r="U569" s="7"/>
      <c r="V569" s="7"/>
      <c r="W569" s="7"/>
      <c r="X569" s="7"/>
      <c r="Y569" s="7"/>
      <c r="Z569" s="7"/>
    </row>
    <row r="570" spans="1:26" ht="21" customHeight="1" x14ac:dyDescent="0.2">
      <c r="A570" s="7"/>
      <c r="B570" s="6"/>
      <c r="C570" s="7"/>
      <c r="D570" s="7"/>
      <c r="E570" s="6"/>
      <c r="F570" s="6"/>
      <c r="G570" s="6"/>
      <c r="H570" s="6"/>
      <c r="I570" s="6"/>
      <c r="J570" s="7"/>
      <c r="K570" s="7"/>
      <c r="L570" s="7"/>
      <c r="M570" s="7"/>
      <c r="N570" s="7"/>
      <c r="O570" s="7"/>
      <c r="P570" s="7"/>
      <c r="Q570" s="7"/>
      <c r="R570" s="7"/>
      <c r="S570" s="7"/>
      <c r="T570" s="7"/>
      <c r="U570" s="7"/>
      <c r="V570" s="7"/>
      <c r="W570" s="7"/>
      <c r="X570" s="7"/>
      <c r="Y570" s="7"/>
      <c r="Z570" s="7"/>
    </row>
    <row r="571" spans="1:26" ht="21" customHeight="1" x14ac:dyDescent="0.2">
      <c r="A571" s="7"/>
      <c r="B571" s="6"/>
      <c r="C571" s="7"/>
      <c r="D571" s="7"/>
      <c r="E571" s="6"/>
      <c r="F571" s="6"/>
      <c r="G571" s="6"/>
      <c r="H571" s="6"/>
      <c r="I571" s="6"/>
      <c r="J571" s="7"/>
      <c r="K571" s="7"/>
      <c r="L571" s="7"/>
      <c r="M571" s="7"/>
      <c r="N571" s="7"/>
      <c r="O571" s="7"/>
      <c r="P571" s="7"/>
      <c r="Q571" s="7"/>
      <c r="R571" s="7"/>
      <c r="S571" s="7"/>
      <c r="T571" s="7"/>
      <c r="U571" s="7"/>
      <c r="V571" s="7"/>
      <c r="W571" s="7"/>
      <c r="X571" s="7"/>
      <c r="Y571" s="7"/>
      <c r="Z571" s="7"/>
    </row>
    <row r="572" spans="1:26" ht="21" customHeight="1" x14ac:dyDescent="0.2">
      <c r="A572" s="7"/>
      <c r="B572" s="6"/>
      <c r="C572" s="7"/>
      <c r="D572" s="7"/>
      <c r="E572" s="6"/>
      <c r="F572" s="6"/>
      <c r="G572" s="6"/>
      <c r="H572" s="6"/>
      <c r="I572" s="6"/>
      <c r="J572" s="7"/>
      <c r="K572" s="7"/>
      <c r="L572" s="7"/>
      <c r="M572" s="7"/>
      <c r="N572" s="7"/>
      <c r="O572" s="7"/>
      <c r="P572" s="7"/>
      <c r="Q572" s="7"/>
      <c r="R572" s="7"/>
      <c r="S572" s="7"/>
      <c r="T572" s="7"/>
      <c r="U572" s="7"/>
      <c r="V572" s="7"/>
      <c r="W572" s="7"/>
      <c r="X572" s="7"/>
      <c r="Y572" s="7"/>
      <c r="Z572" s="7"/>
    </row>
    <row r="573" spans="1:26" ht="21" customHeight="1" x14ac:dyDescent="0.2">
      <c r="A573" s="7"/>
      <c r="B573" s="6"/>
      <c r="C573" s="7"/>
      <c r="D573" s="7"/>
      <c r="E573" s="6"/>
      <c r="F573" s="6"/>
      <c r="G573" s="6"/>
      <c r="H573" s="6"/>
      <c r="I573" s="6"/>
      <c r="J573" s="7"/>
      <c r="K573" s="7"/>
      <c r="L573" s="7"/>
      <c r="M573" s="7"/>
      <c r="N573" s="7"/>
      <c r="O573" s="7"/>
      <c r="P573" s="7"/>
      <c r="Q573" s="7"/>
      <c r="R573" s="7"/>
      <c r="S573" s="7"/>
      <c r="T573" s="7"/>
      <c r="U573" s="7"/>
      <c r="V573" s="7"/>
      <c r="W573" s="7"/>
      <c r="X573" s="7"/>
      <c r="Y573" s="7"/>
      <c r="Z573" s="7"/>
    </row>
    <row r="574" spans="1:26" ht="21" customHeight="1" x14ac:dyDescent="0.2">
      <c r="A574" s="7"/>
      <c r="B574" s="6"/>
      <c r="C574" s="7"/>
      <c r="D574" s="7"/>
      <c r="E574" s="6"/>
      <c r="F574" s="6"/>
      <c r="G574" s="6"/>
      <c r="H574" s="6"/>
      <c r="I574" s="6"/>
      <c r="J574" s="7"/>
      <c r="K574" s="7"/>
      <c r="L574" s="7"/>
      <c r="M574" s="7"/>
      <c r="N574" s="7"/>
      <c r="O574" s="7"/>
      <c r="P574" s="7"/>
      <c r="Q574" s="7"/>
      <c r="R574" s="7"/>
      <c r="S574" s="7"/>
      <c r="T574" s="7"/>
      <c r="U574" s="7"/>
      <c r="V574" s="7"/>
      <c r="W574" s="7"/>
      <c r="X574" s="7"/>
      <c r="Y574" s="7"/>
      <c r="Z574" s="7"/>
    </row>
    <row r="575" spans="1:26" ht="21" customHeight="1" x14ac:dyDescent="0.2">
      <c r="A575" s="7"/>
      <c r="B575" s="6"/>
      <c r="C575" s="7"/>
      <c r="D575" s="7"/>
      <c r="E575" s="6"/>
      <c r="F575" s="6"/>
      <c r="G575" s="6"/>
      <c r="H575" s="6"/>
      <c r="I575" s="6"/>
      <c r="J575" s="7"/>
      <c r="K575" s="7"/>
      <c r="L575" s="7"/>
      <c r="M575" s="7"/>
      <c r="N575" s="7"/>
      <c r="O575" s="7"/>
      <c r="P575" s="7"/>
      <c r="Q575" s="7"/>
      <c r="R575" s="7"/>
      <c r="S575" s="7"/>
      <c r="T575" s="7"/>
      <c r="U575" s="7"/>
      <c r="V575" s="7"/>
      <c r="W575" s="7"/>
      <c r="X575" s="7"/>
      <c r="Y575" s="7"/>
      <c r="Z575" s="7"/>
    </row>
    <row r="576" spans="1:26" ht="21" customHeight="1" x14ac:dyDescent="0.2">
      <c r="A576" s="7"/>
      <c r="B576" s="6"/>
      <c r="C576" s="7"/>
      <c r="D576" s="7"/>
      <c r="E576" s="6"/>
      <c r="F576" s="6"/>
      <c r="G576" s="6"/>
      <c r="H576" s="6"/>
      <c r="I576" s="6"/>
      <c r="J576" s="7"/>
      <c r="K576" s="7"/>
      <c r="L576" s="7"/>
      <c r="M576" s="7"/>
      <c r="N576" s="7"/>
      <c r="O576" s="7"/>
      <c r="P576" s="7"/>
      <c r="Q576" s="7"/>
      <c r="R576" s="7"/>
      <c r="S576" s="7"/>
      <c r="T576" s="7"/>
      <c r="U576" s="7"/>
      <c r="V576" s="7"/>
      <c r="W576" s="7"/>
      <c r="X576" s="7"/>
      <c r="Y576" s="7"/>
      <c r="Z576" s="7"/>
    </row>
    <row r="577" spans="1:26" ht="21" customHeight="1" x14ac:dyDescent="0.2">
      <c r="A577" s="7"/>
      <c r="B577" s="6"/>
      <c r="C577" s="7"/>
      <c r="D577" s="7"/>
      <c r="E577" s="6"/>
      <c r="F577" s="6"/>
      <c r="G577" s="6"/>
      <c r="H577" s="6"/>
      <c r="I577" s="6"/>
      <c r="J577" s="7"/>
      <c r="K577" s="7"/>
      <c r="L577" s="7"/>
      <c r="M577" s="7"/>
      <c r="N577" s="7"/>
      <c r="O577" s="7"/>
      <c r="P577" s="7"/>
      <c r="Q577" s="7"/>
      <c r="R577" s="7"/>
      <c r="S577" s="7"/>
      <c r="T577" s="7"/>
      <c r="U577" s="7"/>
      <c r="V577" s="7"/>
      <c r="W577" s="7"/>
      <c r="X577" s="7"/>
      <c r="Y577" s="7"/>
      <c r="Z577" s="7"/>
    </row>
    <row r="578" spans="1:26" ht="21" customHeight="1" x14ac:dyDescent="0.2">
      <c r="A578" s="7"/>
      <c r="B578" s="6"/>
      <c r="C578" s="7"/>
      <c r="D578" s="7"/>
      <c r="E578" s="6"/>
      <c r="F578" s="6"/>
      <c r="G578" s="6"/>
      <c r="H578" s="6"/>
      <c r="I578" s="6"/>
      <c r="J578" s="7"/>
      <c r="K578" s="7"/>
      <c r="L578" s="7"/>
      <c r="M578" s="7"/>
      <c r="N578" s="7"/>
      <c r="O578" s="7"/>
      <c r="P578" s="7"/>
      <c r="Q578" s="7"/>
      <c r="R578" s="7"/>
      <c r="S578" s="7"/>
      <c r="T578" s="7"/>
      <c r="U578" s="7"/>
      <c r="V578" s="7"/>
      <c r="W578" s="7"/>
      <c r="X578" s="7"/>
      <c r="Y578" s="7"/>
      <c r="Z578" s="7"/>
    </row>
    <row r="579" spans="1:26" ht="21" customHeight="1" x14ac:dyDescent="0.2">
      <c r="A579" s="7"/>
      <c r="B579" s="6"/>
      <c r="C579" s="7"/>
      <c r="D579" s="7"/>
      <c r="E579" s="6"/>
      <c r="F579" s="6"/>
      <c r="G579" s="6"/>
      <c r="H579" s="6"/>
      <c r="I579" s="6"/>
      <c r="J579" s="7"/>
      <c r="K579" s="7"/>
      <c r="L579" s="7"/>
      <c r="M579" s="7"/>
      <c r="N579" s="7"/>
      <c r="O579" s="7"/>
      <c r="P579" s="7"/>
      <c r="Q579" s="7"/>
      <c r="R579" s="7"/>
      <c r="S579" s="7"/>
      <c r="T579" s="7"/>
      <c r="U579" s="7"/>
      <c r="V579" s="7"/>
      <c r="W579" s="7"/>
      <c r="X579" s="7"/>
      <c r="Y579" s="7"/>
      <c r="Z579" s="7"/>
    </row>
    <row r="580" spans="1:26" ht="21" customHeight="1" x14ac:dyDescent="0.2">
      <c r="A580" s="7"/>
      <c r="B580" s="6"/>
      <c r="C580" s="7"/>
      <c r="D580" s="7"/>
      <c r="E580" s="6"/>
      <c r="F580" s="6"/>
      <c r="G580" s="6"/>
      <c r="H580" s="6"/>
      <c r="I580" s="6"/>
      <c r="J580" s="7"/>
      <c r="K580" s="7"/>
      <c r="L580" s="7"/>
      <c r="M580" s="7"/>
      <c r="N580" s="7"/>
      <c r="O580" s="7"/>
      <c r="P580" s="7"/>
      <c r="Q580" s="7"/>
      <c r="R580" s="7"/>
      <c r="S580" s="7"/>
      <c r="T580" s="7"/>
      <c r="U580" s="7"/>
      <c r="V580" s="7"/>
      <c r="W580" s="7"/>
      <c r="X580" s="7"/>
      <c r="Y580" s="7"/>
      <c r="Z580" s="7"/>
    </row>
    <row r="581" spans="1:26" ht="21" customHeight="1" x14ac:dyDescent="0.2">
      <c r="A581" s="7"/>
      <c r="B581" s="6"/>
      <c r="C581" s="7"/>
      <c r="D581" s="7"/>
      <c r="E581" s="6"/>
      <c r="F581" s="6"/>
      <c r="G581" s="6"/>
      <c r="H581" s="6"/>
      <c r="I581" s="6"/>
      <c r="J581" s="7"/>
      <c r="K581" s="7"/>
      <c r="L581" s="7"/>
      <c r="M581" s="7"/>
      <c r="N581" s="7"/>
      <c r="O581" s="7"/>
      <c r="P581" s="7"/>
      <c r="Q581" s="7"/>
      <c r="R581" s="7"/>
      <c r="S581" s="7"/>
      <c r="T581" s="7"/>
      <c r="U581" s="7"/>
      <c r="V581" s="7"/>
      <c r="W581" s="7"/>
      <c r="X581" s="7"/>
      <c r="Y581" s="7"/>
      <c r="Z581" s="7"/>
    </row>
    <row r="582" spans="1:26" ht="21" customHeight="1" x14ac:dyDescent="0.2">
      <c r="A582" s="7"/>
      <c r="B582" s="6"/>
      <c r="C582" s="7"/>
      <c r="D582" s="7"/>
      <c r="E582" s="6"/>
      <c r="F582" s="6"/>
      <c r="G582" s="6"/>
      <c r="H582" s="6"/>
      <c r="I582" s="6"/>
      <c r="J582" s="7"/>
      <c r="K582" s="7"/>
      <c r="L582" s="7"/>
      <c r="M582" s="7"/>
      <c r="N582" s="7"/>
      <c r="O582" s="7"/>
      <c r="P582" s="7"/>
      <c r="Q582" s="7"/>
      <c r="R582" s="7"/>
      <c r="S582" s="7"/>
      <c r="T582" s="7"/>
      <c r="U582" s="7"/>
      <c r="V582" s="7"/>
      <c r="W582" s="7"/>
      <c r="X582" s="7"/>
      <c r="Y582" s="7"/>
      <c r="Z582" s="7"/>
    </row>
    <row r="583" spans="1:26" ht="21" customHeight="1" x14ac:dyDescent="0.2">
      <c r="A583" s="7"/>
      <c r="B583" s="6"/>
      <c r="C583" s="7"/>
      <c r="D583" s="7"/>
      <c r="E583" s="6"/>
      <c r="F583" s="6"/>
      <c r="G583" s="6"/>
      <c r="H583" s="6"/>
      <c r="I583" s="6"/>
      <c r="J583" s="7"/>
      <c r="K583" s="7"/>
      <c r="L583" s="7"/>
      <c r="M583" s="7"/>
      <c r="N583" s="7"/>
      <c r="O583" s="7"/>
      <c r="P583" s="7"/>
      <c r="Q583" s="7"/>
      <c r="R583" s="7"/>
      <c r="S583" s="7"/>
      <c r="T583" s="7"/>
      <c r="U583" s="7"/>
      <c r="V583" s="7"/>
      <c r="W583" s="7"/>
      <c r="X583" s="7"/>
      <c r="Y583" s="7"/>
      <c r="Z583" s="7"/>
    </row>
    <row r="584" spans="1:26" ht="21" customHeight="1" x14ac:dyDescent="0.2">
      <c r="A584" s="7"/>
      <c r="B584" s="6"/>
      <c r="C584" s="7"/>
      <c r="D584" s="7"/>
      <c r="E584" s="6"/>
      <c r="F584" s="6"/>
      <c r="G584" s="6"/>
      <c r="H584" s="6"/>
      <c r="I584" s="6"/>
      <c r="J584" s="7"/>
      <c r="K584" s="7"/>
      <c r="L584" s="7"/>
      <c r="M584" s="7"/>
      <c r="N584" s="7"/>
      <c r="O584" s="7"/>
      <c r="P584" s="7"/>
      <c r="Q584" s="7"/>
      <c r="R584" s="7"/>
      <c r="S584" s="7"/>
      <c r="T584" s="7"/>
      <c r="U584" s="7"/>
      <c r="V584" s="7"/>
      <c r="W584" s="7"/>
      <c r="X584" s="7"/>
      <c r="Y584" s="7"/>
      <c r="Z584" s="7"/>
    </row>
    <row r="585" spans="1:26" ht="21" customHeight="1" x14ac:dyDescent="0.2">
      <c r="A585" s="7"/>
      <c r="B585" s="6"/>
      <c r="C585" s="7"/>
      <c r="D585" s="7"/>
      <c r="E585" s="6"/>
      <c r="F585" s="6"/>
      <c r="G585" s="6"/>
      <c r="H585" s="6"/>
      <c r="I585" s="6"/>
      <c r="J585" s="7"/>
      <c r="K585" s="7"/>
      <c r="L585" s="7"/>
      <c r="M585" s="7"/>
      <c r="N585" s="7"/>
      <c r="O585" s="7"/>
      <c r="P585" s="7"/>
      <c r="Q585" s="7"/>
      <c r="R585" s="7"/>
      <c r="S585" s="7"/>
      <c r="T585" s="7"/>
      <c r="U585" s="7"/>
      <c r="V585" s="7"/>
      <c r="W585" s="7"/>
      <c r="X585" s="7"/>
      <c r="Y585" s="7"/>
      <c r="Z585" s="7"/>
    </row>
    <row r="586" spans="1:26" ht="21" customHeight="1" x14ac:dyDescent="0.2">
      <c r="A586" s="7"/>
      <c r="B586" s="6"/>
      <c r="C586" s="7"/>
      <c r="D586" s="7"/>
      <c r="E586" s="6"/>
      <c r="F586" s="6"/>
      <c r="G586" s="6"/>
      <c r="H586" s="6"/>
      <c r="I586" s="6"/>
      <c r="J586" s="7"/>
      <c r="K586" s="7"/>
      <c r="L586" s="7"/>
      <c r="M586" s="7"/>
      <c r="N586" s="7"/>
      <c r="O586" s="7"/>
      <c r="P586" s="7"/>
      <c r="Q586" s="7"/>
      <c r="R586" s="7"/>
      <c r="S586" s="7"/>
      <c r="T586" s="7"/>
      <c r="U586" s="7"/>
      <c r="V586" s="7"/>
      <c r="W586" s="7"/>
      <c r="X586" s="7"/>
      <c r="Y586" s="7"/>
      <c r="Z586" s="7"/>
    </row>
    <row r="587" spans="1:26" ht="21" customHeight="1" x14ac:dyDescent="0.2">
      <c r="A587" s="7"/>
      <c r="B587" s="6"/>
      <c r="C587" s="7"/>
      <c r="D587" s="7"/>
      <c r="E587" s="6"/>
      <c r="F587" s="6"/>
      <c r="G587" s="6"/>
      <c r="H587" s="6"/>
      <c r="I587" s="6"/>
      <c r="J587" s="7"/>
      <c r="K587" s="7"/>
      <c r="L587" s="7"/>
      <c r="M587" s="7"/>
      <c r="N587" s="7"/>
      <c r="O587" s="7"/>
      <c r="P587" s="7"/>
      <c r="Q587" s="7"/>
      <c r="R587" s="7"/>
      <c r="S587" s="7"/>
      <c r="T587" s="7"/>
      <c r="U587" s="7"/>
      <c r="V587" s="7"/>
      <c r="W587" s="7"/>
      <c r="X587" s="7"/>
      <c r="Y587" s="7"/>
      <c r="Z587" s="7"/>
    </row>
    <row r="588" spans="1:26" ht="21" customHeight="1" x14ac:dyDescent="0.2">
      <c r="A588" s="7"/>
      <c r="B588" s="6"/>
      <c r="C588" s="7"/>
      <c r="D588" s="7"/>
      <c r="E588" s="6"/>
      <c r="F588" s="6"/>
      <c r="G588" s="6"/>
      <c r="H588" s="6"/>
      <c r="I588" s="6"/>
      <c r="J588" s="7"/>
      <c r="K588" s="7"/>
      <c r="L588" s="7"/>
      <c r="M588" s="7"/>
      <c r="N588" s="7"/>
      <c r="O588" s="7"/>
      <c r="P588" s="7"/>
      <c r="Q588" s="7"/>
      <c r="R588" s="7"/>
      <c r="S588" s="7"/>
      <c r="T588" s="7"/>
      <c r="U588" s="7"/>
      <c r="V588" s="7"/>
      <c r="W588" s="7"/>
      <c r="X588" s="7"/>
      <c r="Y588" s="7"/>
      <c r="Z588" s="7"/>
    </row>
    <row r="589" spans="1:26" ht="21" customHeight="1" x14ac:dyDescent="0.2">
      <c r="A589" s="7"/>
      <c r="B589" s="6"/>
      <c r="C589" s="7"/>
      <c r="D589" s="7"/>
      <c r="E589" s="6"/>
      <c r="F589" s="6"/>
      <c r="G589" s="6"/>
      <c r="H589" s="6"/>
      <c r="I589" s="6"/>
      <c r="J589" s="7"/>
      <c r="K589" s="7"/>
      <c r="L589" s="7"/>
      <c r="M589" s="7"/>
      <c r="N589" s="7"/>
      <c r="O589" s="7"/>
      <c r="P589" s="7"/>
      <c r="Q589" s="7"/>
      <c r="R589" s="7"/>
      <c r="S589" s="7"/>
      <c r="T589" s="7"/>
      <c r="U589" s="7"/>
      <c r="V589" s="7"/>
      <c r="W589" s="7"/>
      <c r="X589" s="7"/>
      <c r="Y589" s="7"/>
      <c r="Z589" s="7"/>
    </row>
    <row r="590" spans="1:26" ht="21" customHeight="1" x14ac:dyDescent="0.2">
      <c r="A590" s="7"/>
      <c r="B590" s="6"/>
      <c r="C590" s="7"/>
      <c r="D590" s="7"/>
      <c r="E590" s="6"/>
      <c r="F590" s="6"/>
      <c r="G590" s="6"/>
      <c r="H590" s="6"/>
      <c r="I590" s="6"/>
      <c r="J590" s="7"/>
      <c r="K590" s="7"/>
      <c r="L590" s="7"/>
      <c r="M590" s="7"/>
      <c r="N590" s="7"/>
      <c r="O590" s="7"/>
      <c r="P590" s="7"/>
      <c r="Q590" s="7"/>
      <c r="R590" s="7"/>
      <c r="S590" s="7"/>
      <c r="T590" s="7"/>
      <c r="U590" s="7"/>
      <c r="V590" s="7"/>
      <c r="W590" s="7"/>
      <c r="X590" s="7"/>
      <c r="Y590" s="7"/>
      <c r="Z590" s="7"/>
    </row>
    <row r="591" spans="1:26" ht="21" customHeight="1" x14ac:dyDescent="0.2">
      <c r="A591" s="7"/>
      <c r="B591" s="6"/>
      <c r="C591" s="7"/>
      <c r="D591" s="7"/>
      <c r="E591" s="6"/>
      <c r="F591" s="6"/>
      <c r="G591" s="6"/>
      <c r="H591" s="6"/>
      <c r="I591" s="6"/>
      <c r="J591" s="7"/>
      <c r="K591" s="7"/>
      <c r="L591" s="7"/>
      <c r="M591" s="7"/>
      <c r="N591" s="7"/>
      <c r="O591" s="7"/>
      <c r="P591" s="7"/>
      <c r="Q591" s="7"/>
      <c r="R591" s="7"/>
      <c r="S591" s="7"/>
      <c r="T591" s="7"/>
      <c r="U591" s="7"/>
      <c r="V591" s="7"/>
      <c r="W591" s="7"/>
      <c r="X591" s="7"/>
      <c r="Y591" s="7"/>
      <c r="Z591" s="7"/>
    </row>
    <row r="592" spans="1:26" ht="21" customHeight="1" x14ac:dyDescent="0.2">
      <c r="A592" s="7"/>
      <c r="B592" s="6"/>
      <c r="C592" s="7"/>
      <c r="D592" s="7"/>
      <c r="E592" s="6"/>
      <c r="F592" s="6"/>
      <c r="G592" s="6"/>
      <c r="H592" s="6"/>
      <c r="I592" s="6"/>
      <c r="J592" s="7"/>
      <c r="K592" s="7"/>
      <c r="L592" s="7"/>
      <c r="M592" s="7"/>
      <c r="N592" s="7"/>
      <c r="O592" s="7"/>
      <c r="P592" s="7"/>
      <c r="Q592" s="7"/>
      <c r="R592" s="7"/>
      <c r="S592" s="7"/>
      <c r="T592" s="7"/>
      <c r="U592" s="7"/>
      <c r="V592" s="7"/>
      <c r="W592" s="7"/>
      <c r="X592" s="7"/>
      <c r="Y592" s="7"/>
      <c r="Z592" s="7"/>
    </row>
    <row r="593" spans="1:26" ht="21" customHeight="1" x14ac:dyDescent="0.2">
      <c r="A593" s="7"/>
      <c r="B593" s="6"/>
      <c r="C593" s="7"/>
      <c r="D593" s="7"/>
      <c r="E593" s="6"/>
      <c r="F593" s="6"/>
      <c r="G593" s="6"/>
      <c r="H593" s="6"/>
      <c r="I593" s="6"/>
      <c r="J593" s="7"/>
      <c r="K593" s="7"/>
      <c r="L593" s="7"/>
      <c r="M593" s="7"/>
      <c r="N593" s="7"/>
      <c r="O593" s="7"/>
      <c r="P593" s="7"/>
      <c r="Q593" s="7"/>
      <c r="R593" s="7"/>
      <c r="S593" s="7"/>
      <c r="T593" s="7"/>
      <c r="U593" s="7"/>
      <c r="V593" s="7"/>
      <c r="W593" s="7"/>
      <c r="X593" s="7"/>
      <c r="Y593" s="7"/>
      <c r="Z593" s="7"/>
    </row>
    <row r="594" spans="1:26" ht="21" customHeight="1" x14ac:dyDescent="0.2">
      <c r="A594" s="7"/>
      <c r="B594" s="6"/>
      <c r="C594" s="7"/>
      <c r="D594" s="7"/>
      <c r="E594" s="6"/>
      <c r="F594" s="6"/>
      <c r="G594" s="6"/>
      <c r="H594" s="6"/>
      <c r="I594" s="6"/>
      <c r="J594" s="7"/>
      <c r="K594" s="7"/>
      <c r="L594" s="7"/>
      <c r="M594" s="7"/>
      <c r="N594" s="7"/>
      <c r="O594" s="7"/>
      <c r="P594" s="7"/>
      <c r="Q594" s="7"/>
      <c r="R594" s="7"/>
      <c r="S594" s="7"/>
      <c r="T594" s="7"/>
      <c r="U594" s="7"/>
      <c r="V594" s="7"/>
      <c r="W594" s="7"/>
      <c r="X594" s="7"/>
      <c r="Y594" s="7"/>
      <c r="Z594" s="7"/>
    </row>
    <row r="595" spans="1:26" ht="21" customHeight="1" x14ac:dyDescent="0.2">
      <c r="A595" s="7"/>
      <c r="B595" s="6"/>
      <c r="C595" s="7"/>
      <c r="D595" s="7"/>
      <c r="E595" s="6"/>
      <c r="F595" s="6"/>
      <c r="G595" s="6"/>
      <c r="H595" s="6"/>
      <c r="I595" s="6"/>
      <c r="J595" s="7"/>
      <c r="K595" s="7"/>
      <c r="L595" s="7"/>
      <c r="M595" s="7"/>
      <c r="N595" s="7"/>
      <c r="O595" s="7"/>
      <c r="P595" s="7"/>
      <c r="Q595" s="7"/>
      <c r="R595" s="7"/>
      <c r="S595" s="7"/>
      <c r="T595" s="7"/>
      <c r="U595" s="7"/>
      <c r="V595" s="7"/>
      <c r="W595" s="7"/>
      <c r="X595" s="7"/>
      <c r="Y595" s="7"/>
      <c r="Z595" s="7"/>
    </row>
    <row r="596" spans="1:26" ht="21" customHeight="1" x14ac:dyDescent="0.2">
      <c r="A596" s="7"/>
      <c r="B596" s="6"/>
      <c r="C596" s="7"/>
      <c r="D596" s="7"/>
      <c r="E596" s="6"/>
      <c r="F596" s="6"/>
      <c r="G596" s="6"/>
      <c r="H596" s="6"/>
      <c r="I596" s="6"/>
      <c r="J596" s="7"/>
      <c r="K596" s="7"/>
      <c r="L596" s="7"/>
      <c r="M596" s="7"/>
      <c r="N596" s="7"/>
      <c r="O596" s="7"/>
      <c r="P596" s="7"/>
      <c r="Q596" s="7"/>
      <c r="R596" s="7"/>
      <c r="S596" s="7"/>
      <c r="T596" s="7"/>
      <c r="U596" s="7"/>
      <c r="V596" s="7"/>
      <c r="W596" s="7"/>
      <c r="X596" s="7"/>
      <c r="Y596" s="7"/>
      <c r="Z596" s="7"/>
    </row>
    <row r="597" spans="1:26" ht="21" customHeight="1" x14ac:dyDescent="0.2">
      <c r="A597" s="7"/>
      <c r="B597" s="6"/>
      <c r="C597" s="7"/>
      <c r="D597" s="7"/>
      <c r="E597" s="6"/>
      <c r="F597" s="6"/>
      <c r="G597" s="6"/>
      <c r="H597" s="6"/>
      <c r="I597" s="6"/>
      <c r="J597" s="7"/>
      <c r="K597" s="7"/>
      <c r="L597" s="7"/>
      <c r="M597" s="7"/>
      <c r="N597" s="7"/>
      <c r="O597" s="7"/>
      <c r="P597" s="7"/>
      <c r="Q597" s="7"/>
      <c r="R597" s="7"/>
      <c r="S597" s="7"/>
      <c r="T597" s="7"/>
      <c r="U597" s="7"/>
      <c r="V597" s="7"/>
      <c r="W597" s="7"/>
      <c r="X597" s="7"/>
      <c r="Y597" s="7"/>
      <c r="Z597" s="7"/>
    </row>
    <row r="598" spans="1:26" ht="21" customHeight="1" x14ac:dyDescent="0.2">
      <c r="A598" s="7"/>
      <c r="B598" s="6"/>
      <c r="C598" s="7"/>
      <c r="D598" s="7"/>
      <c r="E598" s="6"/>
      <c r="F598" s="6"/>
      <c r="G598" s="6"/>
      <c r="H598" s="6"/>
      <c r="I598" s="6"/>
      <c r="J598" s="7"/>
      <c r="K598" s="7"/>
      <c r="L598" s="7"/>
      <c r="M598" s="7"/>
      <c r="N598" s="7"/>
      <c r="O598" s="7"/>
      <c r="P598" s="7"/>
      <c r="Q598" s="7"/>
      <c r="R598" s="7"/>
      <c r="S598" s="7"/>
      <c r="T598" s="7"/>
      <c r="U598" s="7"/>
      <c r="V598" s="7"/>
      <c r="W598" s="7"/>
      <c r="X598" s="7"/>
      <c r="Y598" s="7"/>
      <c r="Z598" s="7"/>
    </row>
    <row r="599" spans="1:26" ht="21" customHeight="1" x14ac:dyDescent="0.2">
      <c r="A599" s="7"/>
      <c r="B599" s="6"/>
      <c r="C599" s="7"/>
      <c r="D599" s="7"/>
      <c r="E599" s="6"/>
      <c r="F599" s="6"/>
      <c r="G599" s="6"/>
      <c r="H599" s="6"/>
      <c r="I599" s="6"/>
      <c r="J599" s="7"/>
      <c r="K599" s="7"/>
      <c r="L599" s="7"/>
      <c r="M599" s="7"/>
      <c r="N599" s="7"/>
      <c r="O599" s="7"/>
      <c r="P599" s="7"/>
      <c r="Q599" s="7"/>
      <c r="R599" s="7"/>
      <c r="S599" s="7"/>
      <c r="T599" s="7"/>
      <c r="U599" s="7"/>
      <c r="V599" s="7"/>
      <c r="W599" s="7"/>
      <c r="X599" s="7"/>
      <c r="Y599" s="7"/>
      <c r="Z599" s="7"/>
    </row>
    <row r="600" spans="1:26" ht="21" customHeight="1" x14ac:dyDescent="0.2">
      <c r="A600" s="7"/>
      <c r="B600" s="6"/>
      <c r="C600" s="7"/>
      <c r="D600" s="7"/>
      <c r="E600" s="6"/>
      <c r="F600" s="6"/>
      <c r="G600" s="6"/>
      <c r="H600" s="6"/>
      <c r="I600" s="6"/>
      <c r="J600" s="7"/>
      <c r="K600" s="7"/>
      <c r="L600" s="7"/>
      <c r="M600" s="7"/>
      <c r="N600" s="7"/>
      <c r="O600" s="7"/>
      <c r="P600" s="7"/>
      <c r="Q600" s="7"/>
      <c r="R600" s="7"/>
      <c r="S600" s="7"/>
      <c r="T600" s="7"/>
      <c r="U600" s="7"/>
      <c r="V600" s="7"/>
      <c r="W600" s="7"/>
      <c r="X600" s="7"/>
      <c r="Y600" s="7"/>
      <c r="Z600" s="7"/>
    </row>
    <row r="601" spans="1:26" ht="21" customHeight="1" x14ac:dyDescent="0.2">
      <c r="A601" s="7"/>
      <c r="B601" s="6"/>
      <c r="C601" s="7"/>
      <c r="D601" s="7"/>
      <c r="E601" s="6"/>
      <c r="F601" s="6"/>
      <c r="G601" s="6"/>
      <c r="H601" s="6"/>
      <c r="I601" s="6"/>
      <c r="J601" s="7"/>
      <c r="K601" s="7"/>
      <c r="L601" s="7"/>
      <c r="M601" s="7"/>
      <c r="N601" s="7"/>
      <c r="O601" s="7"/>
      <c r="P601" s="7"/>
      <c r="Q601" s="7"/>
      <c r="R601" s="7"/>
      <c r="S601" s="7"/>
      <c r="T601" s="7"/>
      <c r="U601" s="7"/>
      <c r="V601" s="7"/>
      <c r="W601" s="7"/>
      <c r="X601" s="7"/>
      <c r="Y601" s="7"/>
      <c r="Z601" s="7"/>
    </row>
    <row r="602" spans="1:26" ht="21" customHeight="1" x14ac:dyDescent="0.2">
      <c r="A602" s="7"/>
      <c r="B602" s="6"/>
      <c r="C602" s="7"/>
      <c r="D602" s="7"/>
      <c r="E602" s="6"/>
      <c r="F602" s="6"/>
      <c r="G602" s="6"/>
      <c r="H602" s="6"/>
      <c r="I602" s="6"/>
      <c r="J602" s="7"/>
      <c r="K602" s="7"/>
      <c r="L602" s="7"/>
      <c r="M602" s="7"/>
      <c r="N602" s="7"/>
      <c r="O602" s="7"/>
      <c r="P602" s="7"/>
      <c r="Q602" s="7"/>
      <c r="R602" s="7"/>
      <c r="S602" s="7"/>
      <c r="T602" s="7"/>
      <c r="U602" s="7"/>
      <c r="V602" s="7"/>
      <c r="W602" s="7"/>
      <c r="X602" s="7"/>
      <c r="Y602" s="7"/>
      <c r="Z602" s="7"/>
    </row>
    <row r="603" spans="1:26" ht="21" customHeight="1" x14ac:dyDescent="0.2">
      <c r="A603" s="7"/>
      <c r="B603" s="6"/>
      <c r="C603" s="7"/>
      <c r="D603" s="7"/>
      <c r="E603" s="6"/>
      <c r="F603" s="6"/>
      <c r="G603" s="6"/>
      <c r="H603" s="6"/>
      <c r="I603" s="6"/>
      <c r="J603" s="7"/>
      <c r="K603" s="7"/>
      <c r="L603" s="7"/>
      <c r="M603" s="7"/>
      <c r="N603" s="7"/>
      <c r="O603" s="7"/>
      <c r="P603" s="7"/>
      <c r="Q603" s="7"/>
      <c r="R603" s="7"/>
      <c r="S603" s="7"/>
      <c r="T603" s="7"/>
      <c r="U603" s="7"/>
      <c r="V603" s="7"/>
      <c r="W603" s="7"/>
      <c r="X603" s="7"/>
      <c r="Y603" s="7"/>
      <c r="Z603" s="7"/>
    </row>
    <row r="604" spans="1:26" ht="21" customHeight="1" x14ac:dyDescent="0.2">
      <c r="A604" s="7"/>
      <c r="B604" s="6"/>
      <c r="C604" s="7"/>
      <c r="D604" s="7"/>
      <c r="E604" s="6"/>
      <c r="F604" s="6"/>
      <c r="G604" s="6"/>
      <c r="H604" s="6"/>
      <c r="I604" s="6"/>
      <c r="J604" s="7"/>
      <c r="K604" s="7"/>
      <c r="L604" s="7"/>
      <c r="M604" s="7"/>
      <c r="N604" s="7"/>
      <c r="O604" s="7"/>
      <c r="P604" s="7"/>
      <c r="Q604" s="7"/>
      <c r="R604" s="7"/>
      <c r="S604" s="7"/>
      <c r="T604" s="7"/>
      <c r="U604" s="7"/>
      <c r="V604" s="7"/>
      <c r="W604" s="7"/>
      <c r="X604" s="7"/>
      <c r="Y604" s="7"/>
      <c r="Z604" s="7"/>
    </row>
    <row r="605" spans="1:26" ht="21" customHeight="1" x14ac:dyDescent="0.2">
      <c r="A605" s="7"/>
      <c r="B605" s="6"/>
      <c r="C605" s="7"/>
      <c r="D605" s="7"/>
      <c r="E605" s="6"/>
      <c r="F605" s="6"/>
      <c r="G605" s="6"/>
      <c r="H605" s="6"/>
      <c r="I605" s="6"/>
      <c r="J605" s="7"/>
      <c r="K605" s="7"/>
      <c r="L605" s="7"/>
      <c r="M605" s="7"/>
      <c r="N605" s="7"/>
      <c r="O605" s="7"/>
      <c r="P605" s="7"/>
      <c r="Q605" s="7"/>
      <c r="R605" s="7"/>
      <c r="S605" s="7"/>
      <c r="T605" s="7"/>
      <c r="U605" s="7"/>
      <c r="V605" s="7"/>
      <c r="W605" s="7"/>
      <c r="X605" s="7"/>
      <c r="Y605" s="7"/>
      <c r="Z605" s="7"/>
    </row>
    <row r="606" spans="1:26" ht="21" customHeight="1" x14ac:dyDescent="0.2">
      <c r="A606" s="7"/>
      <c r="B606" s="6"/>
      <c r="C606" s="7"/>
      <c r="D606" s="7"/>
      <c r="E606" s="6"/>
      <c r="F606" s="6"/>
      <c r="G606" s="6"/>
      <c r="H606" s="6"/>
      <c r="I606" s="6"/>
      <c r="J606" s="7"/>
      <c r="K606" s="7"/>
      <c r="L606" s="7"/>
      <c r="M606" s="7"/>
      <c r="N606" s="7"/>
      <c r="O606" s="7"/>
      <c r="P606" s="7"/>
      <c r="Q606" s="7"/>
      <c r="R606" s="7"/>
      <c r="S606" s="7"/>
      <c r="T606" s="7"/>
      <c r="U606" s="7"/>
      <c r="V606" s="7"/>
      <c r="W606" s="7"/>
      <c r="X606" s="7"/>
      <c r="Y606" s="7"/>
      <c r="Z606" s="7"/>
    </row>
    <row r="607" spans="1:26" ht="21" customHeight="1" x14ac:dyDescent="0.2">
      <c r="A607" s="7"/>
      <c r="B607" s="6"/>
      <c r="C607" s="7"/>
      <c r="D607" s="7"/>
      <c r="E607" s="6"/>
      <c r="F607" s="6"/>
      <c r="G607" s="6"/>
      <c r="H607" s="6"/>
      <c r="I607" s="6"/>
      <c r="J607" s="7"/>
      <c r="K607" s="7"/>
      <c r="L607" s="7"/>
      <c r="M607" s="7"/>
      <c r="N607" s="7"/>
      <c r="O607" s="7"/>
      <c r="P607" s="7"/>
      <c r="Q607" s="7"/>
      <c r="R607" s="7"/>
      <c r="S607" s="7"/>
      <c r="T607" s="7"/>
      <c r="U607" s="7"/>
      <c r="V607" s="7"/>
      <c r="W607" s="7"/>
      <c r="X607" s="7"/>
      <c r="Y607" s="7"/>
      <c r="Z607" s="7"/>
    </row>
    <row r="608" spans="1:26" ht="21" customHeight="1" x14ac:dyDescent="0.2">
      <c r="A608" s="7"/>
      <c r="B608" s="6"/>
      <c r="C608" s="7"/>
      <c r="D608" s="7"/>
      <c r="E608" s="6"/>
      <c r="F608" s="6"/>
      <c r="G608" s="6"/>
      <c r="H608" s="6"/>
      <c r="I608" s="6"/>
      <c r="J608" s="7"/>
      <c r="K608" s="7"/>
      <c r="L608" s="7"/>
      <c r="M608" s="7"/>
      <c r="N608" s="7"/>
      <c r="O608" s="7"/>
      <c r="P608" s="7"/>
      <c r="Q608" s="7"/>
      <c r="R608" s="7"/>
      <c r="S608" s="7"/>
      <c r="T608" s="7"/>
      <c r="U608" s="7"/>
      <c r="V608" s="7"/>
      <c r="W608" s="7"/>
      <c r="X608" s="7"/>
      <c r="Y608" s="7"/>
      <c r="Z608" s="7"/>
    </row>
    <row r="609" spans="1:26" ht="21" customHeight="1" x14ac:dyDescent="0.2">
      <c r="A609" s="7"/>
      <c r="B609" s="6"/>
      <c r="C609" s="7"/>
      <c r="D609" s="7"/>
      <c r="E609" s="6"/>
      <c r="F609" s="6"/>
      <c r="G609" s="6"/>
      <c r="H609" s="6"/>
      <c r="I609" s="6"/>
      <c r="J609" s="7"/>
      <c r="K609" s="7"/>
      <c r="L609" s="7"/>
      <c r="M609" s="7"/>
      <c r="N609" s="7"/>
      <c r="O609" s="7"/>
      <c r="P609" s="7"/>
      <c r="Q609" s="7"/>
      <c r="R609" s="7"/>
      <c r="S609" s="7"/>
      <c r="T609" s="7"/>
      <c r="U609" s="7"/>
      <c r="V609" s="7"/>
      <c r="W609" s="7"/>
      <c r="X609" s="7"/>
      <c r="Y609" s="7"/>
      <c r="Z609" s="7"/>
    </row>
    <row r="610" spans="1:26" ht="21" customHeight="1" x14ac:dyDescent="0.2">
      <c r="A610" s="7"/>
      <c r="B610" s="6"/>
      <c r="C610" s="7"/>
      <c r="D610" s="7"/>
      <c r="E610" s="6"/>
      <c r="F610" s="6"/>
      <c r="G610" s="6"/>
      <c r="H610" s="6"/>
      <c r="I610" s="6"/>
      <c r="J610" s="7"/>
      <c r="K610" s="7"/>
      <c r="L610" s="7"/>
      <c r="M610" s="7"/>
      <c r="N610" s="7"/>
      <c r="O610" s="7"/>
      <c r="P610" s="7"/>
      <c r="Q610" s="7"/>
      <c r="R610" s="7"/>
      <c r="S610" s="7"/>
      <c r="T610" s="7"/>
      <c r="U610" s="7"/>
      <c r="V610" s="7"/>
      <c r="W610" s="7"/>
      <c r="X610" s="7"/>
      <c r="Y610" s="7"/>
      <c r="Z610" s="7"/>
    </row>
    <row r="611" spans="1:26" ht="21" customHeight="1" x14ac:dyDescent="0.2">
      <c r="A611" s="7"/>
      <c r="B611" s="6"/>
      <c r="C611" s="7"/>
      <c r="D611" s="7"/>
      <c r="E611" s="6"/>
      <c r="F611" s="6"/>
      <c r="G611" s="6"/>
      <c r="H611" s="6"/>
      <c r="I611" s="6"/>
      <c r="J611" s="7"/>
      <c r="K611" s="7"/>
      <c r="L611" s="7"/>
      <c r="M611" s="7"/>
      <c r="N611" s="7"/>
      <c r="O611" s="7"/>
      <c r="P611" s="7"/>
      <c r="Q611" s="7"/>
      <c r="R611" s="7"/>
      <c r="S611" s="7"/>
      <c r="T611" s="7"/>
      <c r="U611" s="7"/>
      <c r="V611" s="7"/>
      <c r="W611" s="7"/>
      <c r="X611" s="7"/>
      <c r="Y611" s="7"/>
      <c r="Z611" s="7"/>
    </row>
    <row r="612" spans="1:26" ht="21" customHeight="1" x14ac:dyDescent="0.2">
      <c r="A612" s="7"/>
      <c r="B612" s="6"/>
      <c r="C612" s="7"/>
      <c r="D612" s="7"/>
      <c r="E612" s="6"/>
      <c r="F612" s="6"/>
      <c r="G612" s="6"/>
      <c r="H612" s="6"/>
      <c r="I612" s="6"/>
      <c r="J612" s="7"/>
      <c r="K612" s="7"/>
      <c r="L612" s="7"/>
      <c r="M612" s="7"/>
      <c r="N612" s="7"/>
      <c r="O612" s="7"/>
      <c r="P612" s="7"/>
      <c r="Q612" s="7"/>
      <c r="R612" s="7"/>
      <c r="S612" s="7"/>
      <c r="T612" s="7"/>
      <c r="U612" s="7"/>
      <c r="V612" s="7"/>
      <c r="W612" s="7"/>
      <c r="X612" s="7"/>
      <c r="Y612" s="7"/>
      <c r="Z612" s="7"/>
    </row>
    <row r="613" spans="1:26" ht="21" customHeight="1" x14ac:dyDescent="0.2">
      <c r="A613" s="7"/>
      <c r="B613" s="6"/>
      <c r="C613" s="7"/>
      <c r="D613" s="7"/>
      <c r="E613" s="6"/>
      <c r="F613" s="6"/>
      <c r="G613" s="6"/>
      <c r="H613" s="6"/>
      <c r="I613" s="6"/>
      <c r="J613" s="7"/>
      <c r="K613" s="7"/>
      <c r="L613" s="7"/>
      <c r="M613" s="7"/>
      <c r="N613" s="7"/>
      <c r="O613" s="7"/>
      <c r="P613" s="7"/>
      <c r="Q613" s="7"/>
      <c r="R613" s="7"/>
      <c r="S613" s="7"/>
      <c r="T613" s="7"/>
      <c r="U613" s="7"/>
      <c r="V613" s="7"/>
      <c r="W613" s="7"/>
      <c r="X613" s="7"/>
      <c r="Y613" s="7"/>
      <c r="Z613" s="7"/>
    </row>
    <row r="614" spans="1:26" ht="21" customHeight="1" x14ac:dyDescent="0.2">
      <c r="A614" s="7"/>
      <c r="B614" s="6"/>
      <c r="C614" s="7"/>
      <c r="D614" s="7"/>
      <c r="E614" s="6"/>
      <c r="F614" s="6"/>
      <c r="G614" s="6"/>
      <c r="H614" s="6"/>
      <c r="I614" s="6"/>
      <c r="J614" s="7"/>
      <c r="K614" s="7"/>
      <c r="L614" s="7"/>
      <c r="M614" s="7"/>
      <c r="N614" s="7"/>
      <c r="O614" s="7"/>
      <c r="P614" s="7"/>
      <c r="Q614" s="7"/>
      <c r="R614" s="7"/>
      <c r="S614" s="7"/>
      <c r="T614" s="7"/>
      <c r="U614" s="7"/>
      <c r="V614" s="7"/>
      <c r="W614" s="7"/>
      <c r="X614" s="7"/>
      <c r="Y614" s="7"/>
      <c r="Z614" s="7"/>
    </row>
    <row r="615" spans="1:26" ht="21" customHeight="1" x14ac:dyDescent="0.2">
      <c r="A615" s="7"/>
      <c r="B615" s="6"/>
      <c r="C615" s="7"/>
      <c r="D615" s="7"/>
      <c r="E615" s="6"/>
      <c r="F615" s="6"/>
      <c r="G615" s="6"/>
      <c r="H615" s="6"/>
      <c r="I615" s="6"/>
      <c r="J615" s="7"/>
      <c r="K615" s="7"/>
      <c r="L615" s="7"/>
      <c r="M615" s="7"/>
      <c r="N615" s="7"/>
      <c r="O615" s="7"/>
      <c r="P615" s="7"/>
      <c r="Q615" s="7"/>
      <c r="R615" s="7"/>
      <c r="S615" s="7"/>
      <c r="T615" s="7"/>
      <c r="U615" s="7"/>
      <c r="V615" s="7"/>
      <c r="W615" s="7"/>
      <c r="X615" s="7"/>
      <c r="Y615" s="7"/>
      <c r="Z615" s="7"/>
    </row>
    <row r="616" spans="1:26" ht="21" customHeight="1" x14ac:dyDescent="0.2">
      <c r="A616" s="7"/>
      <c r="B616" s="6"/>
      <c r="C616" s="7"/>
      <c r="D616" s="7"/>
      <c r="E616" s="6"/>
      <c r="F616" s="6"/>
      <c r="G616" s="6"/>
      <c r="H616" s="6"/>
      <c r="I616" s="6"/>
      <c r="J616" s="7"/>
      <c r="K616" s="7"/>
      <c r="L616" s="7"/>
      <c r="M616" s="7"/>
      <c r="N616" s="7"/>
      <c r="O616" s="7"/>
      <c r="P616" s="7"/>
      <c r="Q616" s="7"/>
      <c r="R616" s="7"/>
      <c r="S616" s="7"/>
      <c r="T616" s="7"/>
      <c r="U616" s="7"/>
      <c r="V616" s="7"/>
      <c r="W616" s="7"/>
      <c r="X616" s="7"/>
      <c r="Y616" s="7"/>
      <c r="Z616" s="7"/>
    </row>
    <row r="617" spans="1:26" ht="21" customHeight="1" x14ac:dyDescent="0.2">
      <c r="A617" s="7"/>
      <c r="B617" s="6"/>
      <c r="C617" s="7"/>
      <c r="D617" s="7"/>
      <c r="E617" s="6"/>
      <c r="F617" s="6"/>
      <c r="G617" s="6"/>
      <c r="H617" s="6"/>
      <c r="I617" s="6"/>
      <c r="J617" s="7"/>
      <c r="K617" s="7"/>
      <c r="L617" s="7"/>
      <c r="M617" s="7"/>
      <c r="N617" s="7"/>
      <c r="O617" s="7"/>
      <c r="P617" s="7"/>
      <c r="Q617" s="7"/>
      <c r="R617" s="7"/>
      <c r="S617" s="7"/>
      <c r="T617" s="7"/>
      <c r="U617" s="7"/>
      <c r="V617" s="7"/>
      <c r="W617" s="7"/>
      <c r="X617" s="7"/>
      <c r="Y617" s="7"/>
      <c r="Z617" s="7"/>
    </row>
    <row r="618" spans="1:26" ht="21" customHeight="1" x14ac:dyDescent="0.2">
      <c r="A618" s="7"/>
      <c r="B618" s="6"/>
      <c r="C618" s="7"/>
      <c r="D618" s="7"/>
      <c r="E618" s="6"/>
      <c r="F618" s="6"/>
      <c r="G618" s="6"/>
      <c r="H618" s="6"/>
      <c r="I618" s="6"/>
      <c r="J618" s="7"/>
      <c r="K618" s="7"/>
      <c r="L618" s="7"/>
      <c r="M618" s="7"/>
      <c r="N618" s="7"/>
      <c r="O618" s="7"/>
      <c r="P618" s="7"/>
      <c r="Q618" s="7"/>
      <c r="R618" s="7"/>
      <c r="S618" s="7"/>
      <c r="T618" s="7"/>
      <c r="U618" s="7"/>
      <c r="V618" s="7"/>
      <c r="W618" s="7"/>
      <c r="X618" s="7"/>
      <c r="Y618" s="7"/>
      <c r="Z618" s="7"/>
    </row>
    <row r="619" spans="1:26" ht="21" customHeight="1" x14ac:dyDescent="0.2">
      <c r="A619" s="7"/>
      <c r="B619" s="6"/>
      <c r="C619" s="7"/>
      <c r="D619" s="7"/>
      <c r="E619" s="6"/>
      <c r="F619" s="6"/>
      <c r="G619" s="6"/>
      <c r="H619" s="6"/>
      <c r="I619" s="6"/>
      <c r="J619" s="7"/>
      <c r="K619" s="7"/>
      <c r="L619" s="7"/>
      <c r="M619" s="7"/>
      <c r="N619" s="7"/>
      <c r="O619" s="7"/>
      <c r="P619" s="7"/>
      <c r="Q619" s="7"/>
      <c r="R619" s="7"/>
      <c r="S619" s="7"/>
      <c r="T619" s="7"/>
      <c r="U619" s="7"/>
      <c r="V619" s="7"/>
      <c r="W619" s="7"/>
      <c r="X619" s="7"/>
      <c r="Y619" s="7"/>
      <c r="Z619" s="7"/>
    </row>
    <row r="620" spans="1:26" ht="21" customHeight="1" x14ac:dyDescent="0.2">
      <c r="A620" s="7"/>
      <c r="B620" s="6"/>
      <c r="C620" s="7"/>
      <c r="D620" s="7"/>
      <c r="E620" s="6"/>
      <c r="F620" s="6"/>
      <c r="G620" s="6"/>
      <c r="H620" s="6"/>
      <c r="I620" s="6"/>
      <c r="J620" s="7"/>
      <c r="K620" s="7"/>
      <c r="L620" s="7"/>
      <c r="M620" s="7"/>
      <c r="N620" s="7"/>
      <c r="O620" s="7"/>
      <c r="P620" s="7"/>
      <c r="Q620" s="7"/>
      <c r="R620" s="7"/>
      <c r="S620" s="7"/>
      <c r="T620" s="7"/>
      <c r="U620" s="7"/>
      <c r="V620" s="7"/>
      <c r="W620" s="7"/>
      <c r="X620" s="7"/>
      <c r="Y620" s="7"/>
      <c r="Z620" s="7"/>
    </row>
    <row r="621" spans="1:26" ht="21" customHeight="1" x14ac:dyDescent="0.2">
      <c r="A621" s="7"/>
      <c r="B621" s="6"/>
      <c r="C621" s="7"/>
      <c r="D621" s="7"/>
      <c r="E621" s="6"/>
      <c r="F621" s="6"/>
      <c r="G621" s="6"/>
      <c r="H621" s="6"/>
      <c r="I621" s="6"/>
      <c r="J621" s="7"/>
      <c r="K621" s="7"/>
      <c r="L621" s="7"/>
      <c r="M621" s="7"/>
      <c r="N621" s="7"/>
      <c r="O621" s="7"/>
      <c r="P621" s="7"/>
      <c r="Q621" s="7"/>
      <c r="R621" s="7"/>
      <c r="S621" s="7"/>
      <c r="T621" s="7"/>
      <c r="U621" s="7"/>
      <c r="V621" s="7"/>
      <c r="W621" s="7"/>
      <c r="X621" s="7"/>
      <c r="Y621" s="7"/>
      <c r="Z621" s="7"/>
    </row>
    <row r="622" spans="1:26" ht="21" customHeight="1" x14ac:dyDescent="0.2">
      <c r="A622" s="7"/>
      <c r="B622" s="6"/>
      <c r="C622" s="7"/>
      <c r="D622" s="7"/>
      <c r="E622" s="6"/>
      <c r="F622" s="6"/>
      <c r="G622" s="6"/>
      <c r="H622" s="6"/>
      <c r="I622" s="6"/>
      <c r="J622" s="7"/>
      <c r="K622" s="7"/>
      <c r="L622" s="7"/>
      <c r="M622" s="7"/>
      <c r="N622" s="7"/>
      <c r="O622" s="7"/>
      <c r="P622" s="7"/>
      <c r="Q622" s="7"/>
      <c r="R622" s="7"/>
      <c r="S622" s="7"/>
      <c r="T622" s="7"/>
      <c r="U622" s="7"/>
      <c r="V622" s="7"/>
      <c r="W622" s="7"/>
      <c r="X622" s="7"/>
      <c r="Y622" s="7"/>
      <c r="Z622" s="7"/>
    </row>
    <row r="623" spans="1:26" ht="21" customHeight="1" x14ac:dyDescent="0.2">
      <c r="A623" s="7"/>
      <c r="B623" s="6"/>
      <c r="C623" s="7"/>
      <c r="D623" s="7"/>
      <c r="E623" s="6"/>
      <c r="F623" s="6"/>
      <c r="G623" s="6"/>
      <c r="H623" s="6"/>
      <c r="I623" s="6"/>
      <c r="J623" s="7"/>
      <c r="K623" s="7"/>
      <c r="L623" s="7"/>
      <c r="M623" s="7"/>
      <c r="N623" s="7"/>
      <c r="O623" s="7"/>
      <c r="P623" s="7"/>
      <c r="Q623" s="7"/>
      <c r="R623" s="7"/>
      <c r="S623" s="7"/>
      <c r="T623" s="7"/>
      <c r="U623" s="7"/>
      <c r="V623" s="7"/>
      <c r="W623" s="7"/>
      <c r="X623" s="7"/>
      <c r="Y623" s="7"/>
      <c r="Z623" s="7"/>
    </row>
    <row r="624" spans="1:26" ht="21" customHeight="1" x14ac:dyDescent="0.2">
      <c r="A624" s="7"/>
      <c r="B624" s="6"/>
      <c r="C624" s="7"/>
      <c r="D624" s="7"/>
      <c r="E624" s="6"/>
      <c r="F624" s="6"/>
      <c r="G624" s="6"/>
      <c r="H624" s="6"/>
      <c r="I624" s="6"/>
      <c r="J624" s="7"/>
      <c r="K624" s="7"/>
      <c r="L624" s="7"/>
      <c r="M624" s="7"/>
      <c r="N624" s="7"/>
      <c r="O624" s="7"/>
      <c r="P624" s="7"/>
      <c r="Q624" s="7"/>
      <c r="R624" s="7"/>
      <c r="S624" s="7"/>
      <c r="T624" s="7"/>
      <c r="U624" s="7"/>
      <c r="V624" s="7"/>
      <c r="W624" s="7"/>
      <c r="X624" s="7"/>
      <c r="Y624" s="7"/>
      <c r="Z624" s="7"/>
    </row>
    <row r="625" spans="1:26" ht="21" customHeight="1" x14ac:dyDescent="0.2">
      <c r="A625" s="7"/>
      <c r="B625" s="6"/>
      <c r="C625" s="7"/>
      <c r="D625" s="7"/>
      <c r="E625" s="6"/>
      <c r="F625" s="6"/>
      <c r="G625" s="6"/>
      <c r="H625" s="6"/>
      <c r="I625" s="6"/>
      <c r="J625" s="7"/>
      <c r="K625" s="7"/>
      <c r="L625" s="7"/>
      <c r="M625" s="7"/>
      <c r="N625" s="7"/>
      <c r="O625" s="7"/>
      <c r="P625" s="7"/>
      <c r="Q625" s="7"/>
      <c r="R625" s="7"/>
      <c r="S625" s="7"/>
      <c r="T625" s="7"/>
      <c r="U625" s="7"/>
      <c r="V625" s="7"/>
      <c r="W625" s="7"/>
      <c r="X625" s="7"/>
      <c r="Y625" s="7"/>
      <c r="Z625" s="7"/>
    </row>
    <row r="626" spans="1:26" ht="21" customHeight="1" x14ac:dyDescent="0.2">
      <c r="A626" s="7"/>
      <c r="B626" s="6"/>
      <c r="C626" s="7"/>
      <c r="D626" s="7"/>
      <c r="E626" s="6"/>
      <c r="F626" s="6"/>
      <c r="G626" s="6"/>
      <c r="H626" s="6"/>
      <c r="I626" s="6"/>
      <c r="J626" s="7"/>
      <c r="K626" s="7"/>
      <c r="L626" s="7"/>
      <c r="M626" s="7"/>
      <c r="N626" s="7"/>
      <c r="O626" s="7"/>
      <c r="P626" s="7"/>
      <c r="Q626" s="7"/>
      <c r="R626" s="7"/>
      <c r="S626" s="7"/>
      <c r="T626" s="7"/>
      <c r="U626" s="7"/>
      <c r="V626" s="7"/>
      <c r="W626" s="7"/>
      <c r="X626" s="7"/>
      <c r="Y626" s="7"/>
      <c r="Z626" s="7"/>
    </row>
    <row r="627" spans="1:26" ht="21" customHeight="1" x14ac:dyDescent="0.2">
      <c r="A627" s="7"/>
      <c r="B627" s="6"/>
      <c r="C627" s="7"/>
      <c r="D627" s="7"/>
      <c r="E627" s="6"/>
      <c r="F627" s="6"/>
      <c r="G627" s="6"/>
      <c r="H627" s="6"/>
      <c r="I627" s="6"/>
      <c r="J627" s="7"/>
      <c r="K627" s="7"/>
      <c r="L627" s="7"/>
      <c r="M627" s="7"/>
      <c r="N627" s="7"/>
      <c r="O627" s="7"/>
      <c r="P627" s="7"/>
      <c r="Q627" s="7"/>
      <c r="R627" s="7"/>
      <c r="S627" s="7"/>
      <c r="T627" s="7"/>
      <c r="U627" s="7"/>
      <c r="V627" s="7"/>
      <c r="W627" s="7"/>
      <c r="X627" s="7"/>
      <c r="Y627" s="7"/>
      <c r="Z627" s="7"/>
    </row>
    <row r="628" spans="1:26" ht="21" customHeight="1" x14ac:dyDescent="0.2">
      <c r="A628" s="7"/>
      <c r="B628" s="6"/>
      <c r="C628" s="7"/>
      <c r="D628" s="7"/>
      <c r="E628" s="6"/>
      <c r="F628" s="6"/>
      <c r="G628" s="6"/>
      <c r="H628" s="6"/>
      <c r="I628" s="6"/>
      <c r="J628" s="7"/>
      <c r="K628" s="7"/>
      <c r="L628" s="7"/>
      <c r="M628" s="7"/>
      <c r="N628" s="7"/>
      <c r="O628" s="7"/>
      <c r="P628" s="7"/>
      <c r="Q628" s="7"/>
      <c r="R628" s="7"/>
      <c r="S628" s="7"/>
      <c r="T628" s="7"/>
      <c r="U628" s="7"/>
      <c r="V628" s="7"/>
      <c r="W628" s="7"/>
      <c r="X628" s="7"/>
      <c r="Y628" s="7"/>
      <c r="Z628" s="7"/>
    </row>
    <row r="629" spans="1:26" ht="21" customHeight="1" x14ac:dyDescent="0.2">
      <c r="A629" s="7"/>
      <c r="B629" s="6"/>
      <c r="C629" s="7"/>
      <c r="D629" s="7"/>
      <c r="E629" s="6"/>
      <c r="F629" s="6"/>
      <c r="G629" s="6"/>
      <c r="H629" s="6"/>
      <c r="I629" s="6"/>
      <c r="J629" s="7"/>
      <c r="K629" s="7"/>
      <c r="L629" s="7"/>
      <c r="M629" s="7"/>
      <c r="N629" s="7"/>
      <c r="O629" s="7"/>
      <c r="P629" s="7"/>
      <c r="Q629" s="7"/>
      <c r="R629" s="7"/>
      <c r="S629" s="7"/>
      <c r="T629" s="7"/>
      <c r="U629" s="7"/>
      <c r="V629" s="7"/>
      <c r="W629" s="7"/>
      <c r="X629" s="7"/>
      <c r="Y629" s="7"/>
      <c r="Z629" s="7"/>
    </row>
    <row r="630" spans="1:26" ht="21" customHeight="1" x14ac:dyDescent="0.2">
      <c r="A630" s="7"/>
      <c r="B630" s="6"/>
      <c r="C630" s="7"/>
      <c r="D630" s="7"/>
      <c r="E630" s="6"/>
      <c r="F630" s="6"/>
      <c r="G630" s="6"/>
      <c r="H630" s="6"/>
      <c r="I630" s="6"/>
      <c r="J630" s="7"/>
      <c r="K630" s="7"/>
      <c r="L630" s="7"/>
      <c r="M630" s="7"/>
      <c r="N630" s="7"/>
      <c r="O630" s="7"/>
      <c r="P630" s="7"/>
      <c r="Q630" s="7"/>
      <c r="R630" s="7"/>
      <c r="S630" s="7"/>
      <c r="T630" s="7"/>
      <c r="U630" s="7"/>
      <c r="V630" s="7"/>
      <c r="W630" s="7"/>
      <c r="X630" s="7"/>
      <c r="Y630" s="7"/>
      <c r="Z630" s="7"/>
    </row>
    <row r="631" spans="1:26" ht="21" customHeight="1" x14ac:dyDescent="0.2">
      <c r="A631" s="7"/>
      <c r="B631" s="6"/>
      <c r="C631" s="7"/>
      <c r="D631" s="7"/>
      <c r="E631" s="6"/>
      <c r="F631" s="6"/>
      <c r="G631" s="6"/>
      <c r="H631" s="6"/>
      <c r="I631" s="6"/>
      <c r="J631" s="7"/>
      <c r="K631" s="7"/>
      <c r="L631" s="7"/>
      <c r="M631" s="7"/>
      <c r="N631" s="7"/>
      <c r="O631" s="7"/>
      <c r="P631" s="7"/>
      <c r="Q631" s="7"/>
      <c r="R631" s="7"/>
      <c r="S631" s="7"/>
      <c r="T631" s="7"/>
      <c r="U631" s="7"/>
      <c r="V631" s="7"/>
      <c r="W631" s="7"/>
      <c r="X631" s="7"/>
      <c r="Y631" s="7"/>
      <c r="Z631" s="7"/>
    </row>
    <row r="632" spans="1:26" ht="21" customHeight="1" x14ac:dyDescent="0.2">
      <c r="A632" s="7"/>
      <c r="B632" s="6"/>
      <c r="C632" s="7"/>
      <c r="D632" s="7"/>
      <c r="E632" s="6"/>
      <c r="F632" s="6"/>
      <c r="G632" s="6"/>
      <c r="H632" s="6"/>
      <c r="I632" s="6"/>
      <c r="J632" s="7"/>
      <c r="K632" s="7"/>
      <c r="L632" s="7"/>
      <c r="M632" s="7"/>
      <c r="N632" s="7"/>
      <c r="O632" s="7"/>
      <c r="P632" s="7"/>
      <c r="Q632" s="7"/>
      <c r="R632" s="7"/>
      <c r="S632" s="7"/>
      <c r="T632" s="7"/>
      <c r="U632" s="7"/>
      <c r="V632" s="7"/>
      <c r="W632" s="7"/>
      <c r="X632" s="7"/>
      <c r="Y632" s="7"/>
      <c r="Z632" s="7"/>
    </row>
    <row r="633" spans="1:26" ht="21" customHeight="1" x14ac:dyDescent="0.2">
      <c r="A633" s="7"/>
      <c r="B633" s="6"/>
      <c r="C633" s="7"/>
      <c r="D633" s="7"/>
      <c r="E633" s="6"/>
      <c r="F633" s="6"/>
      <c r="G633" s="6"/>
      <c r="H633" s="6"/>
      <c r="I633" s="6"/>
      <c r="J633" s="7"/>
      <c r="K633" s="7"/>
      <c r="L633" s="7"/>
      <c r="M633" s="7"/>
      <c r="N633" s="7"/>
      <c r="O633" s="7"/>
      <c r="P633" s="7"/>
      <c r="Q633" s="7"/>
      <c r="R633" s="7"/>
      <c r="S633" s="7"/>
      <c r="T633" s="7"/>
      <c r="U633" s="7"/>
      <c r="V633" s="7"/>
      <c r="W633" s="7"/>
      <c r="X633" s="7"/>
      <c r="Y633" s="7"/>
      <c r="Z633" s="7"/>
    </row>
    <row r="634" spans="1:26" ht="21" customHeight="1" x14ac:dyDescent="0.2">
      <c r="A634" s="7"/>
      <c r="B634" s="6"/>
      <c r="C634" s="7"/>
      <c r="D634" s="7"/>
      <c r="E634" s="6"/>
      <c r="F634" s="6"/>
      <c r="G634" s="6"/>
      <c r="H634" s="6"/>
      <c r="I634" s="6"/>
      <c r="J634" s="7"/>
      <c r="K634" s="7"/>
      <c r="L634" s="7"/>
      <c r="M634" s="7"/>
      <c r="N634" s="7"/>
      <c r="O634" s="7"/>
      <c r="P634" s="7"/>
      <c r="Q634" s="7"/>
      <c r="R634" s="7"/>
      <c r="S634" s="7"/>
      <c r="T634" s="7"/>
      <c r="U634" s="7"/>
      <c r="V634" s="7"/>
      <c r="W634" s="7"/>
      <c r="X634" s="7"/>
      <c r="Y634" s="7"/>
      <c r="Z634" s="7"/>
    </row>
    <row r="635" spans="1:26" ht="21" customHeight="1" x14ac:dyDescent="0.2">
      <c r="A635" s="7"/>
      <c r="B635" s="6"/>
      <c r="C635" s="7"/>
      <c r="D635" s="7"/>
      <c r="E635" s="6"/>
      <c r="F635" s="6"/>
      <c r="G635" s="6"/>
      <c r="H635" s="6"/>
      <c r="I635" s="6"/>
      <c r="J635" s="7"/>
      <c r="K635" s="7"/>
      <c r="L635" s="7"/>
      <c r="M635" s="7"/>
      <c r="N635" s="7"/>
      <c r="O635" s="7"/>
      <c r="P635" s="7"/>
      <c r="Q635" s="7"/>
      <c r="R635" s="7"/>
      <c r="S635" s="7"/>
      <c r="T635" s="7"/>
      <c r="U635" s="7"/>
      <c r="V635" s="7"/>
      <c r="W635" s="7"/>
      <c r="X635" s="7"/>
      <c r="Y635" s="7"/>
      <c r="Z635" s="7"/>
    </row>
    <row r="636" spans="1:26" ht="21" customHeight="1" x14ac:dyDescent="0.2">
      <c r="A636" s="7"/>
      <c r="B636" s="6"/>
      <c r="C636" s="7"/>
      <c r="D636" s="7"/>
      <c r="E636" s="6"/>
      <c r="F636" s="6"/>
      <c r="G636" s="6"/>
      <c r="H636" s="6"/>
      <c r="I636" s="6"/>
      <c r="J636" s="7"/>
      <c r="K636" s="7"/>
      <c r="L636" s="7"/>
      <c r="M636" s="7"/>
      <c r="N636" s="7"/>
      <c r="O636" s="7"/>
      <c r="P636" s="7"/>
      <c r="Q636" s="7"/>
      <c r="R636" s="7"/>
      <c r="S636" s="7"/>
      <c r="T636" s="7"/>
      <c r="U636" s="7"/>
      <c r="V636" s="7"/>
      <c r="W636" s="7"/>
      <c r="X636" s="7"/>
      <c r="Y636" s="7"/>
      <c r="Z636" s="7"/>
    </row>
    <row r="637" spans="1:26" ht="21" customHeight="1" x14ac:dyDescent="0.2">
      <c r="A637" s="7"/>
      <c r="B637" s="6"/>
      <c r="C637" s="7"/>
      <c r="D637" s="7"/>
      <c r="E637" s="6"/>
      <c r="F637" s="6"/>
      <c r="G637" s="6"/>
      <c r="H637" s="6"/>
      <c r="I637" s="6"/>
      <c r="J637" s="7"/>
      <c r="K637" s="7"/>
      <c r="L637" s="7"/>
      <c r="M637" s="7"/>
      <c r="N637" s="7"/>
      <c r="O637" s="7"/>
      <c r="P637" s="7"/>
      <c r="Q637" s="7"/>
      <c r="R637" s="7"/>
      <c r="S637" s="7"/>
      <c r="T637" s="7"/>
      <c r="U637" s="7"/>
      <c r="V637" s="7"/>
      <c r="W637" s="7"/>
      <c r="X637" s="7"/>
      <c r="Y637" s="7"/>
      <c r="Z637" s="7"/>
    </row>
    <row r="638" spans="1:26" ht="21" customHeight="1" x14ac:dyDescent="0.2">
      <c r="A638" s="7"/>
      <c r="B638" s="6"/>
      <c r="C638" s="7"/>
      <c r="D638" s="7"/>
      <c r="E638" s="6"/>
      <c r="F638" s="6"/>
      <c r="G638" s="6"/>
      <c r="H638" s="6"/>
      <c r="I638" s="6"/>
      <c r="J638" s="7"/>
      <c r="K638" s="7"/>
      <c r="L638" s="7"/>
      <c r="M638" s="7"/>
      <c r="N638" s="7"/>
      <c r="O638" s="7"/>
      <c r="P638" s="7"/>
      <c r="Q638" s="7"/>
      <c r="R638" s="7"/>
      <c r="S638" s="7"/>
      <c r="T638" s="7"/>
      <c r="U638" s="7"/>
      <c r="V638" s="7"/>
      <c r="W638" s="7"/>
      <c r="X638" s="7"/>
      <c r="Y638" s="7"/>
      <c r="Z638" s="7"/>
    </row>
    <row r="639" spans="1:26" ht="21" customHeight="1" x14ac:dyDescent="0.2">
      <c r="A639" s="7"/>
      <c r="B639" s="6"/>
      <c r="C639" s="7"/>
      <c r="D639" s="7"/>
      <c r="E639" s="6"/>
      <c r="F639" s="6"/>
      <c r="G639" s="6"/>
      <c r="H639" s="6"/>
      <c r="I639" s="6"/>
      <c r="J639" s="7"/>
      <c r="K639" s="7"/>
      <c r="L639" s="7"/>
      <c r="M639" s="7"/>
      <c r="N639" s="7"/>
      <c r="O639" s="7"/>
      <c r="P639" s="7"/>
      <c r="Q639" s="7"/>
      <c r="R639" s="7"/>
      <c r="S639" s="7"/>
      <c r="T639" s="7"/>
      <c r="U639" s="7"/>
      <c r="V639" s="7"/>
      <c r="W639" s="7"/>
      <c r="X639" s="7"/>
      <c r="Y639" s="7"/>
      <c r="Z639" s="7"/>
    </row>
    <row r="640" spans="1:26" ht="21" customHeight="1" x14ac:dyDescent="0.2">
      <c r="A640" s="7"/>
      <c r="B640" s="6"/>
      <c r="C640" s="7"/>
      <c r="D640" s="7"/>
      <c r="E640" s="6"/>
      <c r="F640" s="6"/>
      <c r="G640" s="6"/>
      <c r="H640" s="6"/>
      <c r="I640" s="6"/>
      <c r="J640" s="7"/>
      <c r="K640" s="7"/>
      <c r="L640" s="7"/>
      <c r="M640" s="7"/>
      <c r="N640" s="7"/>
      <c r="O640" s="7"/>
      <c r="P640" s="7"/>
      <c r="Q640" s="7"/>
      <c r="R640" s="7"/>
      <c r="S640" s="7"/>
      <c r="T640" s="7"/>
      <c r="U640" s="7"/>
      <c r="V640" s="7"/>
      <c r="W640" s="7"/>
      <c r="X640" s="7"/>
      <c r="Y640" s="7"/>
      <c r="Z640" s="7"/>
    </row>
    <row r="641" spans="1:26" ht="21" customHeight="1" x14ac:dyDescent="0.2">
      <c r="A641" s="7"/>
      <c r="B641" s="6"/>
      <c r="C641" s="7"/>
      <c r="D641" s="7"/>
      <c r="E641" s="6"/>
      <c r="F641" s="6"/>
      <c r="G641" s="6"/>
      <c r="H641" s="6"/>
      <c r="I641" s="6"/>
      <c r="J641" s="7"/>
      <c r="K641" s="7"/>
      <c r="L641" s="7"/>
      <c r="M641" s="7"/>
      <c r="N641" s="7"/>
      <c r="O641" s="7"/>
      <c r="P641" s="7"/>
      <c r="Q641" s="7"/>
      <c r="R641" s="7"/>
      <c r="S641" s="7"/>
      <c r="T641" s="7"/>
      <c r="U641" s="7"/>
      <c r="V641" s="7"/>
      <c r="W641" s="7"/>
      <c r="X641" s="7"/>
      <c r="Y641" s="7"/>
      <c r="Z641" s="7"/>
    </row>
    <row r="642" spans="1:26" ht="21" customHeight="1" x14ac:dyDescent="0.2">
      <c r="A642" s="7"/>
      <c r="B642" s="6"/>
      <c r="C642" s="7"/>
      <c r="D642" s="7"/>
      <c r="E642" s="6"/>
      <c r="F642" s="6"/>
      <c r="G642" s="6"/>
      <c r="H642" s="6"/>
      <c r="I642" s="6"/>
      <c r="J642" s="7"/>
      <c r="K642" s="7"/>
      <c r="L642" s="7"/>
      <c r="M642" s="7"/>
      <c r="N642" s="7"/>
      <c r="O642" s="7"/>
      <c r="P642" s="7"/>
      <c r="Q642" s="7"/>
      <c r="R642" s="7"/>
      <c r="S642" s="7"/>
      <c r="T642" s="7"/>
      <c r="U642" s="7"/>
      <c r="V642" s="7"/>
      <c r="W642" s="7"/>
      <c r="X642" s="7"/>
      <c r="Y642" s="7"/>
      <c r="Z642" s="7"/>
    </row>
    <row r="643" spans="1:26" ht="21" customHeight="1" x14ac:dyDescent="0.2">
      <c r="A643" s="7"/>
      <c r="B643" s="6"/>
      <c r="C643" s="7"/>
      <c r="D643" s="7"/>
      <c r="E643" s="6"/>
      <c r="F643" s="6"/>
      <c r="G643" s="6"/>
      <c r="H643" s="6"/>
      <c r="I643" s="6"/>
      <c r="J643" s="7"/>
      <c r="K643" s="7"/>
      <c r="L643" s="7"/>
      <c r="M643" s="7"/>
      <c r="N643" s="7"/>
      <c r="O643" s="7"/>
      <c r="P643" s="7"/>
      <c r="Q643" s="7"/>
      <c r="R643" s="7"/>
      <c r="S643" s="7"/>
      <c r="T643" s="7"/>
      <c r="U643" s="7"/>
      <c r="V643" s="7"/>
      <c r="W643" s="7"/>
      <c r="X643" s="7"/>
      <c r="Y643" s="7"/>
      <c r="Z643" s="7"/>
    </row>
    <row r="644" spans="1:26" ht="21" customHeight="1" x14ac:dyDescent="0.2">
      <c r="A644" s="7"/>
      <c r="B644" s="6"/>
      <c r="C644" s="7"/>
      <c r="D644" s="7"/>
      <c r="E644" s="6"/>
      <c r="F644" s="6"/>
      <c r="G644" s="6"/>
      <c r="H644" s="6"/>
      <c r="I644" s="6"/>
      <c r="J644" s="7"/>
      <c r="K644" s="7"/>
      <c r="L644" s="7"/>
      <c r="M644" s="7"/>
      <c r="N644" s="7"/>
      <c r="O644" s="7"/>
      <c r="P644" s="7"/>
      <c r="Q644" s="7"/>
      <c r="R644" s="7"/>
      <c r="S644" s="7"/>
      <c r="T644" s="7"/>
      <c r="U644" s="7"/>
      <c r="V644" s="7"/>
      <c r="W644" s="7"/>
      <c r="X644" s="7"/>
      <c r="Y644" s="7"/>
      <c r="Z644" s="7"/>
    </row>
    <row r="645" spans="1:26" ht="21" customHeight="1" x14ac:dyDescent="0.2">
      <c r="A645" s="7"/>
      <c r="B645" s="6"/>
      <c r="C645" s="7"/>
      <c r="D645" s="7"/>
      <c r="E645" s="6"/>
      <c r="F645" s="6"/>
      <c r="G645" s="6"/>
      <c r="H645" s="6"/>
      <c r="I645" s="6"/>
      <c r="J645" s="7"/>
      <c r="K645" s="7"/>
      <c r="L645" s="7"/>
      <c r="M645" s="7"/>
      <c r="N645" s="7"/>
      <c r="O645" s="7"/>
      <c r="P645" s="7"/>
      <c r="Q645" s="7"/>
      <c r="R645" s="7"/>
      <c r="S645" s="7"/>
      <c r="T645" s="7"/>
      <c r="U645" s="7"/>
      <c r="V645" s="7"/>
      <c r="W645" s="7"/>
      <c r="X645" s="7"/>
      <c r="Y645" s="7"/>
      <c r="Z645" s="7"/>
    </row>
    <row r="646" spans="1:26" ht="21" customHeight="1" x14ac:dyDescent="0.2">
      <c r="A646" s="7"/>
      <c r="B646" s="6"/>
      <c r="C646" s="7"/>
      <c r="D646" s="7"/>
      <c r="E646" s="6"/>
      <c r="F646" s="6"/>
      <c r="G646" s="6"/>
      <c r="H646" s="6"/>
      <c r="I646" s="6"/>
      <c r="J646" s="7"/>
      <c r="K646" s="7"/>
      <c r="L646" s="7"/>
      <c r="M646" s="7"/>
      <c r="N646" s="7"/>
      <c r="O646" s="7"/>
      <c r="P646" s="7"/>
      <c r="Q646" s="7"/>
      <c r="R646" s="7"/>
      <c r="S646" s="7"/>
      <c r="T646" s="7"/>
      <c r="U646" s="7"/>
      <c r="V646" s="7"/>
      <c r="W646" s="7"/>
      <c r="X646" s="7"/>
      <c r="Y646" s="7"/>
      <c r="Z646" s="7"/>
    </row>
    <row r="647" spans="1:26" ht="21" customHeight="1" x14ac:dyDescent="0.2">
      <c r="A647" s="7"/>
      <c r="B647" s="6"/>
      <c r="C647" s="7"/>
      <c r="D647" s="7"/>
      <c r="E647" s="6"/>
      <c r="F647" s="6"/>
      <c r="G647" s="6"/>
      <c r="H647" s="6"/>
      <c r="I647" s="6"/>
      <c r="J647" s="7"/>
      <c r="K647" s="7"/>
      <c r="L647" s="7"/>
      <c r="M647" s="7"/>
      <c r="N647" s="7"/>
      <c r="O647" s="7"/>
      <c r="P647" s="7"/>
      <c r="Q647" s="7"/>
      <c r="R647" s="7"/>
      <c r="S647" s="7"/>
      <c r="T647" s="7"/>
      <c r="U647" s="7"/>
      <c r="V647" s="7"/>
      <c r="W647" s="7"/>
      <c r="X647" s="7"/>
      <c r="Y647" s="7"/>
      <c r="Z647" s="7"/>
    </row>
    <row r="648" spans="1:26" ht="21" customHeight="1" x14ac:dyDescent="0.2">
      <c r="A648" s="7"/>
      <c r="B648" s="6"/>
      <c r="C648" s="7"/>
      <c r="D648" s="7"/>
      <c r="E648" s="6"/>
      <c r="F648" s="6"/>
      <c r="G648" s="6"/>
      <c r="H648" s="6"/>
      <c r="I648" s="6"/>
      <c r="J648" s="7"/>
      <c r="K648" s="7"/>
      <c r="L648" s="7"/>
      <c r="M648" s="7"/>
      <c r="N648" s="7"/>
      <c r="O648" s="7"/>
      <c r="P648" s="7"/>
      <c r="Q648" s="7"/>
      <c r="R648" s="7"/>
      <c r="S648" s="7"/>
      <c r="T648" s="7"/>
      <c r="U648" s="7"/>
      <c r="V648" s="7"/>
      <c r="W648" s="7"/>
      <c r="X648" s="7"/>
      <c r="Y648" s="7"/>
      <c r="Z648" s="7"/>
    </row>
    <row r="649" spans="1:26" ht="21" customHeight="1" x14ac:dyDescent="0.2">
      <c r="A649" s="7"/>
      <c r="B649" s="6"/>
      <c r="C649" s="7"/>
      <c r="D649" s="7"/>
      <c r="E649" s="6"/>
      <c r="F649" s="6"/>
      <c r="G649" s="6"/>
      <c r="H649" s="6"/>
      <c r="I649" s="6"/>
      <c r="J649" s="7"/>
      <c r="K649" s="7"/>
      <c r="L649" s="7"/>
      <c r="M649" s="7"/>
      <c r="N649" s="7"/>
      <c r="O649" s="7"/>
      <c r="P649" s="7"/>
      <c r="Q649" s="7"/>
      <c r="R649" s="7"/>
      <c r="S649" s="7"/>
      <c r="T649" s="7"/>
      <c r="U649" s="7"/>
      <c r="V649" s="7"/>
      <c r="W649" s="7"/>
      <c r="X649" s="7"/>
      <c r="Y649" s="7"/>
      <c r="Z649" s="7"/>
    </row>
    <row r="650" spans="1:26" ht="21" customHeight="1" x14ac:dyDescent="0.2">
      <c r="A650" s="7"/>
      <c r="B650" s="6"/>
      <c r="C650" s="7"/>
      <c r="D650" s="7"/>
      <c r="E650" s="6"/>
      <c r="F650" s="6"/>
      <c r="G650" s="6"/>
      <c r="H650" s="6"/>
      <c r="I650" s="6"/>
      <c r="J650" s="7"/>
      <c r="K650" s="7"/>
      <c r="L650" s="7"/>
      <c r="M650" s="7"/>
      <c r="N650" s="7"/>
      <c r="O650" s="7"/>
      <c r="P650" s="7"/>
      <c r="Q650" s="7"/>
      <c r="R650" s="7"/>
      <c r="S650" s="7"/>
      <c r="T650" s="7"/>
      <c r="U650" s="7"/>
      <c r="V650" s="7"/>
      <c r="W650" s="7"/>
      <c r="X650" s="7"/>
      <c r="Y650" s="7"/>
      <c r="Z650" s="7"/>
    </row>
    <row r="651" spans="1:26" ht="21" customHeight="1" x14ac:dyDescent="0.2">
      <c r="A651" s="7"/>
      <c r="B651" s="6"/>
      <c r="C651" s="7"/>
      <c r="D651" s="7"/>
      <c r="E651" s="6"/>
      <c r="F651" s="6"/>
      <c r="G651" s="6"/>
      <c r="H651" s="6"/>
      <c r="I651" s="6"/>
      <c r="J651" s="7"/>
      <c r="K651" s="7"/>
      <c r="L651" s="7"/>
      <c r="M651" s="7"/>
      <c r="N651" s="7"/>
      <c r="O651" s="7"/>
      <c r="P651" s="7"/>
      <c r="Q651" s="7"/>
      <c r="R651" s="7"/>
      <c r="S651" s="7"/>
      <c r="T651" s="7"/>
      <c r="U651" s="7"/>
      <c r="V651" s="7"/>
      <c r="W651" s="7"/>
      <c r="X651" s="7"/>
      <c r="Y651" s="7"/>
      <c r="Z651" s="7"/>
    </row>
    <row r="652" spans="1:26" ht="21" customHeight="1" x14ac:dyDescent="0.2">
      <c r="A652" s="7"/>
      <c r="B652" s="6"/>
      <c r="C652" s="7"/>
      <c r="D652" s="7"/>
      <c r="E652" s="6"/>
      <c r="F652" s="6"/>
      <c r="G652" s="6"/>
      <c r="H652" s="6"/>
      <c r="I652" s="6"/>
      <c r="J652" s="7"/>
      <c r="K652" s="7"/>
      <c r="L652" s="7"/>
      <c r="M652" s="7"/>
      <c r="N652" s="7"/>
      <c r="O652" s="7"/>
      <c r="P652" s="7"/>
      <c r="Q652" s="7"/>
      <c r="R652" s="7"/>
      <c r="S652" s="7"/>
      <c r="T652" s="7"/>
      <c r="U652" s="7"/>
      <c r="V652" s="7"/>
      <c r="W652" s="7"/>
      <c r="X652" s="7"/>
      <c r="Y652" s="7"/>
      <c r="Z652" s="7"/>
    </row>
    <row r="653" spans="1:26" ht="21" customHeight="1" x14ac:dyDescent="0.2">
      <c r="A653" s="7"/>
      <c r="B653" s="6"/>
      <c r="C653" s="7"/>
      <c r="D653" s="7"/>
      <c r="E653" s="6"/>
      <c r="F653" s="6"/>
      <c r="G653" s="6"/>
      <c r="H653" s="6"/>
      <c r="I653" s="6"/>
      <c r="J653" s="7"/>
      <c r="K653" s="7"/>
      <c r="L653" s="7"/>
      <c r="M653" s="7"/>
      <c r="N653" s="7"/>
      <c r="O653" s="7"/>
      <c r="P653" s="7"/>
      <c r="Q653" s="7"/>
      <c r="R653" s="7"/>
      <c r="S653" s="7"/>
      <c r="T653" s="7"/>
      <c r="U653" s="7"/>
      <c r="V653" s="7"/>
      <c r="W653" s="7"/>
      <c r="X653" s="7"/>
      <c r="Y653" s="7"/>
      <c r="Z653" s="7"/>
    </row>
    <row r="654" spans="1:26" ht="21" customHeight="1" x14ac:dyDescent="0.2">
      <c r="A654" s="7"/>
      <c r="B654" s="6"/>
      <c r="C654" s="7"/>
      <c r="D654" s="7"/>
      <c r="E654" s="6"/>
      <c r="F654" s="6"/>
      <c r="G654" s="6"/>
      <c r="H654" s="6"/>
      <c r="I654" s="6"/>
      <c r="J654" s="7"/>
      <c r="K654" s="7"/>
      <c r="L654" s="7"/>
      <c r="M654" s="7"/>
      <c r="N654" s="7"/>
      <c r="O654" s="7"/>
      <c r="P654" s="7"/>
      <c r="Q654" s="7"/>
      <c r="R654" s="7"/>
      <c r="S654" s="7"/>
      <c r="T654" s="7"/>
      <c r="U654" s="7"/>
      <c r="V654" s="7"/>
      <c r="W654" s="7"/>
      <c r="X654" s="7"/>
      <c r="Y654" s="7"/>
      <c r="Z654" s="7"/>
    </row>
    <row r="655" spans="1:26" ht="21" customHeight="1" x14ac:dyDescent="0.2">
      <c r="A655" s="7"/>
      <c r="B655" s="6"/>
      <c r="C655" s="7"/>
      <c r="D655" s="7"/>
      <c r="E655" s="6"/>
      <c r="F655" s="6"/>
      <c r="G655" s="6"/>
      <c r="H655" s="6"/>
      <c r="I655" s="6"/>
      <c r="J655" s="7"/>
      <c r="K655" s="7"/>
      <c r="L655" s="7"/>
      <c r="M655" s="7"/>
      <c r="N655" s="7"/>
      <c r="O655" s="7"/>
      <c r="P655" s="7"/>
      <c r="Q655" s="7"/>
      <c r="R655" s="7"/>
      <c r="S655" s="7"/>
      <c r="T655" s="7"/>
      <c r="U655" s="7"/>
      <c r="V655" s="7"/>
      <c r="W655" s="7"/>
      <c r="X655" s="7"/>
      <c r="Y655" s="7"/>
      <c r="Z655" s="7"/>
    </row>
    <row r="656" spans="1:26" ht="21" customHeight="1" x14ac:dyDescent="0.2">
      <c r="A656" s="7"/>
      <c r="B656" s="6"/>
      <c r="C656" s="7"/>
      <c r="D656" s="7"/>
      <c r="E656" s="6"/>
      <c r="F656" s="6"/>
      <c r="G656" s="6"/>
      <c r="H656" s="6"/>
      <c r="I656" s="6"/>
      <c r="J656" s="7"/>
      <c r="K656" s="7"/>
      <c r="L656" s="7"/>
      <c r="M656" s="7"/>
      <c r="N656" s="7"/>
      <c r="O656" s="7"/>
      <c r="P656" s="7"/>
      <c r="Q656" s="7"/>
      <c r="R656" s="7"/>
      <c r="S656" s="7"/>
      <c r="T656" s="7"/>
      <c r="U656" s="7"/>
      <c r="V656" s="7"/>
      <c r="W656" s="7"/>
      <c r="X656" s="7"/>
      <c r="Y656" s="7"/>
      <c r="Z656" s="7"/>
    </row>
    <row r="657" spans="1:26" ht="21" customHeight="1" x14ac:dyDescent="0.2">
      <c r="A657" s="7"/>
      <c r="B657" s="6"/>
      <c r="C657" s="7"/>
      <c r="D657" s="7"/>
      <c r="E657" s="6"/>
      <c r="F657" s="6"/>
      <c r="G657" s="6"/>
      <c r="H657" s="6"/>
      <c r="I657" s="6"/>
      <c r="J657" s="7"/>
      <c r="K657" s="7"/>
      <c r="L657" s="7"/>
      <c r="M657" s="7"/>
      <c r="N657" s="7"/>
      <c r="O657" s="7"/>
      <c r="P657" s="7"/>
      <c r="Q657" s="7"/>
      <c r="R657" s="7"/>
      <c r="S657" s="7"/>
      <c r="T657" s="7"/>
      <c r="U657" s="7"/>
      <c r="V657" s="7"/>
      <c r="W657" s="7"/>
      <c r="X657" s="7"/>
      <c r="Y657" s="7"/>
      <c r="Z657" s="7"/>
    </row>
    <row r="658" spans="1:26" ht="21" customHeight="1" x14ac:dyDescent="0.2">
      <c r="A658" s="7"/>
      <c r="B658" s="6"/>
      <c r="C658" s="7"/>
      <c r="D658" s="7"/>
      <c r="E658" s="6"/>
      <c r="F658" s="6"/>
      <c r="G658" s="6"/>
      <c r="H658" s="6"/>
      <c r="I658" s="6"/>
      <c r="J658" s="7"/>
      <c r="K658" s="7"/>
      <c r="L658" s="7"/>
      <c r="M658" s="7"/>
      <c r="N658" s="7"/>
      <c r="O658" s="7"/>
      <c r="P658" s="7"/>
      <c r="Q658" s="7"/>
      <c r="R658" s="7"/>
      <c r="S658" s="7"/>
      <c r="T658" s="7"/>
      <c r="U658" s="7"/>
      <c r="V658" s="7"/>
      <c r="W658" s="7"/>
      <c r="X658" s="7"/>
      <c r="Y658" s="7"/>
      <c r="Z658" s="7"/>
    </row>
    <row r="659" spans="1:26" ht="21" customHeight="1" x14ac:dyDescent="0.2">
      <c r="A659" s="7"/>
      <c r="B659" s="6"/>
      <c r="C659" s="7"/>
      <c r="D659" s="7"/>
      <c r="E659" s="6"/>
      <c r="F659" s="6"/>
      <c r="G659" s="6"/>
      <c r="H659" s="6"/>
      <c r="I659" s="6"/>
      <c r="J659" s="7"/>
      <c r="K659" s="7"/>
      <c r="L659" s="7"/>
      <c r="M659" s="7"/>
      <c r="N659" s="7"/>
      <c r="O659" s="7"/>
      <c r="P659" s="7"/>
      <c r="Q659" s="7"/>
      <c r="R659" s="7"/>
      <c r="S659" s="7"/>
      <c r="T659" s="7"/>
      <c r="U659" s="7"/>
      <c r="V659" s="7"/>
      <c r="W659" s="7"/>
      <c r="X659" s="7"/>
      <c r="Y659" s="7"/>
      <c r="Z659" s="7"/>
    </row>
    <row r="660" spans="1:26" ht="21" customHeight="1" x14ac:dyDescent="0.2">
      <c r="A660" s="7"/>
      <c r="B660" s="6"/>
      <c r="C660" s="7"/>
      <c r="D660" s="7"/>
      <c r="E660" s="6"/>
      <c r="F660" s="6"/>
      <c r="G660" s="6"/>
      <c r="H660" s="6"/>
      <c r="I660" s="6"/>
      <c r="J660" s="7"/>
      <c r="K660" s="7"/>
      <c r="L660" s="7"/>
      <c r="M660" s="7"/>
      <c r="N660" s="7"/>
      <c r="O660" s="7"/>
      <c r="P660" s="7"/>
      <c r="Q660" s="7"/>
      <c r="R660" s="7"/>
      <c r="S660" s="7"/>
      <c r="T660" s="7"/>
      <c r="U660" s="7"/>
      <c r="V660" s="7"/>
      <c r="W660" s="7"/>
      <c r="X660" s="7"/>
      <c r="Y660" s="7"/>
      <c r="Z660" s="7"/>
    </row>
    <row r="661" spans="1:26" ht="21" customHeight="1" x14ac:dyDescent="0.2">
      <c r="A661" s="7"/>
      <c r="B661" s="6"/>
      <c r="C661" s="7"/>
      <c r="D661" s="7"/>
      <c r="E661" s="6"/>
      <c r="F661" s="6"/>
      <c r="G661" s="6"/>
      <c r="H661" s="6"/>
      <c r="I661" s="6"/>
      <c r="J661" s="7"/>
      <c r="K661" s="7"/>
      <c r="L661" s="7"/>
      <c r="M661" s="7"/>
      <c r="N661" s="7"/>
      <c r="O661" s="7"/>
      <c r="P661" s="7"/>
      <c r="Q661" s="7"/>
      <c r="R661" s="7"/>
      <c r="S661" s="7"/>
      <c r="T661" s="7"/>
      <c r="U661" s="7"/>
      <c r="V661" s="7"/>
      <c r="W661" s="7"/>
      <c r="X661" s="7"/>
      <c r="Y661" s="7"/>
      <c r="Z661" s="7"/>
    </row>
    <row r="662" spans="1:26" ht="21" customHeight="1" x14ac:dyDescent="0.2">
      <c r="A662" s="7"/>
      <c r="B662" s="6"/>
      <c r="C662" s="7"/>
      <c r="D662" s="7"/>
      <c r="E662" s="6"/>
      <c r="F662" s="6"/>
      <c r="G662" s="6"/>
      <c r="H662" s="6"/>
      <c r="I662" s="6"/>
      <c r="J662" s="7"/>
      <c r="K662" s="7"/>
      <c r="L662" s="7"/>
      <c r="M662" s="7"/>
      <c r="N662" s="7"/>
      <c r="O662" s="7"/>
      <c r="P662" s="7"/>
      <c r="Q662" s="7"/>
      <c r="R662" s="7"/>
      <c r="S662" s="7"/>
      <c r="T662" s="7"/>
      <c r="U662" s="7"/>
      <c r="V662" s="7"/>
      <c r="W662" s="7"/>
      <c r="X662" s="7"/>
      <c r="Y662" s="7"/>
      <c r="Z662" s="7"/>
    </row>
    <row r="663" spans="1:26" ht="21" customHeight="1" x14ac:dyDescent="0.2">
      <c r="A663" s="7"/>
      <c r="B663" s="6"/>
      <c r="C663" s="7"/>
      <c r="D663" s="7"/>
      <c r="E663" s="6"/>
      <c r="F663" s="6"/>
      <c r="G663" s="6"/>
      <c r="H663" s="6"/>
      <c r="I663" s="6"/>
      <c r="J663" s="7"/>
      <c r="K663" s="7"/>
      <c r="L663" s="7"/>
      <c r="M663" s="7"/>
      <c r="N663" s="7"/>
      <c r="O663" s="7"/>
      <c r="P663" s="7"/>
      <c r="Q663" s="7"/>
      <c r="R663" s="7"/>
      <c r="S663" s="7"/>
      <c r="T663" s="7"/>
      <c r="U663" s="7"/>
      <c r="V663" s="7"/>
      <c r="W663" s="7"/>
      <c r="X663" s="7"/>
      <c r="Y663" s="7"/>
      <c r="Z663" s="7"/>
    </row>
    <row r="664" spans="1:26" ht="21" customHeight="1" x14ac:dyDescent="0.2">
      <c r="A664" s="7"/>
      <c r="B664" s="6"/>
      <c r="C664" s="7"/>
      <c r="D664" s="7"/>
      <c r="E664" s="6"/>
      <c r="F664" s="6"/>
      <c r="G664" s="6"/>
      <c r="H664" s="6"/>
      <c r="I664" s="6"/>
      <c r="J664" s="7"/>
      <c r="K664" s="7"/>
      <c r="L664" s="7"/>
      <c r="M664" s="7"/>
      <c r="N664" s="7"/>
      <c r="O664" s="7"/>
      <c r="P664" s="7"/>
      <c r="Q664" s="7"/>
      <c r="R664" s="7"/>
      <c r="S664" s="7"/>
      <c r="T664" s="7"/>
      <c r="U664" s="7"/>
      <c r="V664" s="7"/>
      <c r="W664" s="7"/>
      <c r="X664" s="7"/>
      <c r="Y664" s="7"/>
      <c r="Z664" s="7"/>
    </row>
    <row r="665" spans="1:26" ht="21" customHeight="1" x14ac:dyDescent="0.2">
      <c r="A665" s="7"/>
      <c r="B665" s="6"/>
      <c r="C665" s="7"/>
      <c r="D665" s="7"/>
      <c r="E665" s="6"/>
      <c r="F665" s="6"/>
      <c r="G665" s="6"/>
      <c r="H665" s="6"/>
      <c r="I665" s="6"/>
      <c r="J665" s="7"/>
      <c r="K665" s="7"/>
      <c r="L665" s="7"/>
      <c r="M665" s="7"/>
      <c r="N665" s="7"/>
      <c r="O665" s="7"/>
      <c r="P665" s="7"/>
      <c r="Q665" s="7"/>
      <c r="R665" s="7"/>
      <c r="S665" s="7"/>
      <c r="T665" s="7"/>
      <c r="U665" s="7"/>
      <c r="V665" s="7"/>
      <c r="W665" s="7"/>
      <c r="X665" s="7"/>
      <c r="Y665" s="7"/>
      <c r="Z665" s="7"/>
    </row>
    <row r="666" spans="1:26" ht="21" customHeight="1" x14ac:dyDescent="0.2">
      <c r="A666" s="7"/>
      <c r="B666" s="6"/>
      <c r="C666" s="7"/>
      <c r="D666" s="7"/>
      <c r="E666" s="6"/>
      <c r="F666" s="6"/>
      <c r="G666" s="6"/>
      <c r="H666" s="6"/>
      <c r="I666" s="6"/>
      <c r="J666" s="7"/>
      <c r="K666" s="7"/>
      <c r="L666" s="7"/>
      <c r="M666" s="7"/>
      <c r="N666" s="7"/>
      <c r="O666" s="7"/>
      <c r="P666" s="7"/>
      <c r="Q666" s="7"/>
      <c r="R666" s="7"/>
      <c r="S666" s="7"/>
      <c r="T666" s="7"/>
      <c r="U666" s="7"/>
      <c r="V666" s="7"/>
      <c r="W666" s="7"/>
      <c r="X666" s="7"/>
      <c r="Y666" s="7"/>
      <c r="Z666" s="7"/>
    </row>
    <row r="667" spans="1:26" ht="21" customHeight="1" x14ac:dyDescent="0.2">
      <c r="A667" s="7"/>
      <c r="B667" s="6"/>
      <c r="C667" s="7"/>
      <c r="D667" s="7"/>
      <c r="E667" s="6"/>
      <c r="F667" s="6"/>
      <c r="G667" s="6"/>
      <c r="H667" s="6"/>
      <c r="I667" s="6"/>
      <c r="J667" s="7"/>
      <c r="K667" s="7"/>
      <c r="L667" s="7"/>
      <c r="M667" s="7"/>
      <c r="N667" s="7"/>
      <c r="O667" s="7"/>
      <c r="P667" s="7"/>
      <c r="Q667" s="7"/>
      <c r="R667" s="7"/>
      <c r="S667" s="7"/>
      <c r="T667" s="7"/>
      <c r="U667" s="7"/>
      <c r="V667" s="7"/>
      <c r="W667" s="7"/>
      <c r="X667" s="7"/>
      <c r="Y667" s="7"/>
      <c r="Z667" s="7"/>
    </row>
    <row r="668" spans="1:26" ht="21" customHeight="1" x14ac:dyDescent="0.2">
      <c r="A668" s="7"/>
      <c r="B668" s="6"/>
      <c r="C668" s="7"/>
      <c r="D668" s="7"/>
      <c r="E668" s="6"/>
      <c r="F668" s="6"/>
      <c r="G668" s="6"/>
      <c r="H668" s="6"/>
      <c r="I668" s="6"/>
      <c r="J668" s="7"/>
      <c r="K668" s="7"/>
      <c r="L668" s="7"/>
      <c r="M668" s="7"/>
      <c r="N668" s="7"/>
      <c r="O668" s="7"/>
      <c r="P668" s="7"/>
      <c r="Q668" s="7"/>
      <c r="R668" s="7"/>
      <c r="S668" s="7"/>
      <c r="T668" s="7"/>
      <c r="U668" s="7"/>
      <c r="V668" s="7"/>
      <c r="W668" s="7"/>
      <c r="X668" s="7"/>
      <c r="Y668" s="7"/>
      <c r="Z668" s="7"/>
    </row>
    <row r="669" spans="1:26" ht="21" customHeight="1" x14ac:dyDescent="0.2">
      <c r="A669" s="7"/>
      <c r="B669" s="6"/>
      <c r="C669" s="7"/>
      <c r="D669" s="7"/>
      <c r="E669" s="6"/>
      <c r="F669" s="6"/>
      <c r="G669" s="6"/>
      <c r="H669" s="6"/>
      <c r="I669" s="6"/>
      <c r="J669" s="7"/>
      <c r="K669" s="7"/>
      <c r="L669" s="7"/>
      <c r="M669" s="7"/>
      <c r="N669" s="7"/>
      <c r="O669" s="7"/>
      <c r="P669" s="7"/>
      <c r="Q669" s="7"/>
      <c r="R669" s="7"/>
      <c r="S669" s="7"/>
      <c r="T669" s="7"/>
      <c r="U669" s="7"/>
      <c r="V669" s="7"/>
      <c r="W669" s="7"/>
      <c r="X669" s="7"/>
      <c r="Y669" s="7"/>
      <c r="Z669" s="7"/>
    </row>
    <row r="670" spans="1:26" ht="21" customHeight="1" x14ac:dyDescent="0.2">
      <c r="A670" s="7"/>
      <c r="B670" s="6"/>
      <c r="C670" s="7"/>
      <c r="D670" s="7"/>
      <c r="E670" s="6"/>
      <c r="F670" s="6"/>
      <c r="G670" s="6"/>
      <c r="H670" s="6"/>
      <c r="I670" s="6"/>
      <c r="J670" s="7"/>
      <c r="K670" s="7"/>
      <c r="L670" s="7"/>
      <c r="M670" s="7"/>
      <c r="N670" s="7"/>
      <c r="O670" s="7"/>
      <c r="P670" s="7"/>
      <c r="Q670" s="7"/>
      <c r="R670" s="7"/>
      <c r="S670" s="7"/>
      <c r="T670" s="7"/>
      <c r="U670" s="7"/>
      <c r="V670" s="7"/>
      <c r="W670" s="7"/>
      <c r="X670" s="7"/>
      <c r="Y670" s="7"/>
      <c r="Z670" s="7"/>
    </row>
    <row r="671" spans="1:26" ht="21" customHeight="1" x14ac:dyDescent="0.2">
      <c r="A671" s="7"/>
      <c r="B671" s="6"/>
      <c r="C671" s="7"/>
      <c r="D671" s="7"/>
      <c r="E671" s="6"/>
      <c r="F671" s="6"/>
      <c r="G671" s="6"/>
      <c r="H671" s="6"/>
      <c r="I671" s="6"/>
      <c r="J671" s="7"/>
      <c r="K671" s="7"/>
      <c r="L671" s="7"/>
      <c r="M671" s="7"/>
      <c r="N671" s="7"/>
      <c r="O671" s="7"/>
      <c r="P671" s="7"/>
      <c r="Q671" s="7"/>
      <c r="R671" s="7"/>
      <c r="S671" s="7"/>
      <c r="T671" s="7"/>
      <c r="U671" s="7"/>
      <c r="V671" s="7"/>
      <c r="W671" s="7"/>
      <c r="X671" s="7"/>
      <c r="Y671" s="7"/>
      <c r="Z671" s="7"/>
    </row>
    <row r="672" spans="1:26" ht="21" customHeight="1" x14ac:dyDescent="0.2">
      <c r="A672" s="7"/>
      <c r="B672" s="6"/>
      <c r="C672" s="7"/>
      <c r="D672" s="7"/>
      <c r="E672" s="6"/>
      <c r="F672" s="6"/>
      <c r="G672" s="6"/>
      <c r="H672" s="6"/>
      <c r="I672" s="6"/>
      <c r="J672" s="7"/>
      <c r="K672" s="7"/>
      <c r="L672" s="7"/>
      <c r="M672" s="7"/>
      <c r="N672" s="7"/>
      <c r="O672" s="7"/>
      <c r="P672" s="7"/>
      <c r="Q672" s="7"/>
      <c r="R672" s="7"/>
      <c r="S672" s="7"/>
      <c r="T672" s="7"/>
      <c r="U672" s="7"/>
      <c r="V672" s="7"/>
      <c r="W672" s="7"/>
      <c r="X672" s="7"/>
      <c r="Y672" s="7"/>
      <c r="Z672" s="7"/>
    </row>
    <row r="673" spans="1:26" ht="21" customHeight="1" x14ac:dyDescent="0.2">
      <c r="A673" s="7"/>
      <c r="B673" s="6"/>
      <c r="C673" s="7"/>
      <c r="D673" s="7"/>
      <c r="E673" s="6"/>
      <c r="F673" s="6"/>
      <c r="G673" s="6"/>
      <c r="H673" s="6"/>
      <c r="I673" s="6"/>
      <c r="J673" s="7"/>
      <c r="K673" s="7"/>
      <c r="L673" s="7"/>
      <c r="M673" s="7"/>
      <c r="N673" s="7"/>
      <c r="O673" s="7"/>
      <c r="P673" s="7"/>
      <c r="Q673" s="7"/>
      <c r="R673" s="7"/>
      <c r="S673" s="7"/>
      <c r="T673" s="7"/>
      <c r="U673" s="7"/>
      <c r="V673" s="7"/>
      <c r="W673" s="7"/>
      <c r="X673" s="7"/>
      <c r="Y673" s="7"/>
      <c r="Z673" s="7"/>
    </row>
    <row r="674" spans="1:26" ht="21" customHeight="1" x14ac:dyDescent="0.2">
      <c r="A674" s="7"/>
      <c r="B674" s="6"/>
      <c r="C674" s="7"/>
      <c r="D674" s="7"/>
      <c r="E674" s="6"/>
      <c r="F674" s="6"/>
      <c r="G674" s="6"/>
      <c r="H674" s="6"/>
      <c r="I674" s="6"/>
      <c r="J674" s="7"/>
      <c r="K674" s="7"/>
      <c r="L674" s="7"/>
      <c r="M674" s="7"/>
      <c r="N674" s="7"/>
      <c r="O674" s="7"/>
      <c r="P674" s="7"/>
      <c r="Q674" s="7"/>
      <c r="R674" s="7"/>
      <c r="S674" s="7"/>
      <c r="T674" s="7"/>
      <c r="U674" s="7"/>
      <c r="V674" s="7"/>
      <c r="W674" s="7"/>
      <c r="X674" s="7"/>
      <c r="Y674" s="7"/>
      <c r="Z674" s="7"/>
    </row>
    <row r="675" spans="1:26" ht="21" customHeight="1" x14ac:dyDescent="0.2">
      <c r="A675" s="7"/>
      <c r="B675" s="6"/>
      <c r="C675" s="7"/>
      <c r="D675" s="7"/>
      <c r="E675" s="6"/>
      <c r="F675" s="6"/>
      <c r="G675" s="6"/>
      <c r="H675" s="6"/>
      <c r="I675" s="6"/>
      <c r="J675" s="7"/>
      <c r="K675" s="7"/>
      <c r="L675" s="7"/>
      <c r="M675" s="7"/>
      <c r="N675" s="7"/>
      <c r="O675" s="7"/>
      <c r="P675" s="7"/>
      <c r="Q675" s="7"/>
      <c r="R675" s="7"/>
      <c r="S675" s="7"/>
      <c r="T675" s="7"/>
      <c r="U675" s="7"/>
      <c r="V675" s="7"/>
      <c r="W675" s="7"/>
      <c r="X675" s="7"/>
      <c r="Y675" s="7"/>
      <c r="Z675" s="7"/>
    </row>
    <row r="676" spans="1:26" ht="21" customHeight="1" x14ac:dyDescent="0.2">
      <c r="A676" s="7"/>
      <c r="B676" s="6"/>
      <c r="C676" s="7"/>
      <c r="D676" s="7"/>
      <c r="E676" s="6"/>
      <c r="F676" s="6"/>
      <c r="G676" s="6"/>
      <c r="H676" s="6"/>
      <c r="I676" s="6"/>
      <c r="J676" s="7"/>
      <c r="K676" s="7"/>
      <c r="L676" s="7"/>
      <c r="M676" s="7"/>
      <c r="N676" s="7"/>
      <c r="O676" s="7"/>
      <c r="P676" s="7"/>
      <c r="Q676" s="7"/>
      <c r="R676" s="7"/>
      <c r="S676" s="7"/>
      <c r="T676" s="7"/>
      <c r="U676" s="7"/>
      <c r="V676" s="7"/>
      <c r="W676" s="7"/>
      <c r="X676" s="7"/>
      <c r="Y676" s="7"/>
      <c r="Z676" s="7"/>
    </row>
    <row r="677" spans="1:26" ht="21" customHeight="1" x14ac:dyDescent="0.2">
      <c r="A677" s="7"/>
      <c r="B677" s="6"/>
      <c r="C677" s="7"/>
      <c r="D677" s="7"/>
      <c r="E677" s="6"/>
      <c r="F677" s="6"/>
      <c r="G677" s="6"/>
      <c r="H677" s="6"/>
      <c r="I677" s="6"/>
      <c r="J677" s="7"/>
      <c r="K677" s="7"/>
      <c r="L677" s="7"/>
      <c r="M677" s="7"/>
      <c r="N677" s="7"/>
      <c r="O677" s="7"/>
      <c r="P677" s="7"/>
      <c r="Q677" s="7"/>
      <c r="R677" s="7"/>
      <c r="S677" s="7"/>
      <c r="T677" s="7"/>
      <c r="U677" s="7"/>
      <c r="V677" s="7"/>
      <c r="W677" s="7"/>
      <c r="X677" s="7"/>
      <c r="Y677" s="7"/>
      <c r="Z677" s="7"/>
    </row>
    <row r="678" spans="1:26" ht="21" customHeight="1" x14ac:dyDescent="0.2">
      <c r="A678" s="7"/>
      <c r="B678" s="6"/>
      <c r="C678" s="7"/>
      <c r="D678" s="7"/>
      <c r="E678" s="6"/>
      <c r="F678" s="6"/>
      <c r="G678" s="6"/>
      <c r="H678" s="6"/>
      <c r="I678" s="6"/>
      <c r="J678" s="7"/>
      <c r="K678" s="7"/>
      <c r="L678" s="7"/>
      <c r="M678" s="7"/>
      <c r="N678" s="7"/>
      <c r="O678" s="7"/>
      <c r="P678" s="7"/>
      <c r="Q678" s="7"/>
      <c r="R678" s="7"/>
      <c r="S678" s="7"/>
      <c r="T678" s="7"/>
      <c r="U678" s="7"/>
      <c r="V678" s="7"/>
      <c r="W678" s="7"/>
      <c r="X678" s="7"/>
      <c r="Y678" s="7"/>
      <c r="Z678" s="7"/>
    </row>
    <row r="679" spans="1:26" ht="21" customHeight="1" x14ac:dyDescent="0.2">
      <c r="A679" s="7"/>
      <c r="B679" s="6"/>
      <c r="C679" s="7"/>
      <c r="D679" s="7"/>
      <c r="E679" s="6"/>
      <c r="F679" s="6"/>
      <c r="G679" s="6"/>
      <c r="H679" s="6"/>
      <c r="I679" s="6"/>
      <c r="J679" s="7"/>
      <c r="K679" s="7"/>
      <c r="L679" s="7"/>
      <c r="M679" s="7"/>
      <c r="N679" s="7"/>
      <c r="O679" s="7"/>
      <c r="P679" s="7"/>
      <c r="Q679" s="7"/>
      <c r="R679" s="7"/>
      <c r="S679" s="7"/>
      <c r="T679" s="7"/>
      <c r="U679" s="7"/>
      <c r="V679" s="7"/>
      <c r="W679" s="7"/>
      <c r="X679" s="7"/>
      <c r="Y679" s="7"/>
      <c r="Z679" s="7"/>
    </row>
    <row r="680" spans="1:26" ht="21" customHeight="1" x14ac:dyDescent="0.2">
      <c r="A680" s="7"/>
      <c r="B680" s="6"/>
      <c r="C680" s="7"/>
      <c r="D680" s="7"/>
      <c r="E680" s="6"/>
      <c r="F680" s="6"/>
      <c r="G680" s="6"/>
      <c r="H680" s="6"/>
      <c r="I680" s="6"/>
      <c r="J680" s="7"/>
      <c r="K680" s="7"/>
      <c r="L680" s="7"/>
      <c r="M680" s="7"/>
      <c r="N680" s="7"/>
      <c r="O680" s="7"/>
      <c r="P680" s="7"/>
      <c r="Q680" s="7"/>
      <c r="R680" s="7"/>
      <c r="S680" s="7"/>
      <c r="T680" s="7"/>
      <c r="U680" s="7"/>
      <c r="V680" s="7"/>
      <c r="W680" s="7"/>
      <c r="X680" s="7"/>
      <c r="Y680" s="7"/>
      <c r="Z680" s="7"/>
    </row>
    <row r="681" spans="1:26" ht="21" customHeight="1" x14ac:dyDescent="0.2">
      <c r="A681" s="7"/>
      <c r="B681" s="6"/>
      <c r="C681" s="7"/>
      <c r="D681" s="7"/>
      <c r="E681" s="6"/>
      <c r="F681" s="6"/>
      <c r="G681" s="6"/>
      <c r="H681" s="6"/>
      <c r="I681" s="6"/>
      <c r="J681" s="7"/>
      <c r="K681" s="7"/>
      <c r="L681" s="7"/>
      <c r="M681" s="7"/>
      <c r="N681" s="7"/>
      <c r="O681" s="7"/>
      <c r="P681" s="7"/>
      <c r="Q681" s="7"/>
      <c r="R681" s="7"/>
      <c r="S681" s="7"/>
      <c r="T681" s="7"/>
      <c r="U681" s="7"/>
      <c r="V681" s="7"/>
      <c r="W681" s="7"/>
      <c r="X681" s="7"/>
      <c r="Y681" s="7"/>
      <c r="Z681" s="7"/>
    </row>
    <row r="682" spans="1:26" ht="21" customHeight="1" x14ac:dyDescent="0.2">
      <c r="A682" s="7"/>
      <c r="B682" s="6"/>
      <c r="C682" s="7"/>
      <c r="D682" s="7"/>
      <c r="E682" s="6"/>
      <c r="F682" s="6"/>
      <c r="G682" s="6"/>
      <c r="H682" s="6"/>
      <c r="I682" s="6"/>
      <c r="J682" s="7"/>
      <c r="K682" s="7"/>
      <c r="L682" s="7"/>
      <c r="M682" s="7"/>
      <c r="N682" s="7"/>
      <c r="O682" s="7"/>
      <c r="P682" s="7"/>
      <c r="Q682" s="7"/>
      <c r="R682" s="7"/>
      <c r="S682" s="7"/>
      <c r="T682" s="7"/>
      <c r="U682" s="7"/>
      <c r="V682" s="7"/>
      <c r="W682" s="7"/>
      <c r="X682" s="7"/>
      <c r="Y682" s="7"/>
      <c r="Z682" s="7"/>
    </row>
    <row r="683" spans="1:26" ht="21" customHeight="1" x14ac:dyDescent="0.2">
      <c r="A683" s="7"/>
      <c r="B683" s="6"/>
      <c r="C683" s="7"/>
      <c r="D683" s="7"/>
      <c r="E683" s="6"/>
      <c r="F683" s="6"/>
      <c r="G683" s="6"/>
      <c r="H683" s="6"/>
      <c r="I683" s="6"/>
      <c r="J683" s="7"/>
      <c r="K683" s="7"/>
      <c r="L683" s="7"/>
      <c r="M683" s="7"/>
      <c r="N683" s="7"/>
      <c r="O683" s="7"/>
      <c r="P683" s="7"/>
      <c r="Q683" s="7"/>
      <c r="R683" s="7"/>
      <c r="S683" s="7"/>
      <c r="T683" s="7"/>
      <c r="U683" s="7"/>
      <c r="V683" s="7"/>
      <c r="W683" s="7"/>
      <c r="X683" s="7"/>
      <c r="Y683" s="7"/>
      <c r="Z683" s="7"/>
    </row>
    <row r="684" spans="1:26" ht="21" customHeight="1" x14ac:dyDescent="0.2">
      <c r="A684" s="7"/>
      <c r="B684" s="6"/>
      <c r="C684" s="7"/>
      <c r="D684" s="7"/>
      <c r="E684" s="6"/>
      <c r="F684" s="6"/>
      <c r="G684" s="6"/>
      <c r="H684" s="6"/>
      <c r="I684" s="6"/>
      <c r="J684" s="7"/>
      <c r="K684" s="7"/>
      <c r="L684" s="7"/>
      <c r="M684" s="7"/>
      <c r="N684" s="7"/>
      <c r="O684" s="7"/>
      <c r="P684" s="7"/>
      <c r="Q684" s="7"/>
      <c r="R684" s="7"/>
      <c r="S684" s="7"/>
      <c r="T684" s="7"/>
      <c r="U684" s="7"/>
      <c r="V684" s="7"/>
      <c r="W684" s="7"/>
      <c r="X684" s="7"/>
      <c r="Y684" s="7"/>
      <c r="Z684" s="7"/>
    </row>
    <row r="685" spans="1:26" ht="21" customHeight="1" x14ac:dyDescent="0.2">
      <c r="A685" s="7"/>
      <c r="B685" s="6"/>
      <c r="C685" s="7"/>
      <c r="D685" s="7"/>
      <c r="E685" s="6"/>
      <c r="F685" s="6"/>
      <c r="G685" s="6"/>
      <c r="H685" s="6"/>
      <c r="I685" s="6"/>
      <c r="J685" s="7"/>
      <c r="K685" s="7"/>
      <c r="L685" s="7"/>
      <c r="M685" s="7"/>
      <c r="N685" s="7"/>
      <c r="O685" s="7"/>
      <c r="P685" s="7"/>
      <c r="Q685" s="7"/>
      <c r="R685" s="7"/>
      <c r="S685" s="7"/>
      <c r="T685" s="7"/>
      <c r="U685" s="7"/>
      <c r="V685" s="7"/>
      <c r="W685" s="7"/>
      <c r="X685" s="7"/>
      <c r="Y685" s="7"/>
      <c r="Z685" s="7"/>
    </row>
    <row r="686" spans="1:26" ht="21" customHeight="1" x14ac:dyDescent="0.2">
      <c r="A686" s="7"/>
      <c r="B686" s="6"/>
      <c r="C686" s="7"/>
      <c r="D686" s="7"/>
      <c r="E686" s="6"/>
      <c r="F686" s="6"/>
      <c r="G686" s="6"/>
      <c r="H686" s="6"/>
      <c r="I686" s="6"/>
      <c r="J686" s="7"/>
      <c r="K686" s="7"/>
      <c r="L686" s="7"/>
      <c r="M686" s="7"/>
      <c r="N686" s="7"/>
      <c r="O686" s="7"/>
      <c r="P686" s="7"/>
      <c r="Q686" s="7"/>
      <c r="R686" s="7"/>
      <c r="S686" s="7"/>
      <c r="T686" s="7"/>
      <c r="U686" s="7"/>
      <c r="V686" s="7"/>
      <c r="W686" s="7"/>
      <c r="X686" s="7"/>
      <c r="Y686" s="7"/>
      <c r="Z686" s="7"/>
    </row>
    <row r="687" spans="1:26" ht="21" customHeight="1" x14ac:dyDescent="0.2">
      <c r="A687" s="7"/>
      <c r="B687" s="6"/>
      <c r="C687" s="7"/>
      <c r="D687" s="7"/>
      <c r="E687" s="6"/>
      <c r="F687" s="6"/>
      <c r="G687" s="6"/>
      <c r="H687" s="6"/>
      <c r="I687" s="6"/>
      <c r="J687" s="7"/>
      <c r="K687" s="7"/>
      <c r="L687" s="7"/>
      <c r="M687" s="7"/>
      <c r="N687" s="7"/>
      <c r="O687" s="7"/>
      <c r="P687" s="7"/>
      <c r="Q687" s="7"/>
      <c r="R687" s="7"/>
      <c r="S687" s="7"/>
      <c r="T687" s="7"/>
      <c r="U687" s="7"/>
      <c r="V687" s="7"/>
      <c r="W687" s="7"/>
      <c r="X687" s="7"/>
      <c r="Y687" s="7"/>
      <c r="Z687" s="7"/>
    </row>
    <row r="688" spans="1:26" ht="21" customHeight="1" x14ac:dyDescent="0.2">
      <c r="A688" s="7"/>
      <c r="B688" s="6"/>
      <c r="C688" s="7"/>
      <c r="D688" s="7"/>
      <c r="E688" s="6"/>
      <c r="F688" s="6"/>
      <c r="G688" s="6"/>
      <c r="H688" s="6"/>
      <c r="I688" s="6"/>
      <c r="J688" s="7"/>
      <c r="K688" s="7"/>
      <c r="L688" s="7"/>
      <c r="M688" s="7"/>
      <c r="N688" s="7"/>
      <c r="O688" s="7"/>
      <c r="P688" s="7"/>
      <c r="Q688" s="7"/>
      <c r="R688" s="7"/>
      <c r="S688" s="7"/>
      <c r="T688" s="7"/>
      <c r="U688" s="7"/>
      <c r="V688" s="7"/>
      <c r="W688" s="7"/>
      <c r="X688" s="7"/>
      <c r="Y688" s="7"/>
      <c r="Z688" s="7"/>
    </row>
    <row r="689" spans="1:26" ht="21" customHeight="1" x14ac:dyDescent="0.2">
      <c r="A689" s="7"/>
      <c r="B689" s="6"/>
      <c r="C689" s="7"/>
      <c r="D689" s="7"/>
      <c r="E689" s="6"/>
      <c r="F689" s="6"/>
      <c r="G689" s="6"/>
      <c r="H689" s="6"/>
      <c r="I689" s="6"/>
      <c r="J689" s="7"/>
      <c r="K689" s="7"/>
      <c r="L689" s="7"/>
      <c r="M689" s="7"/>
      <c r="N689" s="7"/>
      <c r="O689" s="7"/>
      <c r="P689" s="7"/>
      <c r="Q689" s="7"/>
      <c r="R689" s="7"/>
      <c r="S689" s="7"/>
      <c r="T689" s="7"/>
      <c r="U689" s="7"/>
      <c r="V689" s="7"/>
      <c r="W689" s="7"/>
      <c r="X689" s="7"/>
      <c r="Y689" s="7"/>
      <c r="Z689" s="7"/>
    </row>
    <row r="690" spans="1:26" ht="21" customHeight="1" x14ac:dyDescent="0.2">
      <c r="A690" s="7"/>
      <c r="B690" s="6"/>
      <c r="C690" s="7"/>
      <c r="D690" s="7"/>
      <c r="E690" s="6"/>
      <c r="F690" s="6"/>
      <c r="G690" s="6"/>
      <c r="H690" s="6"/>
      <c r="I690" s="6"/>
      <c r="J690" s="7"/>
      <c r="K690" s="7"/>
      <c r="L690" s="7"/>
      <c r="M690" s="7"/>
      <c r="N690" s="7"/>
      <c r="O690" s="7"/>
      <c r="P690" s="7"/>
      <c r="Q690" s="7"/>
      <c r="R690" s="7"/>
      <c r="S690" s="7"/>
      <c r="T690" s="7"/>
      <c r="U690" s="7"/>
      <c r="V690" s="7"/>
      <c r="W690" s="7"/>
      <c r="X690" s="7"/>
      <c r="Y690" s="7"/>
      <c r="Z690" s="7"/>
    </row>
    <row r="691" spans="1:26" ht="21" customHeight="1" x14ac:dyDescent="0.2">
      <c r="A691" s="7"/>
      <c r="B691" s="6"/>
      <c r="C691" s="7"/>
      <c r="D691" s="7"/>
      <c r="E691" s="6"/>
      <c r="F691" s="6"/>
      <c r="G691" s="6"/>
      <c r="H691" s="6"/>
      <c r="I691" s="6"/>
      <c r="J691" s="7"/>
      <c r="K691" s="7"/>
      <c r="L691" s="7"/>
      <c r="M691" s="7"/>
      <c r="N691" s="7"/>
      <c r="O691" s="7"/>
      <c r="P691" s="7"/>
      <c r="Q691" s="7"/>
      <c r="R691" s="7"/>
      <c r="S691" s="7"/>
      <c r="T691" s="7"/>
      <c r="U691" s="7"/>
      <c r="V691" s="7"/>
      <c r="W691" s="7"/>
      <c r="X691" s="7"/>
      <c r="Y691" s="7"/>
      <c r="Z691" s="7"/>
    </row>
    <row r="692" spans="1:26" ht="21" customHeight="1" x14ac:dyDescent="0.2">
      <c r="A692" s="7"/>
      <c r="B692" s="6"/>
      <c r="C692" s="7"/>
      <c r="D692" s="7"/>
      <c r="E692" s="6"/>
      <c r="F692" s="6"/>
      <c r="G692" s="6"/>
      <c r="H692" s="6"/>
      <c r="I692" s="6"/>
      <c r="J692" s="7"/>
      <c r="K692" s="7"/>
      <c r="L692" s="7"/>
      <c r="M692" s="7"/>
      <c r="N692" s="7"/>
      <c r="O692" s="7"/>
      <c r="P692" s="7"/>
      <c r="Q692" s="7"/>
      <c r="R692" s="7"/>
      <c r="S692" s="7"/>
      <c r="T692" s="7"/>
      <c r="U692" s="7"/>
      <c r="V692" s="7"/>
      <c r="W692" s="7"/>
      <c r="X692" s="7"/>
      <c r="Y692" s="7"/>
      <c r="Z692" s="7"/>
    </row>
    <row r="693" spans="1:26" ht="21" customHeight="1" x14ac:dyDescent="0.2">
      <c r="A693" s="7"/>
      <c r="B693" s="6"/>
      <c r="C693" s="7"/>
      <c r="D693" s="7"/>
      <c r="E693" s="6"/>
      <c r="F693" s="6"/>
      <c r="G693" s="6"/>
      <c r="H693" s="6"/>
      <c r="I693" s="6"/>
      <c r="J693" s="7"/>
      <c r="K693" s="7"/>
      <c r="L693" s="7"/>
      <c r="M693" s="7"/>
      <c r="N693" s="7"/>
      <c r="O693" s="7"/>
      <c r="P693" s="7"/>
      <c r="Q693" s="7"/>
      <c r="R693" s="7"/>
      <c r="S693" s="7"/>
      <c r="T693" s="7"/>
      <c r="U693" s="7"/>
      <c r="V693" s="7"/>
      <c r="W693" s="7"/>
      <c r="X693" s="7"/>
      <c r="Y693" s="7"/>
      <c r="Z693" s="7"/>
    </row>
    <row r="694" spans="1:26" ht="21" customHeight="1" x14ac:dyDescent="0.2">
      <c r="A694" s="7"/>
      <c r="B694" s="6"/>
      <c r="C694" s="7"/>
      <c r="D694" s="7"/>
      <c r="E694" s="6"/>
      <c r="F694" s="6"/>
      <c r="G694" s="6"/>
      <c r="H694" s="6"/>
      <c r="I694" s="6"/>
      <c r="J694" s="7"/>
      <c r="K694" s="7"/>
      <c r="L694" s="7"/>
      <c r="M694" s="7"/>
      <c r="N694" s="7"/>
      <c r="O694" s="7"/>
      <c r="P694" s="7"/>
      <c r="Q694" s="7"/>
      <c r="R694" s="7"/>
      <c r="S694" s="7"/>
      <c r="T694" s="7"/>
      <c r="U694" s="7"/>
      <c r="V694" s="7"/>
      <c r="W694" s="7"/>
      <c r="X694" s="7"/>
      <c r="Y694" s="7"/>
      <c r="Z694" s="7"/>
    </row>
    <row r="695" spans="1:26" ht="21" customHeight="1" x14ac:dyDescent="0.2">
      <c r="A695" s="7"/>
      <c r="B695" s="6"/>
      <c r="C695" s="7"/>
      <c r="D695" s="7"/>
      <c r="E695" s="6"/>
      <c r="F695" s="6"/>
      <c r="G695" s="6"/>
      <c r="H695" s="6"/>
      <c r="I695" s="6"/>
      <c r="J695" s="7"/>
      <c r="K695" s="7"/>
      <c r="L695" s="7"/>
      <c r="M695" s="7"/>
      <c r="N695" s="7"/>
      <c r="O695" s="7"/>
      <c r="P695" s="7"/>
      <c r="Q695" s="7"/>
      <c r="R695" s="7"/>
      <c r="S695" s="7"/>
      <c r="T695" s="7"/>
      <c r="U695" s="7"/>
      <c r="V695" s="7"/>
      <c r="W695" s="7"/>
      <c r="X695" s="7"/>
      <c r="Y695" s="7"/>
      <c r="Z695" s="7"/>
    </row>
    <row r="696" spans="1:26" ht="21" customHeight="1" x14ac:dyDescent="0.2">
      <c r="A696" s="7"/>
      <c r="B696" s="6"/>
      <c r="C696" s="7"/>
      <c r="D696" s="7"/>
      <c r="E696" s="6"/>
      <c r="F696" s="6"/>
      <c r="G696" s="6"/>
      <c r="H696" s="6"/>
      <c r="I696" s="6"/>
      <c r="J696" s="7"/>
      <c r="K696" s="7"/>
      <c r="L696" s="7"/>
      <c r="M696" s="7"/>
      <c r="N696" s="7"/>
      <c r="O696" s="7"/>
      <c r="P696" s="7"/>
      <c r="Q696" s="7"/>
      <c r="R696" s="7"/>
      <c r="S696" s="7"/>
      <c r="T696" s="7"/>
      <c r="U696" s="7"/>
      <c r="V696" s="7"/>
      <c r="W696" s="7"/>
      <c r="X696" s="7"/>
      <c r="Y696" s="7"/>
      <c r="Z696" s="7"/>
    </row>
    <row r="697" spans="1:26" ht="21" customHeight="1" x14ac:dyDescent="0.2">
      <c r="A697" s="7"/>
      <c r="B697" s="6"/>
      <c r="C697" s="7"/>
      <c r="D697" s="7"/>
      <c r="E697" s="6"/>
      <c r="F697" s="6"/>
      <c r="G697" s="6"/>
      <c r="H697" s="6"/>
      <c r="I697" s="6"/>
      <c r="J697" s="7"/>
      <c r="K697" s="7"/>
      <c r="L697" s="7"/>
      <c r="M697" s="7"/>
      <c r="N697" s="7"/>
      <c r="O697" s="7"/>
      <c r="P697" s="7"/>
      <c r="Q697" s="7"/>
      <c r="R697" s="7"/>
      <c r="S697" s="7"/>
      <c r="T697" s="7"/>
      <c r="U697" s="7"/>
      <c r="V697" s="7"/>
      <c r="W697" s="7"/>
      <c r="X697" s="7"/>
      <c r="Y697" s="7"/>
      <c r="Z697" s="7"/>
    </row>
    <row r="698" spans="1:26" ht="21" customHeight="1" x14ac:dyDescent="0.2">
      <c r="A698" s="7"/>
      <c r="B698" s="6"/>
      <c r="C698" s="7"/>
      <c r="D698" s="7"/>
      <c r="E698" s="6"/>
      <c r="F698" s="6"/>
      <c r="G698" s="6"/>
      <c r="H698" s="6"/>
      <c r="I698" s="6"/>
      <c r="J698" s="7"/>
      <c r="K698" s="7"/>
      <c r="L698" s="7"/>
      <c r="M698" s="7"/>
      <c r="N698" s="7"/>
      <c r="O698" s="7"/>
      <c r="P698" s="7"/>
      <c r="Q698" s="7"/>
      <c r="R698" s="7"/>
      <c r="S698" s="7"/>
      <c r="T698" s="7"/>
      <c r="U698" s="7"/>
      <c r="V698" s="7"/>
      <c r="W698" s="7"/>
      <c r="X698" s="7"/>
      <c r="Y698" s="7"/>
      <c r="Z698" s="7"/>
    </row>
    <row r="699" spans="1:26" ht="21" customHeight="1" x14ac:dyDescent="0.2">
      <c r="A699" s="7"/>
      <c r="B699" s="6"/>
      <c r="C699" s="7"/>
      <c r="D699" s="7"/>
      <c r="E699" s="6"/>
      <c r="F699" s="6"/>
      <c r="G699" s="6"/>
      <c r="H699" s="6"/>
      <c r="I699" s="6"/>
      <c r="J699" s="7"/>
      <c r="K699" s="7"/>
      <c r="L699" s="7"/>
      <c r="M699" s="7"/>
      <c r="N699" s="7"/>
      <c r="O699" s="7"/>
      <c r="P699" s="7"/>
      <c r="Q699" s="7"/>
      <c r="R699" s="7"/>
      <c r="S699" s="7"/>
      <c r="T699" s="7"/>
      <c r="U699" s="7"/>
      <c r="V699" s="7"/>
      <c r="W699" s="7"/>
      <c r="X699" s="7"/>
      <c r="Y699" s="7"/>
      <c r="Z699" s="7"/>
    </row>
    <row r="700" spans="1:26" ht="21" customHeight="1" x14ac:dyDescent="0.2">
      <c r="A700" s="7"/>
      <c r="B700" s="6"/>
      <c r="C700" s="7"/>
      <c r="D700" s="7"/>
      <c r="E700" s="6"/>
      <c r="F700" s="6"/>
      <c r="G700" s="6"/>
      <c r="H700" s="6"/>
      <c r="I700" s="6"/>
      <c r="J700" s="7"/>
      <c r="K700" s="7"/>
      <c r="L700" s="7"/>
      <c r="M700" s="7"/>
      <c r="N700" s="7"/>
      <c r="O700" s="7"/>
      <c r="P700" s="7"/>
      <c r="Q700" s="7"/>
      <c r="R700" s="7"/>
      <c r="S700" s="7"/>
      <c r="T700" s="7"/>
      <c r="U700" s="7"/>
      <c r="V700" s="7"/>
      <c r="W700" s="7"/>
      <c r="X700" s="7"/>
      <c r="Y700" s="7"/>
      <c r="Z700" s="7"/>
    </row>
    <row r="701" spans="1:26" ht="21" customHeight="1" x14ac:dyDescent="0.2">
      <c r="A701" s="7"/>
      <c r="B701" s="6"/>
      <c r="C701" s="7"/>
      <c r="D701" s="7"/>
      <c r="E701" s="6"/>
      <c r="F701" s="6"/>
      <c r="G701" s="6"/>
      <c r="H701" s="6"/>
      <c r="I701" s="6"/>
      <c r="J701" s="7"/>
      <c r="K701" s="7"/>
      <c r="L701" s="7"/>
      <c r="M701" s="7"/>
      <c r="N701" s="7"/>
      <c r="O701" s="7"/>
      <c r="P701" s="7"/>
      <c r="Q701" s="7"/>
      <c r="R701" s="7"/>
      <c r="S701" s="7"/>
      <c r="T701" s="7"/>
      <c r="U701" s="7"/>
      <c r="V701" s="7"/>
      <c r="W701" s="7"/>
      <c r="X701" s="7"/>
      <c r="Y701" s="7"/>
      <c r="Z701" s="7"/>
    </row>
    <row r="702" spans="1:26" ht="21" customHeight="1" x14ac:dyDescent="0.2">
      <c r="A702" s="7"/>
      <c r="B702" s="6"/>
      <c r="C702" s="7"/>
      <c r="D702" s="7"/>
      <c r="E702" s="6"/>
      <c r="F702" s="6"/>
      <c r="G702" s="6"/>
      <c r="H702" s="6"/>
      <c r="I702" s="6"/>
      <c r="J702" s="7"/>
      <c r="K702" s="7"/>
      <c r="L702" s="7"/>
      <c r="M702" s="7"/>
      <c r="N702" s="7"/>
      <c r="O702" s="7"/>
      <c r="P702" s="7"/>
      <c r="Q702" s="7"/>
      <c r="R702" s="7"/>
      <c r="S702" s="7"/>
      <c r="T702" s="7"/>
      <c r="U702" s="7"/>
      <c r="V702" s="7"/>
      <c r="W702" s="7"/>
      <c r="X702" s="7"/>
      <c r="Y702" s="7"/>
      <c r="Z702" s="7"/>
    </row>
    <row r="703" spans="1:26" ht="21" customHeight="1" x14ac:dyDescent="0.2">
      <c r="A703" s="7"/>
      <c r="B703" s="6"/>
      <c r="C703" s="7"/>
      <c r="D703" s="7"/>
      <c r="E703" s="6"/>
      <c r="F703" s="6"/>
      <c r="G703" s="6"/>
      <c r="H703" s="6"/>
      <c r="I703" s="6"/>
      <c r="J703" s="7"/>
      <c r="K703" s="7"/>
      <c r="L703" s="7"/>
      <c r="M703" s="7"/>
      <c r="N703" s="7"/>
      <c r="O703" s="7"/>
      <c r="P703" s="7"/>
      <c r="Q703" s="7"/>
      <c r="R703" s="7"/>
      <c r="S703" s="7"/>
      <c r="T703" s="7"/>
      <c r="U703" s="7"/>
      <c r="V703" s="7"/>
      <c r="W703" s="7"/>
      <c r="X703" s="7"/>
      <c r="Y703" s="7"/>
      <c r="Z703" s="7"/>
    </row>
    <row r="704" spans="1:26" ht="21" customHeight="1" x14ac:dyDescent="0.2">
      <c r="A704" s="7"/>
      <c r="B704" s="6"/>
      <c r="C704" s="7"/>
      <c r="D704" s="7"/>
      <c r="E704" s="6"/>
      <c r="F704" s="6"/>
      <c r="G704" s="6"/>
      <c r="H704" s="6"/>
      <c r="I704" s="6"/>
      <c r="J704" s="7"/>
      <c r="K704" s="7"/>
      <c r="L704" s="7"/>
      <c r="M704" s="7"/>
      <c r="N704" s="7"/>
      <c r="O704" s="7"/>
      <c r="P704" s="7"/>
      <c r="Q704" s="7"/>
      <c r="R704" s="7"/>
      <c r="S704" s="7"/>
      <c r="T704" s="7"/>
      <c r="U704" s="7"/>
      <c r="V704" s="7"/>
      <c r="W704" s="7"/>
      <c r="X704" s="7"/>
      <c r="Y704" s="7"/>
      <c r="Z704" s="7"/>
    </row>
    <row r="705" spans="1:26" ht="21" customHeight="1" x14ac:dyDescent="0.2">
      <c r="A705" s="7"/>
      <c r="B705" s="6"/>
      <c r="C705" s="7"/>
      <c r="D705" s="7"/>
      <c r="E705" s="6"/>
      <c r="F705" s="6"/>
      <c r="G705" s="6"/>
      <c r="H705" s="6"/>
      <c r="I705" s="6"/>
      <c r="J705" s="7"/>
      <c r="K705" s="7"/>
      <c r="L705" s="7"/>
      <c r="M705" s="7"/>
      <c r="N705" s="7"/>
      <c r="O705" s="7"/>
      <c r="P705" s="7"/>
      <c r="Q705" s="7"/>
      <c r="R705" s="7"/>
      <c r="S705" s="7"/>
      <c r="T705" s="7"/>
      <c r="U705" s="7"/>
      <c r="V705" s="7"/>
      <c r="W705" s="7"/>
      <c r="X705" s="7"/>
      <c r="Y705" s="7"/>
      <c r="Z705" s="7"/>
    </row>
    <row r="706" spans="1:26" ht="21" customHeight="1" x14ac:dyDescent="0.2">
      <c r="A706" s="7"/>
      <c r="B706" s="6"/>
      <c r="C706" s="7"/>
      <c r="D706" s="7"/>
      <c r="E706" s="6"/>
      <c r="F706" s="6"/>
      <c r="G706" s="6"/>
      <c r="H706" s="6"/>
      <c r="I706" s="6"/>
      <c r="J706" s="7"/>
      <c r="K706" s="7"/>
      <c r="L706" s="7"/>
      <c r="M706" s="7"/>
      <c r="N706" s="7"/>
      <c r="O706" s="7"/>
      <c r="P706" s="7"/>
      <c r="Q706" s="7"/>
      <c r="R706" s="7"/>
      <c r="S706" s="7"/>
      <c r="T706" s="7"/>
      <c r="U706" s="7"/>
      <c r="V706" s="7"/>
      <c r="W706" s="7"/>
      <c r="X706" s="7"/>
      <c r="Y706" s="7"/>
      <c r="Z706" s="7"/>
    </row>
    <row r="707" spans="1:26" ht="21" customHeight="1" x14ac:dyDescent="0.2">
      <c r="A707" s="7"/>
      <c r="B707" s="6"/>
      <c r="C707" s="7"/>
      <c r="D707" s="7"/>
      <c r="E707" s="6"/>
      <c r="F707" s="6"/>
      <c r="G707" s="6"/>
      <c r="H707" s="6"/>
      <c r="I707" s="6"/>
      <c r="J707" s="7"/>
      <c r="K707" s="7"/>
      <c r="L707" s="7"/>
      <c r="M707" s="7"/>
      <c r="N707" s="7"/>
      <c r="O707" s="7"/>
      <c r="P707" s="7"/>
      <c r="Q707" s="7"/>
      <c r="R707" s="7"/>
      <c r="S707" s="7"/>
      <c r="T707" s="7"/>
      <c r="U707" s="7"/>
      <c r="V707" s="7"/>
      <c r="W707" s="7"/>
      <c r="X707" s="7"/>
      <c r="Y707" s="7"/>
      <c r="Z707" s="7"/>
    </row>
    <row r="708" spans="1:26" ht="21" customHeight="1" x14ac:dyDescent="0.2">
      <c r="A708" s="7"/>
      <c r="B708" s="6"/>
      <c r="C708" s="7"/>
      <c r="D708" s="7"/>
      <c r="E708" s="6"/>
      <c r="F708" s="6"/>
      <c r="G708" s="6"/>
      <c r="H708" s="6"/>
      <c r="I708" s="6"/>
      <c r="J708" s="7"/>
      <c r="K708" s="7"/>
      <c r="L708" s="7"/>
      <c r="M708" s="7"/>
      <c r="N708" s="7"/>
      <c r="O708" s="7"/>
      <c r="P708" s="7"/>
      <c r="Q708" s="7"/>
      <c r="R708" s="7"/>
      <c r="S708" s="7"/>
      <c r="T708" s="7"/>
      <c r="U708" s="7"/>
      <c r="V708" s="7"/>
      <c r="W708" s="7"/>
      <c r="X708" s="7"/>
      <c r="Y708" s="7"/>
      <c r="Z708" s="7"/>
    </row>
    <row r="709" spans="1:26" ht="21" customHeight="1" x14ac:dyDescent="0.2">
      <c r="A709" s="7"/>
      <c r="B709" s="6"/>
      <c r="C709" s="7"/>
      <c r="D709" s="7"/>
      <c r="E709" s="6"/>
      <c r="F709" s="6"/>
      <c r="G709" s="6"/>
      <c r="H709" s="6"/>
      <c r="I709" s="6"/>
      <c r="J709" s="7"/>
      <c r="K709" s="7"/>
      <c r="L709" s="7"/>
      <c r="M709" s="7"/>
      <c r="N709" s="7"/>
      <c r="O709" s="7"/>
      <c r="P709" s="7"/>
      <c r="Q709" s="7"/>
      <c r="R709" s="7"/>
      <c r="S709" s="7"/>
      <c r="T709" s="7"/>
      <c r="U709" s="7"/>
      <c r="V709" s="7"/>
      <c r="W709" s="7"/>
      <c r="X709" s="7"/>
      <c r="Y709" s="7"/>
      <c r="Z709" s="7"/>
    </row>
    <row r="710" spans="1:26" ht="21" customHeight="1" x14ac:dyDescent="0.2">
      <c r="A710" s="7"/>
      <c r="B710" s="6"/>
      <c r="C710" s="7"/>
      <c r="D710" s="7"/>
      <c r="E710" s="6"/>
      <c r="F710" s="6"/>
      <c r="G710" s="6"/>
      <c r="H710" s="6"/>
      <c r="I710" s="6"/>
      <c r="J710" s="7"/>
      <c r="K710" s="7"/>
      <c r="L710" s="7"/>
      <c r="M710" s="7"/>
      <c r="N710" s="7"/>
      <c r="O710" s="7"/>
      <c r="P710" s="7"/>
      <c r="Q710" s="7"/>
      <c r="R710" s="7"/>
      <c r="S710" s="7"/>
      <c r="T710" s="7"/>
      <c r="U710" s="7"/>
      <c r="V710" s="7"/>
      <c r="W710" s="7"/>
      <c r="X710" s="7"/>
      <c r="Y710" s="7"/>
      <c r="Z710" s="7"/>
    </row>
    <row r="711" spans="1:26" ht="21" customHeight="1" x14ac:dyDescent="0.2">
      <c r="A711" s="7"/>
      <c r="B711" s="6"/>
      <c r="C711" s="7"/>
      <c r="D711" s="7"/>
      <c r="E711" s="6"/>
      <c r="F711" s="6"/>
      <c r="G711" s="6"/>
      <c r="H711" s="6"/>
      <c r="I711" s="6"/>
      <c r="J711" s="7"/>
      <c r="K711" s="7"/>
      <c r="L711" s="7"/>
      <c r="M711" s="7"/>
      <c r="N711" s="7"/>
      <c r="O711" s="7"/>
      <c r="P711" s="7"/>
      <c r="Q711" s="7"/>
      <c r="R711" s="7"/>
      <c r="S711" s="7"/>
      <c r="T711" s="7"/>
      <c r="U711" s="7"/>
      <c r="V711" s="7"/>
      <c r="W711" s="7"/>
      <c r="X711" s="7"/>
      <c r="Y711" s="7"/>
      <c r="Z711" s="7"/>
    </row>
    <row r="712" spans="1:26" ht="21" customHeight="1" x14ac:dyDescent="0.2">
      <c r="A712" s="7"/>
      <c r="B712" s="6"/>
      <c r="C712" s="7"/>
      <c r="D712" s="7"/>
      <c r="E712" s="6"/>
      <c r="F712" s="6"/>
      <c r="G712" s="6"/>
      <c r="H712" s="6"/>
      <c r="I712" s="6"/>
      <c r="J712" s="7"/>
      <c r="K712" s="7"/>
      <c r="L712" s="7"/>
      <c r="M712" s="7"/>
      <c r="N712" s="7"/>
      <c r="O712" s="7"/>
      <c r="P712" s="7"/>
      <c r="Q712" s="7"/>
      <c r="R712" s="7"/>
      <c r="S712" s="7"/>
      <c r="T712" s="7"/>
      <c r="U712" s="7"/>
      <c r="V712" s="7"/>
      <c r="W712" s="7"/>
      <c r="X712" s="7"/>
      <c r="Y712" s="7"/>
      <c r="Z712" s="7"/>
    </row>
    <row r="713" spans="1:26" ht="21" customHeight="1" x14ac:dyDescent="0.2">
      <c r="A713" s="7"/>
      <c r="B713" s="6"/>
      <c r="C713" s="7"/>
      <c r="D713" s="7"/>
      <c r="E713" s="6"/>
      <c r="F713" s="6"/>
      <c r="G713" s="6"/>
      <c r="H713" s="6"/>
      <c r="I713" s="6"/>
      <c r="J713" s="7"/>
      <c r="K713" s="7"/>
      <c r="L713" s="7"/>
      <c r="M713" s="7"/>
      <c r="N713" s="7"/>
      <c r="O713" s="7"/>
      <c r="P713" s="7"/>
      <c r="Q713" s="7"/>
      <c r="R713" s="7"/>
      <c r="S713" s="7"/>
      <c r="T713" s="7"/>
      <c r="U713" s="7"/>
      <c r="V713" s="7"/>
      <c r="W713" s="7"/>
      <c r="X713" s="7"/>
      <c r="Y713" s="7"/>
      <c r="Z713" s="7"/>
    </row>
    <row r="714" spans="1:26" ht="21" customHeight="1" x14ac:dyDescent="0.2">
      <c r="A714" s="7"/>
      <c r="B714" s="6"/>
      <c r="C714" s="7"/>
      <c r="D714" s="7"/>
      <c r="E714" s="6"/>
      <c r="F714" s="6"/>
      <c r="G714" s="6"/>
      <c r="H714" s="6"/>
      <c r="I714" s="6"/>
      <c r="J714" s="7"/>
      <c r="K714" s="7"/>
      <c r="L714" s="7"/>
      <c r="M714" s="7"/>
      <c r="N714" s="7"/>
      <c r="O714" s="7"/>
      <c r="P714" s="7"/>
      <c r="Q714" s="7"/>
      <c r="R714" s="7"/>
      <c r="S714" s="7"/>
      <c r="T714" s="7"/>
      <c r="U714" s="7"/>
      <c r="V714" s="7"/>
      <c r="W714" s="7"/>
      <c r="X714" s="7"/>
      <c r="Y714" s="7"/>
      <c r="Z714" s="7"/>
    </row>
    <row r="715" spans="1:26" ht="21" customHeight="1" x14ac:dyDescent="0.2">
      <c r="A715" s="7"/>
      <c r="B715" s="6"/>
      <c r="C715" s="7"/>
      <c r="D715" s="7"/>
      <c r="E715" s="6"/>
      <c r="F715" s="6"/>
      <c r="G715" s="6"/>
      <c r="H715" s="6"/>
      <c r="I715" s="6"/>
      <c r="J715" s="7"/>
      <c r="K715" s="7"/>
      <c r="L715" s="7"/>
      <c r="M715" s="7"/>
      <c r="N715" s="7"/>
      <c r="O715" s="7"/>
      <c r="P715" s="7"/>
      <c r="Q715" s="7"/>
      <c r="R715" s="7"/>
      <c r="S715" s="7"/>
      <c r="T715" s="7"/>
      <c r="U715" s="7"/>
      <c r="V715" s="7"/>
      <c r="W715" s="7"/>
      <c r="X715" s="7"/>
      <c r="Y715" s="7"/>
      <c r="Z715" s="7"/>
    </row>
    <row r="716" spans="1:26" ht="21" customHeight="1" x14ac:dyDescent="0.2">
      <c r="A716" s="7"/>
      <c r="B716" s="6"/>
      <c r="C716" s="7"/>
      <c r="D716" s="7"/>
      <c r="E716" s="6"/>
      <c r="F716" s="6"/>
      <c r="G716" s="6"/>
      <c r="H716" s="6"/>
      <c r="I716" s="6"/>
      <c r="J716" s="7"/>
      <c r="K716" s="7"/>
      <c r="L716" s="7"/>
      <c r="M716" s="7"/>
      <c r="N716" s="7"/>
      <c r="O716" s="7"/>
      <c r="P716" s="7"/>
      <c r="Q716" s="7"/>
      <c r="R716" s="7"/>
      <c r="S716" s="7"/>
      <c r="T716" s="7"/>
      <c r="U716" s="7"/>
      <c r="V716" s="7"/>
      <c r="W716" s="7"/>
      <c r="X716" s="7"/>
      <c r="Y716" s="7"/>
      <c r="Z716" s="7"/>
    </row>
    <row r="717" spans="1:26" ht="21" customHeight="1" x14ac:dyDescent="0.2">
      <c r="A717" s="7"/>
      <c r="B717" s="6"/>
      <c r="C717" s="7"/>
      <c r="D717" s="7"/>
      <c r="E717" s="6"/>
      <c r="F717" s="6"/>
      <c r="G717" s="6"/>
      <c r="H717" s="6"/>
      <c r="I717" s="6"/>
      <c r="J717" s="7"/>
      <c r="K717" s="7"/>
      <c r="L717" s="7"/>
      <c r="M717" s="7"/>
      <c r="N717" s="7"/>
      <c r="O717" s="7"/>
      <c r="P717" s="7"/>
      <c r="Q717" s="7"/>
      <c r="R717" s="7"/>
      <c r="S717" s="7"/>
      <c r="T717" s="7"/>
      <c r="U717" s="7"/>
      <c r="V717" s="7"/>
      <c r="W717" s="7"/>
      <c r="X717" s="7"/>
      <c r="Y717" s="7"/>
      <c r="Z717" s="7"/>
    </row>
    <row r="718" spans="1:26" ht="21" customHeight="1" x14ac:dyDescent="0.2">
      <c r="A718" s="7"/>
      <c r="B718" s="6"/>
      <c r="C718" s="7"/>
      <c r="D718" s="7"/>
      <c r="E718" s="6"/>
      <c r="F718" s="6"/>
      <c r="G718" s="6"/>
      <c r="H718" s="6"/>
      <c r="I718" s="6"/>
      <c r="J718" s="7"/>
      <c r="K718" s="7"/>
      <c r="L718" s="7"/>
      <c r="M718" s="7"/>
      <c r="N718" s="7"/>
      <c r="O718" s="7"/>
      <c r="P718" s="7"/>
      <c r="Q718" s="7"/>
      <c r="R718" s="7"/>
      <c r="S718" s="7"/>
      <c r="T718" s="7"/>
      <c r="U718" s="7"/>
      <c r="V718" s="7"/>
      <c r="W718" s="7"/>
      <c r="X718" s="7"/>
      <c r="Y718" s="7"/>
      <c r="Z718" s="7"/>
    </row>
    <row r="719" spans="1:26" ht="21" customHeight="1" x14ac:dyDescent="0.2">
      <c r="A719" s="7"/>
      <c r="B719" s="6"/>
      <c r="C719" s="7"/>
      <c r="D719" s="7"/>
      <c r="E719" s="6"/>
      <c r="F719" s="6"/>
      <c r="G719" s="6"/>
      <c r="H719" s="6"/>
      <c r="I719" s="6"/>
      <c r="J719" s="7"/>
      <c r="K719" s="7"/>
      <c r="L719" s="7"/>
      <c r="M719" s="7"/>
      <c r="N719" s="7"/>
      <c r="O719" s="7"/>
      <c r="P719" s="7"/>
      <c r="Q719" s="7"/>
      <c r="R719" s="7"/>
      <c r="S719" s="7"/>
      <c r="T719" s="7"/>
      <c r="U719" s="7"/>
      <c r="V719" s="7"/>
      <c r="W719" s="7"/>
      <c r="X719" s="7"/>
      <c r="Y719" s="7"/>
      <c r="Z719" s="7"/>
    </row>
    <row r="720" spans="1:26" ht="21" customHeight="1" x14ac:dyDescent="0.2">
      <c r="A720" s="7"/>
      <c r="B720" s="6"/>
      <c r="C720" s="7"/>
      <c r="D720" s="7"/>
      <c r="E720" s="6"/>
      <c r="F720" s="6"/>
      <c r="G720" s="6"/>
      <c r="H720" s="6"/>
      <c r="I720" s="6"/>
      <c r="J720" s="7"/>
      <c r="K720" s="7"/>
      <c r="L720" s="7"/>
      <c r="M720" s="7"/>
      <c r="N720" s="7"/>
      <c r="O720" s="7"/>
      <c r="P720" s="7"/>
      <c r="Q720" s="7"/>
      <c r="R720" s="7"/>
      <c r="S720" s="7"/>
      <c r="T720" s="7"/>
      <c r="U720" s="7"/>
      <c r="V720" s="7"/>
      <c r="W720" s="7"/>
      <c r="X720" s="7"/>
      <c r="Y720" s="7"/>
      <c r="Z720" s="7"/>
    </row>
    <row r="721" spans="1:26" ht="21" customHeight="1" x14ac:dyDescent="0.2">
      <c r="A721" s="7"/>
      <c r="B721" s="6"/>
      <c r="C721" s="7"/>
      <c r="D721" s="7"/>
      <c r="E721" s="6"/>
      <c r="F721" s="6"/>
      <c r="G721" s="6"/>
      <c r="H721" s="6"/>
      <c r="I721" s="6"/>
      <c r="J721" s="7"/>
      <c r="K721" s="7"/>
      <c r="L721" s="7"/>
      <c r="M721" s="7"/>
      <c r="N721" s="7"/>
      <c r="O721" s="7"/>
      <c r="P721" s="7"/>
      <c r="Q721" s="7"/>
      <c r="R721" s="7"/>
      <c r="S721" s="7"/>
      <c r="T721" s="7"/>
      <c r="U721" s="7"/>
      <c r="V721" s="7"/>
      <c r="W721" s="7"/>
      <c r="X721" s="7"/>
      <c r="Y721" s="7"/>
      <c r="Z721" s="7"/>
    </row>
    <row r="722" spans="1:26" ht="21" customHeight="1" x14ac:dyDescent="0.2">
      <c r="A722" s="7"/>
      <c r="B722" s="6"/>
      <c r="C722" s="7"/>
      <c r="D722" s="7"/>
      <c r="E722" s="6"/>
      <c r="F722" s="6"/>
      <c r="G722" s="6"/>
      <c r="H722" s="6"/>
      <c r="I722" s="6"/>
      <c r="J722" s="7"/>
      <c r="K722" s="7"/>
      <c r="L722" s="7"/>
      <c r="M722" s="7"/>
      <c r="N722" s="7"/>
      <c r="O722" s="7"/>
      <c r="P722" s="7"/>
      <c r="Q722" s="7"/>
      <c r="R722" s="7"/>
      <c r="S722" s="7"/>
      <c r="T722" s="7"/>
      <c r="U722" s="7"/>
      <c r="V722" s="7"/>
      <c r="W722" s="7"/>
      <c r="X722" s="7"/>
      <c r="Y722" s="7"/>
      <c r="Z722" s="7"/>
    </row>
    <row r="723" spans="1:26" ht="21" customHeight="1" x14ac:dyDescent="0.2">
      <c r="A723" s="7"/>
      <c r="B723" s="6"/>
      <c r="C723" s="7"/>
      <c r="D723" s="7"/>
      <c r="E723" s="6"/>
      <c r="F723" s="6"/>
      <c r="G723" s="6"/>
      <c r="H723" s="6"/>
      <c r="I723" s="6"/>
      <c r="J723" s="7"/>
      <c r="K723" s="7"/>
      <c r="L723" s="7"/>
      <c r="M723" s="7"/>
      <c r="N723" s="7"/>
      <c r="O723" s="7"/>
      <c r="P723" s="7"/>
      <c r="Q723" s="7"/>
      <c r="R723" s="7"/>
      <c r="S723" s="7"/>
      <c r="T723" s="7"/>
      <c r="U723" s="7"/>
      <c r="V723" s="7"/>
      <c r="W723" s="7"/>
      <c r="X723" s="7"/>
      <c r="Y723" s="7"/>
      <c r="Z723" s="7"/>
    </row>
    <row r="724" spans="1:26" ht="21" customHeight="1" x14ac:dyDescent="0.2">
      <c r="A724" s="7"/>
      <c r="B724" s="6"/>
      <c r="C724" s="7"/>
      <c r="D724" s="7"/>
      <c r="E724" s="6"/>
      <c r="F724" s="6"/>
      <c r="G724" s="6"/>
      <c r="H724" s="6"/>
      <c r="I724" s="6"/>
      <c r="J724" s="7"/>
      <c r="K724" s="7"/>
      <c r="L724" s="7"/>
      <c r="M724" s="7"/>
      <c r="N724" s="7"/>
      <c r="O724" s="7"/>
      <c r="P724" s="7"/>
      <c r="Q724" s="7"/>
      <c r="R724" s="7"/>
      <c r="S724" s="7"/>
      <c r="T724" s="7"/>
      <c r="U724" s="7"/>
      <c r="V724" s="7"/>
      <c r="W724" s="7"/>
      <c r="X724" s="7"/>
      <c r="Y724" s="7"/>
      <c r="Z724" s="7"/>
    </row>
    <row r="725" spans="1:26" ht="21" customHeight="1" x14ac:dyDescent="0.2">
      <c r="A725" s="7"/>
      <c r="B725" s="6"/>
      <c r="C725" s="7"/>
      <c r="D725" s="7"/>
      <c r="E725" s="6"/>
      <c r="F725" s="6"/>
      <c r="G725" s="6"/>
      <c r="H725" s="6"/>
      <c r="I725" s="6"/>
      <c r="J725" s="7"/>
      <c r="K725" s="7"/>
      <c r="L725" s="7"/>
      <c r="M725" s="7"/>
      <c r="N725" s="7"/>
      <c r="O725" s="7"/>
      <c r="P725" s="7"/>
      <c r="Q725" s="7"/>
      <c r="R725" s="7"/>
      <c r="S725" s="7"/>
      <c r="T725" s="7"/>
      <c r="U725" s="7"/>
      <c r="V725" s="7"/>
      <c r="W725" s="7"/>
      <c r="X725" s="7"/>
      <c r="Y725" s="7"/>
      <c r="Z725" s="7"/>
    </row>
    <row r="726" spans="1:26" ht="21" customHeight="1" x14ac:dyDescent="0.2">
      <c r="A726" s="7"/>
      <c r="B726" s="6"/>
      <c r="C726" s="7"/>
      <c r="D726" s="7"/>
      <c r="E726" s="6"/>
      <c r="F726" s="6"/>
      <c r="G726" s="6"/>
      <c r="H726" s="6"/>
      <c r="I726" s="6"/>
      <c r="J726" s="7"/>
      <c r="K726" s="7"/>
      <c r="L726" s="7"/>
      <c r="M726" s="7"/>
      <c r="N726" s="7"/>
      <c r="O726" s="7"/>
      <c r="P726" s="7"/>
      <c r="Q726" s="7"/>
      <c r="R726" s="7"/>
      <c r="S726" s="7"/>
      <c r="T726" s="7"/>
      <c r="U726" s="7"/>
      <c r="V726" s="7"/>
      <c r="W726" s="7"/>
      <c r="X726" s="7"/>
      <c r="Y726" s="7"/>
      <c r="Z726" s="7"/>
    </row>
    <row r="727" spans="1:26" ht="21" customHeight="1" x14ac:dyDescent="0.2">
      <c r="A727" s="7"/>
      <c r="B727" s="6"/>
      <c r="C727" s="7"/>
      <c r="D727" s="7"/>
      <c r="E727" s="6"/>
      <c r="F727" s="6"/>
      <c r="G727" s="6"/>
      <c r="H727" s="6"/>
      <c r="I727" s="6"/>
      <c r="J727" s="7"/>
      <c r="K727" s="7"/>
      <c r="L727" s="7"/>
      <c r="M727" s="7"/>
      <c r="N727" s="7"/>
      <c r="O727" s="7"/>
      <c r="P727" s="7"/>
      <c r="Q727" s="7"/>
      <c r="R727" s="7"/>
      <c r="S727" s="7"/>
      <c r="T727" s="7"/>
      <c r="U727" s="7"/>
      <c r="V727" s="7"/>
      <c r="W727" s="7"/>
      <c r="X727" s="7"/>
      <c r="Y727" s="7"/>
      <c r="Z727" s="7"/>
    </row>
    <row r="728" spans="1:26" ht="21" customHeight="1" x14ac:dyDescent="0.2">
      <c r="A728" s="7"/>
      <c r="B728" s="6"/>
      <c r="C728" s="7"/>
      <c r="D728" s="7"/>
      <c r="E728" s="6"/>
      <c r="F728" s="6"/>
      <c r="G728" s="6"/>
      <c r="H728" s="6"/>
      <c r="I728" s="6"/>
      <c r="J728" s="7"/>
      <c r="K728" s="7"/>
      <c r="L728" s="7"/>
      <c r="M728" s="7"/>
      <c r="N728" s="7"/>
      <c r="O728" s="7"/>
      <c r="P728" s="7"/>
      <c r="Q728" s="7"/>
      <c r="R728" s="7"/>
      <c r="S728" s="7"/>
      <c r="T728" s="7"/>
      <c r="U728" s="7"/>
      <c r="V728" s="7"/>
      <c r="W728" s="7"/>
      <c r="X728" s="7"/>
      <c r="Y728" s="7"/>
      <c r="Z728" s="7"/>
    </row>
    <row r="729" spans="1:26" ht="21" customHeight="1" x14ac:dyDescent="0.2">
      <c r="A729" s="7"/>
      <c r="B729" s="6"/>
      <c r="C729" s="7"/>
      <c r="D729" s="7"/>
      <c r="E729" s="6"/>
      <c r="F729" s="6"/>
      <c r="G729" s="6"/>
      <c r="H729" s="6"/>
      <c r="I729" s="6"/>
      <c r="J729" s="7"/>
      <c r="K729" s="7"/>
      <c r="L729" s="7"/>
      <c r="M729" s="7"/>
      <c r="N729" s="7"/>
      <c r="O729" s="7"/>
      <c r="P729" s="7"/>
      <c r="Q729" s="7"/>
      <c r="R729" s="7"/>
      <c r="S729" s="7"/>
      <c r="T729" s="7"/>
      <c r="U729" s="7"/>
      <c r="V729" s="7"/>
      <c r="W729" s="7"/>
      <c r="X729" s="7"/>
      <c r="Y729" s="7"/>
      <c r="Z729" s="7"/>
    </row>
    <row r="730" spans="1:26" ht="21" customHeight="1" x14ac:dyDescent="0.2">
      <c r="A730" s="7"/>
      <c r="B730" s="6"/>
      <c r="C730" s="7"/>
      <c r="D730" s="7"/>
      <c r="E730" s="6"/>
      <c r="F730" s="6"/>
      <c r="G730" s="6"/>
      <c r="H730" s="6"/>
      <c r="I730" s="6"/>
      <c r="J730" s="7"/>
      <c r="K730" s="7"/>
      <c r="L730" s="7"/>
      <c r="M730" s="7"/>
      <c r="N730" s="7"/>
      <c r="O730" s="7"/>
      <c r="P730" s="7"/>
      <c r="Q730" s="7"/>
      <c r="R730" s="7"/>
      <c r="S730" s="7"/>
      <c r="T730" s="7"/>
      <c r="U730" s="7"/>
      <c r="V730" s="7"/>
      <c r="W730" s="7"/>
      <c r="X730" s="7"/>
      <c r="Y730" s="7"/>
      <c r="Z730" s="7"/>
    </row>
    <row r="731" spans="1:26" ht="21" customHeight="1" x14ac:dyDescent="0.2">
      <c r="A731" s="7"/>
      <c r="B731" s="6"/>
      <c r="C731" s="7"/>
      <c r="D731" s="7"/>
      <c r="E731" s="6"/>
      <c r="F731" s="6"/>
      <c r="G731" s="6"/>
      <c r="H731" s="6"/>
      <c r="I731" s="6"/>
      <c r="J731" s="7"/>
      <c r="K731" s="7"/>
      <c r="L731" s="7"/>
      <c r="M731" s="7"/>
      <c r="N731" s="7"/>
      <c r="O731" s="7"/>
      <c r="P731" s="7"/>
      <c r="Q731" s="7"/>
      <c r="R731" s="7"/>
      <c r="S731" s="7"/>
      <c r="T731" s="7"/>
      <c r="U731" s="7"/>
      <c r="V731" s="7"/>
      <c r="W731" s="7"/>
      <c r="X731" s="7"/>
      <c r="Y731" s="7"/>
      <c r="Z731" s="7"/>
    </row>
    <row r="732" spans="1:26" ht="21" customHeight="1" x14ac:dyDescent="0.2">
      <c r="A732" s="7"/>
      <c r="B732" s="6"/>
      <c r="C732" s="7"/>
      <c r="D732" s="7"/>
      <c r="E732" s="6"/>
      <c r="F732" s="6"/>
      <c r="G732" s="6"/>
      <c r="H732" s="6"/>
      <c r="I732" s="6"/>
      <c r="J732" s="7"/>
      <c r="K732" s="7"/>
      <c r="L732" s="7"/>
      <c r="M732" s="7"/>
      <c r="N732" s="7"/>
      <c r="O732" s="7"/>
      <c r="P732" s="7"/>
      <c r="Q732" s="7"/>
      <c r="R732" s="7"/>
      <c r="S732" s="7"/>
      <c r="T732" s="7"/>
      <c r="U732" s="7"/>
      <c r="V732" s="7"/>
      <c r="W732" s="7"/>
      <c r="X732" s="7"/>
      <c r="Y732" s="7"/>
      <c r="Z732" s="7"/>
    </row>
    <row r="733" spans="1:26" ht="21" customHeight="1" x14ac:dyDescent="0.2">
      <c r="A733" s="7"/>
      <c r="B733" s="6"/>
      <c r="C733" s="7"/>
      <c r="D733" s="7"/>
      <c r="E733" s="6"/>
      <c r="F733" s="6"/>
      <c r="G733" s="6"/>
      <c r="H733" s="6"/>
      <c r="I733" s="6"/>
      <c r="J733" s="7"/>
      <c r="K733" s="7"/>
      <c r="L733" s="7"/>
      <c r="M733" s="7"/>
      <c r="N733" s="7"/>
      <c r="O733" s="7"/>
      <c r="P733" s="7"/>
      <c r="Q733" s="7"/>
      <c r="R733" s="7"/>
      <c r="S733" s="7"/>
      <c r="T733" s="7"/>
      <c r="U733" s="7"/>
      <c r="V733" s="7"/>
      <c r="W733" s="7"/>
      <c r="X733" s="7"/>
      <c r="Y733" s="7"/>
      <c r="Z733" s="7"/>
    </row>
    <row r="734" spans="1:26" ht="21" customHeight="1" x14ac:dyDescent="0.2">
      <c r="A734" s="7"/>
      <c r="B734" s="6"/>
      <c r="C734" s="7"/>
      <c r="D734" s="7"/>
      <c r="E734" s="6"/>
      <c r="F734" s="6"/>
      <c r="G734" s="6"/>
      <c r="H734" s="6"/>
      <c r="I734" s="6"/>
      <c r="J734" s="7"/>
      <c r="K734" s="7"/>
      <c r="L734" s="7"/>
      <c r="M734" s="7"/>
      <c r="N734" s="7"/>
      <c r="O734" s="7"/>
      <c r="P734" s="7"/>
      <c r="Q734" s="7"/>
      <c r="R734" s="7"/>
      <c r="S734" s="7"/>
      <c r="T734" s="7"/>
      <c r="U734" s="7"/>
      <c r="V734" s="7"/>
      <c r="W734" s="7"/>
      <c r="X734" s="7"/>
      <c r="Y734" s="7"/>
      <c r="Z734" s="7"/>
    </row>
    <row r="735" spans="1:26" ht="21" customHeight="1" x14ac:dyDescent="0.2">
      <c r="A735" s="7"/>
      <c r="B735" s="6"/>
      <c r="C735" s="7"/>
      <c r="D735" s="7"/>
      <c r="E735" s="6"/>
      <c r="F735" s="6"/>
      <c r="G735" s="6"/>
      <c r="H735" s="6"/>
      <c r="I735" s="6"/>
      <c r="J735" s="7"/>
      <c r="K735" s="7"/>
      <c r="L735" s="7"/>
      <c r="M735" s="7"/>
      <c r="N735" s="7"/>
      <c r="O735" s="7"/>
      <c r="P735" s="7"/>
      <c r="Q735" s="7"/>
      <c r="R735" s="7"/>
      <c r="S735" s="7"/>
      <c r="T735" s="7"/>
      <c r="U735" s="7"/>
      <c r="V735" s="7"/>
      <c r="W735" s="7"/>
      <c r="X735" s="7"/>
      <c r="Y735" s="7"/>
      <c r="Z735" s="7"/>
    </row>
    <row r="736" spans="1:26" ht="21" customHeight="1" x14ac:dyDescent="0.2">
      <c r="A736" s="7"/>
      <c r="B736" s="6"/>
      <c r="C736" s="7"/>
      <c r="D736" s="7"/>
      <c r="E736" s="6"/>
      <c r="F736" s="6"/>
      <c r="G736" s="6"/>
      <c r="H736" s="6"/>
      <c r="I736" s="6"/>
      <c r="J736" s="7"/>
      <c r="K736" s="7"/>
      <c r="L736" s="7"/>
      <c r="M736" s="7"/>
      <c r="N736" s="7"/>
      <c r="O736" s="7"/>
      <c r="P736" s="7"/>
      <c r="Q736" s="7"/>
      <c r="R736" s="7"/>
      <c r="S736" s="7"/>
      <c r="T736" s="7"/>
      <c r="U736" s="7"/>
      <c r="V736" s="7"/>
      <c r="W736" s="7"/>
      <c r="X736" s="7"/>
      <c r="Y736" s="7"/>
      <c r="Z736" s="7"/>
    </row>
    <row r="737" spans="1:26" ht="21" customHeight="1" x14ac:dyDescent="0.2">
      <c r="A737" s="7"/>
      <c r="B737" s="6"/>
      <c r="C737" s="7"/>
      <c r="D737" s="7"/>
      <c r="E737" s="6"/>
      <c r="F737" s="6"/>
      <c r="G737" s="6"/>
      <c r="H737" s="6"/>
      <c r="I737" s="6"/>
      <c r="J737" s="7"/>
      <c r="K737" s="7"/>
      <c r="L737" s="7"/>
      <c r="M737" s="7"/>
      <c r="N737" s="7"/>
      <c r="O737" s="7"/>
      <c r="P737" s="7"/>
      <c r="Q737" s="7"/>
      <c r="R737" s="7"/>
      <c r="S737" s="7"/>
      <c r="T737" s="7"/>
      <c r="U737" s="7"/>
      <c r="V737" s="7"/>
      <c r="W737" s="7"/>
      <c r="X737" s="7"/>
      <c r="Y737" s="7"/>
      <c r="Z737" s="7"/>
    </row>
    <row r="738" spans="1:26" ht="21" customHeight="1" x14ac:dyDescent="0.2">
      <c r="A738" s="7"/>
      <c r="B738" s="6"/>
      <c r="C738" s="7"/>
      <c r="D738" s="7"/>
      <c r="E738" s="6"/>
      <c r="F738" s="6"/>
      <c r="G738" s="6"/>
      <c r="H738" s="6"/>
      <c r="I738" s="6"/>
      <c r="J738" s="7"/>
      <c r="K738" s="7"/>
      <c r="L738" s="7"/>
      <c r="M738" s="7"/>
      <c r="N738" s="7"/>
      <c r="O738" s="7"/>
      <c r="P738" s="7"/>
      <c r="Q738" s="7"/>
      <c r="R738" s="7"/>
      <c r="S738" s="7"/>
      <c r="T738" s="7"/>
      <c r="U738" s="7"/>
      <c r="V738" s="7"/>
      <c r="W738" s="7"/>
      <c r="X738" s="7"/>
      <c r="Y738" s="7"/>
      <c r="Z738" s="7"/>
    </row>
    <row r="739" spans="1:26" ht="21" customHeight="1" x14ac:dyDescent="0.2">
      <c r="A739" s="7"/>
      <c r="B739" s="6"/>
      <c r="C739" s="7"/>
      <c r="D739" s="7"/>
      <c r="E739" s="6"/>
      <c r="F739" s="6"/>
      <c r="G739" s="6"/>
      <c r="H739" s="6"/>
      <c r="I739" s="6"/>
      <c r="J739" s="7"/>
      <c r="K739" s="7"/>
      <c r="L739" s="7"/>
      <c r="M739" s="7"/>
      <c r="N739" s="7"/>
      <c r="O739" s="7"/>
      <c r="P739" s="7"/>
      <c r="Q739" s="7"/>
      <c r="R739" s="7"/>
      <c r="S739" s="7"/>
      <c r="T739" s="7"/>
      <c r="U739" s="7"/>
      <c r="V739" s="7"/>
      <c r="W739" s="7"/>
      <c r="X739" s="7"/>
      <c r="Y739" s="7"/>
      <c r="Z739" s="7"/>
    </row>
    <row r="740" spans="1:26" ht="21" customHeight="1" x14ac:dyDescent="0.2">
      <c r="A740" s="7"/>
      <c r="B740" s="6"/>
      <c r="C740" s="7"/>
      <c r="D740" s="7"/>
      <c r="E740" s="6"/>
      <c r="F740" s="6"/>
      <c r="G740" s="6"/>
      <c r="H740" s="6"/>
      <c r="I740" s="6"/>
      <c r="J740" s="7"/>
      <c r="K740" s="7"/>
      <c r="L740" s="7"/>
      <c r="M740" s="7"/>
      <c r="N740" s="7"/>
      <c r="O740" s="7"/>
      <c r="P740" s="7"/>
      <c r="Q740" s="7"/>
      <c r="R740" s="7"/>
      <c r="S740" s="7"/>
      <c r="T740" s="7"/>
      <c r="U740" s="7"/>
      <c r="V740" s="7"/>
      <c r="W740" s="7"/>
      <c r="X740" s="7"/>
      <c r="Y740" s="7"/>
      <c r="Z740" s="7"/>
    </row>
    <row r="741" spans="1:26" ht="21" customHeight="1" x14ac:dyDescent="0.2">
      <c r="A741" s="7"/>
      <c r="B741" s="6"/>
      <c r="C741" s="7"/>
      <c r="D741" s="7"/>
      <c r="E741" s="6"/>
      <c r="F741" s="6"/>
      <c r="G741" s="6"/>
      <c r="H741" s="6"/>
      <c r="I741" s="6"/>
      <c r="J741" s="7"/>
      <c r="K741" s="7"/>
      <c r="L741" s="7"/>
      <c r="M741" s="7"/>
      <c r="N741" s="7"/>
      <c r="O741" s="7"/>
      <c r="P741" s="7"/>
      <c r="Q741" s="7"/>
      <c r="R741" s="7"/>
      <c r="S741" s="7"/>
      <c r="T741" s="7"/>
      <c r="U741" s="7"/>
      <c r="V741" s="7"/>
      <c r="W741" s="7"/>
      <c r="X741" s="7"/>
      <c r="Y741" s="7"/>
      <c r="Z741" s="7"/>
    </row>
    <row r="742" spans="1:26" ht="21" customHeight="1" x14ac:dyDescent="0.2">
      <c r="A742" s="7"/>
      <c r="B742" s="6"/>
      <c r="C742" s="7"/>
      <c r="D742" s="7"/>
      <c r="E742" s="6"/>
      <c r="F742" s="6"/>
      <c r="G742" s="6"/>
      <c r="H742" s="6"/>
      <c r="I742" s="6"/>
      <c r="J742" s="7"/>
      <c r="K742" s="7"/>
      <c r="L742" s="7"/>
      <c r="M742" s="7"/>
      <c r="N742" s="7"/>
      <c r="O742" s="7"/>
      <c r="P742" s="7"/>
      <c r="Q742" s="7"/>
      <c r="R742" s="7"/>
      <c r="S742" s="7"/>
      <c r="T742" s="7"/>
      <c r="U742" s="7"/>
      <c r="V742" s="7"/>
      <c r="W742" s="7"/>
      <c r="X742" s="7"/>
      <c r="Y742" s="7"/>
      <c r="Z742" s="7"/>
    </row>
    <row r="743" spans="1:26" ht="21" customHeight="1" x14ac:dyDescent="0.2">
      <c r="A743" s="7"/>
      <c r="B743" s="6"/>
      <c r="C743" s="7"/>
      <c r="D743" s="7"/>
      <c r="E743" s="6"/>
      <c r="F743" s="6"/>
      <c r="G743" s="6"/>
      <c r="H743" s="6"/>
      <c r="I743" s="6"/>
      <c r="J743" s="7"/>
      <c r="K743" s="7"/>
      <c r="L743" s="7"/>
      <c r="M743" s="7"/>
      <c r="N743" s="7"/>
      <c r="O743" s="7"/>
      <c r="P743" s="7"/>
      <c r="Q743" s="7"/>
      <c r="R743" s="7"/>
      <c r="S743" s="7"/>
      <c r="T743" s="7"/>
      <c r="U743" s="7"/>
      <c r="V743" s="7"/>
      <c r="W743" s="7"/>
      <c r="X743" s="7"/>
      <c r="Y743" s="7"/>
      <c r="Z743" s="7"/>
    </row>
    <row r="744" spans="1:26" ht="21" customHeight="1" x14ac:dyDescent="0.2">
      <c r="A744" s="7"/>
      <c r="B744" s="6"/>
      <c r="C744" s="7"/>
      <c r="D744" s="7"/>
      <c r="E744" s="6"/>
      <c r="F744" s="6"/>
      <c r="G744" s="6"/>
      <c r="H744" s="6"/>
      <c r="I744" s="6"/>
      <c r="J744" s="7"/>
      <c r="K744" s="7"/>
      <c r="L744" s="7"/>
      <c r="M744" s="7"/>
      <c r="N744" s="7"/>
      <c r="O744" s="7"/>
      <c r="P744" s="7"/>
      <c r="Q744" s="7"/>
      <c r="R744" s="7"/>
      <c r="S744" s="7"/>
      <c r="T744" s="7"/>
      <c r="U744" s="7"/>
      <c r="V744" s="7"/>
      <c r="W744" s="7"/>
      <c r="X744" s="7"/>
      <c r="Y744" s="7"/>
      <c r="Z744" s="7"/>
    </row>
    <row r="745" spans="1:26" ht="21" customHeight="1" x14ac:dyDescent="0.2">
      <c r="A745" s="7"/>
      <c r="B745" s="6"/>
      <c r="C745" s="7"/>
      <c r="D745" s="7"/>
      <c r="E745" s="6"/>
      <c r="F745" s="6"/>
      <c r="G745" s="6"/>
      <c r="H745" s="6"/>
      <c r="I745" s="6"/>
      <c r="J745" s="7"/>
      <c r="K745" s="7"/>
      <c r="L745" s="7"/>
      <c r="M745" s="7"/>
      <c r="N745" s="7"/>
      <c r="O745" s="7"/>
      <c r="P745" s="7"/>
      <c r="Q745" s="7"/>
      <c r="R745" s="7"/>
      <c r="S745" s="7"/>
      <c r="T745" s="7"/>
      <c r="U745" s="7"/>
      <c r="V745" s="7"/>
      <c r="W745" s="7"/>
      <c r="X745" s="7"/>
      <c r="Y745" s="7"/>
      <c r="Z745" s="7"/>
    </row>
    <row r="746" spans="1:26" ht="21" customHeight="1" x14ac:dyDescent="0.2">
      <c r="A746" s="7"/>
      <c r="B746" s="6"/>
      <c r="C746" s="7"/>
      <c r="D746" s="7"/>
      <c r="E746" s="6"/>
      <c r="F746" s="6"/>
      <c r="G746" s="6"/>
      <c r="H746" s="6"/>
      <c r="I746" s="6"/>
      <c r="J746" s="7"/>
      <c r="K746" s="7"/>
      <c r="L746" s="7"/>
      <c r="M746" s="7"/>
      <c r="N746" s="7"/>
      <c r="O746" s="7"/>
      <c r="P746" s="7"/>
      <c r="Q746" s="7"/>
      <c r="R746" s="7"/>
      <c r="S746" s="7"/>
      <c r="T746" s="7"/>
      <c r="U746" s="7"/>
      <c r="V746" s="7"/>
      <c r="W746" s="7"/>
      <c r="X746" s="7"/>
      <c r="Y746" s="7"/>
      <c r="Z746" s="7"/>
    </row>
    <row r="747" spans="1:26" ht="21" customHeight="1" x14ac:dyDescent="0.2">
      <c r="A747" s="7"/>
      <c r="B747" s="6"/>
      <c r="C747" s="7"/>
      <c r="D747" s="7"/>
      <c r="E747" s="6"/>
      <c r="F747" s="6"/>
      <c r="G747" s="6"/>
      <c r="H747" s="6"/>
      <c r="I747" s="6"/>
      <c r="J747" s="7"/>
      <c r="K747" s="7"/>
      <c r="L747" s="7"/>
      <c r="M747" s="7"/>
      <c r="N747" s="7"/>
      <c r="O747" s="7"/>
      <c r="P747" s="7"/>
      <c r="Q747" s="7"/>
      <c r="R747" s="7"/>
      <c r="S747" s="7"/>
      <c r="T747" s="7"/>
      <c r="U747" s="7"/>
      <c r="V747" s="7"/>
      <c r="W747" s="7"/>
      <c r="X747" s="7"/>
      <c r="Y747" s="7"/>
      <c r="Z747" s="7"/>
    </row>
    <row r="748" spans="1:26" ht="21" customHeight="1" x14ac:dyDescent="0.2">
      <c r="A748" s="7"/>
      <c r="B748" s="6"/>
      <c r="C748" s="7"/>
      <c r="D748" s="7"/>
      <c r="E748" s="6"/>
      <c r="F748" s="6"/>
      <c r="G748" s="6"/>
      <c r="H748" s="6"/>
      <c r="I748" s="6"/>
      <c r="J748" s="7"/>
      <c r="K748" s="7"/>
      <c r="L748" s="7"/>
      <c r="M748" s="7"/>
      <c r="N748" s="7"/>
      <c r="O748" s="7"/>
      <c r="P748" s="7"/>
      <c r="Q748" s="7"/>
      <c r="R748" s="7"/>
      <c r="S748" s="7"/>
      <c r="T748" s="7"/>
      <c r="U748" s="7"/>
      <c r="V748" s="7"/>
      <c r="W748" s="7"/>
      <c r="X748" s="7"/>
      <c r="Y748" s="7"/>
      <c r="Z748" s="7"/>
    </row>
    <row r="749" spans="1:26" ht="21" customHeight="1" x14ac:dyDescent="0.2">
      <c r="A749" s="7"/>
      <c r="B749" s="6"/>
      <c r="C749" s="7"/>
      <c r="D749" s="7"/>
      <c r="E749" s="6"/>
      <c r="F749" s="6"/>
      <c r="G749" s="6"/>
      <c r="H749" s="6"/>
      <c r="I749" s="6"/>
      <c r="J749" s="7"/>
      <c r="K749" s="7"/>
      <c r="L749" s="7"/>
      <c r="M749" s="7"/>
      <c r="N749" s="7"/>
      <c r="O749" s="7"/>
      <c r="P749" s="7"/>
      <c r="Q749" s="7"/>
      <c r="R749" s="7"/>
      <c r="S749" s="7"/>
      <c r="T749" s="7"/>
      <c r="U749" s="7"/>
      <c r="V749" s="7"/>
      <c r="W749" s="7"/>
      <c r="X749" s="7"/>
      <c r="Y749" s="7"/>
      <c r="Z749" s="7"/>
    </row>
    <row r="750" spans="1:26" ht="21" customHeight="1" x14ac:dyDescent="0.2">
      <c r="A750" s="7"/>
      <c r="B750" s="6"/>
      <c r="C750" s="7"/>
      <c r="D750" s="7"/>
      <c r="E750" s="6"/>
      <c r="F750" s="6"/>
      <c r="G750" s="6"/>
      <c r="H750" s="6"/>
      <c r="I750" s="6"/>
      <c r="J750" s="7"/>
      <c r="K750" s="7"/>
      <c r="L750" s="7"/>
      <c r="M750" s="7"/>
      <c r="N750" s="7"/>
      <c r="O750" s="7"/>
      <c r="P750" s="7"/>
      <c r="Q750" s="7"/>
      <c r="R750" s="7"/>
      <c r="S750" s="7"/>
      <c r="T750" s="7"/>
      <c r="U750" s="7"/>
      <c r="V750" s="7"/>
      <c r="W750" s="7"/>
      <c r="X750" s="7"/>
      <c r="Y750" s="7"/>
      <c r="Z750" s="7"/>
    </row>
    <row r="751" spans="1:26" ht="21" customHeight="1" x14ac:dyDescent="0.2">
      <c r="A751" s="7"/>
      <c r="B751" s="6"/>
      <c r="C751" s="7"/>
      <c r="D751" s="7"/>
      <c r="E751" s="6"/>
      <c r="F751" s="6"/>
      <c r="G751" s="6"/>
      <c r="H751" s="6"/>
      <c r="I751" s="6"/>
      <c r="J751" s="7"/>
      <c r="K751" s="7"/>
      <c r="L751" s="7"/>
      <c r="M751" s="7"/>
      <c r="N751" s="7"/>
      <c r="O751" s="7"/>
      <c r="P751" s="7"/>
      <c r="Q751" s="7"/>
      <c r="R751" s="7"/>
      <c r="S751" s="7"/>
      <c r="T751" s="7"/>
      <c r="U751" s="7"/>
      <c r="V751" s="7"/>
      <c r="W751" s="7"/>
      <c r="X751" s="7"/>
      <c r="Y751" s="7"/>
      <c r="Z751" s="7"/>
    </row>
    <row r="752" spans="1:26" ht="21" customHeight="1" x14ac:dyDescent="0.2">
      <c r="A752" s="7"/>
      <c r="B752" s="6"/>
      <c r="C752" s="7"/>
      <c r="D752" s="7"/>
      <c r="E752" s="6"/>
      <c r="F752" s="6"/>
      <c r="G752" s="6"/>
      <c r="H752" s="6"/>
      <c r="I752" s="6"/>
      <c r="J752" s="7"/>
      <c r="K752" s="7"/>
      <c r="L752" s="7"/>
      <c r="M752" s="7"/>
      <c r="N752" s="7"/>
      <c r="O752" s="7"/>
      <c r="P752" s="7"/>
      <c r="Q752" s="7"/>
      <c r="R752" s="7"/>
      <c r="S752" s="7"/>
      <c r="T752" s="7"/>
      <c r="U752" s="7"/>
      <c r="V752" s="7"/>
      <c r="W752" s="7"/>
      <c r="X752" s="7"/>
      <c r="Y752" s="7"/>
      <c r="Z752" s="7"/>
    </row>
    <row r="753" spans="1:26" ht="21" customHeight="1" x14ac:dyDescent="0.2">
      <c r="A753" s="7"/>
      <c r="B753" s="6"/>
      <c r="C753" s="7"/>
      <c r="D753" s="7"/>
      <c r="E753" s="6"/>
      <c r="F753" s="6"/>
      <c r="G753" s="6"/>
      <c r="H753" s="6"/>
      <c r="I753" s="6"/>
      <c r="J753" s="7"/>
      <c r="K753" s="7"/>
      <c r="L753" s="7"/>
      <c r="M753" s="7"/>
      <c r="N753" s="7"/>
      <c r="O753" s="7"/>
      <c r="P753" s="7"/>
      <c r="Q753" s="7"/>
      <c r="R753" s="7"/>
      <c r="S753" s="7"/>
      <c r="T753" s="7"/>
      <c r="U753" s="7"/>
      <c r="V753" s="7"/>
      <c r="W753" s="7"/>
      <c r="X753" s="7"/>
      <c r="Y753" s="7"/>
      <c r="Z753" s="7"/>
    </row>
    <row r="754" spans="1:26" ht="21" customHeight="1" x14ac:dyDescent="0.2">
      <c r="A754" s="7"/>
      <c r="B754" s="6"/>
      <c r="C754" s="7"/>
      <c r="D754" s="7"/>
      <c r="E754" s="6"/>
      <c r="F754" s="6"/>
      <c r="G754" s="6"/>
      <c r="H754" s="6"/>
      <c r="I754" s="6"/>
      <c r="J754" s="7"/>
      <c r="K754" s="7"/>
      <c r="L754" s="7"/>
      <c r="M754" s="7"/>
      <c r="N754" s="7"/>
      <c r="O754" s="7"/>
      <c r="P754" s="7"/>
      <c r="Q754" s="7"/>
      <c r="R754" s="7"/>
      <c r="S754" s="7"/>
      <c r="T754" s="7"/>
      <c r="U754" s="7"/>
      <c r="V754" s="7"/>
      <c r="W754" s="7"/>
      <c r="X754" s="7"/>
      <c r="Y754" s="7"/>
      <c r="Z754" s="7"/>
    </row>
    <row r="755" spans="1:26" ht="21" customHeight="1" x14ac:dyDescent="0.2">
      <c r="A755" s="7"/>
      <c r="B755" s="6"/>
      <c r="C755" s="7"/>
      <c r="D755" s="7"/>
      <c r="E755" s="6"/>
      <c r="F755" s="6"/>
      <c r="G755" s="6"/>
      <c r="H755" s="6"/>
      <c r="I755" s="6"/>
      <c r="J755" s="7"/>
      <c r="K755" s="7"/>
      <c r="L755" s="7"/>
      <c r="M755" s="7"/>
      <c r="N755" s="7"/>
      <c r="O755" s="7"/>
      <c r="P755" s="7"/>
      <c r="Q755" s="7"/>
      <c r="R755" s="7"/>
      <c r="S755" s="7"/>
      <c r="T755" s="7"/>
      <c r="U755" s="7"/>
      <c r="V755" s="7"/>
      <c r="W755" s="7"/>
      <c r="X755" s="7"/>
      <c r="Y755" s="7"/>
      <c r="Z755" s="7"/>
    </row>
    <row r="756" spans="1:26" ht="21" customHeight="1" x14ac:dyDescent="0.2">
      <c r="A756" s="7"/>
      <c r="B756" s="6"/>
      <c r="C756" s="7"/>
      <c r="D756" s="7"/>
      <c r="E756" s="6"/>
      <c r="F756" s="6"/>
      <c r="G756" s="6"/>
      <c r="H756" s="6"/>
      <c r="I756" s="6"/>
      <c r="J756" s="7"/>
      <c r="K756" s="7"/>
      <c r="L756" s="7"/>
      <c r="M756" s="7"/>
      <c r="N756" s="7"/>
      <c r="O756" s="7"/>
      <c r="P756" s="7"/>
      <c r="Q756" s="7"/>
      <c r="R756" s="7"/>
      <c r="S756" s="7"/>
      <c r="T756" s="7"/>
      <c r="U756" s="7"/>
      <c r="V756" s="7"/>
      <c r="W756" s="7"/>
      <c r="X756" s="7"/>
      <c r="Y756" s="7"/>
      <c r="Z756" s="7"/>
    </row>
    <row r="757" spans="1:26" ht="21" customHeight="1" x14ac:dyDescent="0.2">
      <c r="A757" s="7"/>
      <c r="B757" s="6"/>
      <c r="C757" s="7"/>
      <c r="D757" s="7"/>
      <c r="E757" s="6"/>
      <c r="F757" s="6"/>
      <c r="G757" s="6"/>
      <c r="H757" s="6"/>
      <c r="I757" s="6"/>
      <c r="J757" s="7"/>
      <c r="K757" s="7"/>
      <c r="L757" s="7"/>
      <c r="M757" s="7"/>
      <c r="N757" s="7"/>
      <c r="O757" s="7"/>
      <c r="P757" s="7"/>
      <c r="Q757" s="7"/>
      <c r="R757" s="7"/>
      <c r="S757" s="7"/>
      <c r="T757" s="7"/>
      <c r="U757" s="7"/>
      <c r="V757" s="7"/>
      <c r="W757" s="7"/>
      <c r="X757" s="7"/>
      <c r="Y757" s="7"/>
      <c r="Z757" s="7"/>
    </row>
    <row r="758" spans="1:26" ht="21" customHeight="1" x14ac:dyDescent="0.2">
      <c r="A758" s="7"/>
      <c r="B758" s="6"/>
      <c r="C758" s="7"/>
      <c r="D758" s="7"/>
      <c r="E758" s="6"/>
      <c r="F758" s="6"/>
      <c r="G758" s="6"/>
      <c r="H758" s="6"/>
      <c r="I758" s="6"/>
      <c r="J758" s="7"/>
      <c r="K758" s="7"/>
      <c r="L758" s="7"/>
      <c r="M758" s="7"/>
      <c r="N758" s="7"/>
      <c r="O758" s="7"/>
      <c r="P758" s="7"/>
      <c r="Q758" s="7"/>
      <c r="R758" s="7"/>
      <c r="S758" s="7"/>
      <c r="T758" s="7"/>
      <c r="U758" s="7"/>
      <c r="V758" s="7"/>
      <c r="W758" s="7"/>
      <c r="X758" s="7"/>
      <c r="Y758" s="7"/>
      <c r="Z758" s="7"/>
    </row>
    <row r="759" spans="1:26" ht="21" customHeight="1" x14ac:dyDescent="0.2">
      <c r="A759" s="7"/>
      <c r="B759" s="6"/>
      <c r="C759" s="7"/>
      <c r="D759" s="7"/>
      <c r="E759" s="6"/>
      <c r="F759" s="6"/>
      <c r="G759" s="6"/>
      <c r="H759" s="6"/>
      <c r="I759" s="6"/>
      <c r="J759" s="7"/>
      <c r="K759" s="7"/>
      <c r="L759" s="7"/>
      <c r="M759" s="7"/>
      <c r="N759" s="7"/>
      <c r="O759" s="7"/>
      <c r="P759" s="7"/>
      <c r="Q759" s="7"/>
      <c r="R759" s="7"/>
      <c r="S759" s="7"/>
      <c r="T759" s="7"/>
      <c r="U759" s="7"/>
      <c r="V759" s="7"/>
      <c r="W759" s="7"/>
      <c r="X759" s="7"/>
      <c r="Y759" s="7"/>
      <c r="Z759" s="7"/>
    </row>
    <row r="760" spans="1:26" ht="21" customHeight="1" x14ac:dyDescent="0.2">
      <c r="A760" s="7"/>
      <c r="B760" s="6"/>
      <c r="C760" s="7"/>
      <c r="D760" s="7"/>
      <c r="E760" s="6"/>
      <c r="F760" s="6"/>
      <c r="G760" s="6"/>
      <c r="H760" s="6"/>
      <c r="I760" s="6"/>
      <c r="J760" s="7"/>
      <c r="K760" s="7"/>
      <c r="L760" s="7"/>
      <c r="M760" s="7"/>
      <c r="N760" s="7"/>
      <c r="O760" s="7"/>
      <c r="P760" s="7"/>
      <c r="Q760" s="7"/>
      <c r="R760" s="7"/>
      <c r="S760" s="7"/>
      <c r="T760" s="7"/>
      <c r="U760" s="7"/>
      <c r="V760" s="7"/>
      <c r="W760" s="7"/>
      <c r="X760" s="7"/>
      <c r="Y760" s="7"/>
      <c r="Z760" s="7"/>
    </row>
    <row r="761" spans="1:26" ht="21" customHeight="1" x14ac:dyDescent="0.2">
      <c r="A761" s="7"/>
      <c r="B761" s="6"/>
      <c r="C761" s="7"/>
      <c r="D761" s="7"/>
      <c r="E761" s="6"/>
      <c r="F761" s="6"/>
      <c r="G761" s="6"/>
      <c r="H761" s="6"/>
      <c r="I761" s="6"/>
      <c r="J761" s="7"/>
      <c r="K761" s="7"/>
      <c r="L761" s="7"/>
      <c r="M761" s="7"/>
      <c r="N761" s="7"/>
      <c r="O761" s="7"/>
      <c r="P761" s="7"/>
      <c r="Q761" s="7"/>
      <c r="R761" s="7"/>
      <c r="S761" s="7"/>
      <c r="T761" s="7"/>
      <c r="U761" s="7"/>
      <c r="V761" s="7"/>
      <c r="W761" s="7"/>
      <c r="X761" s="7"/>
      <c r="Y761" s="7"/>
      <c r="Z761" s="7"/>
    </row>
    <row r="762" spans="1:26" ht="21" customHeight="1" x14ac:dyDescent="0.2">
      <c r="A762" s="7"/>
      <c r="B762" s="6"/>
      <c r="C762" s="7"/>
      <c r="D762" s="7"/>
      <c r="E762" s="6"/>
      <c r="F762" s="6"/>
      <c r="G762" s="6"/>
      <c r="H762" s="6"/>
      <c r="I762" s="6"/>
      <c r="J762" s="7"/>
      <c r="K762" s="7"/>
      <c r="L762" s="7"/>
      <c r="M762" s="7"/>
      <c r="N762" s="7"/>
      <c r="O762" s="7"/>
      <c r="P762" s="7"/>
      <c r="Q762" s="7"/>
      <c r="R762" s="7"/>
      <c r="S762" s="7"/>
      <c r="T762" s="7"/>
      <c r="U762" s="7"/>
      <c r="V762" s="7"/>
      <c r="W762" s="7"/>
      <c r="X762" s="7"/>
      <c r="Y762" s="7"/>
      <c r="Z762" s="7"/>
    </row>
    <row r="763" spans="1:26" ht="21" customHeight="1" x14ac:dyDescent="0.2">
      <c r="A763" s="7"/>
      <c r="B763" s="6"/>
      <c r="C763" s="7"/>
      <c r="D763" s="7"/>
      <c r="E763" s="6"/>
      <c r="F763" s="6"/>
      <c r="G763" s="6"/>
      <c r="H763" s="6"/>
      <c r="I763" s="6"/>
      <c r="J763" s="7"/>
      <c r="K763" s="7"/>
      <c r="L763" s="7"/>
      <c r="M763" s="7"/>
      <c r="N763" s="7"/>
      <c r="O763" s="7"/>
      <c r="P763" s="7"/>
      <c r="Q763" s="7"/>
      <c r="R763" s="7"/>
      <c r="S763" s="7"/>
      <c r="T763" s="7"/>
      <c r="U763" s="7"/>
      <c r="V763" s="7"/>
      <c r="W763" s="7"/>
      <c r="X763" s="7"/>
      <c r="Y763" s="7"/>
      <c r="Z763" s="7"/>
    </row>
    <row r="764" spans="1:26" ht="21" customHeight="1" x14ac:dyDescent="0.2">
      <c r="A764" s="7"/>
      <c r="B764" s="6"/>
      <c r="C764" s="7"/>
      <c r="D764" s="7"/>
      <c r="E764" s="6"/>
      <c r="F764" s="6"/>
      <c r="G764" s="6"/>
      <c r="H764" s="6"/>
      <c r="I764" s="6"/>
      <c r="J764" s="7"/>
      <c r="K764" s="7"/>
      <c r="L764" s="7"/>
      <c r="M764" s="7"/>
      <c r="N764" s="7"/>
      <c r="O764" s="7"/>
      <c r="P764" s="7"/>
      <c r="Q764" s="7"/>
      <c r="R764" s="7"/>
      <c r="S764" s="7"/>
      <c r="T764" s="7"/>
      <c r="U764" s="7"/>
      <c r="V764" s="7"/>
      <c r="W764" s="7"/>
      <c r="X764" s="7"/>
      <c r="Y764" s="7"/>
      <c r="Z764" s="7"/>
    </row>
    <row r="765" spans="1:26" ht="21" customHeight="1" x14ac:dyDescent="0.2">
      <c r="A765" s="7"/>
      <c r="B765" s="6"/>
      <c r="C765" s="7"/>
      <c r="D765" s="7"/>
      <c r="E765" s="6"/>
      <c r="F765" s="6"/>
      <c r="G765" s="6"/>
      <c r="H765" s="6"/>
      <c r="I765" s="6"/>
      <c r="J765" s="7"/>
      <c r="K765" s="7"/>
      <c r="L765" s="7"/>
      <c r="M765" s="7"/>
      <c r="N765" s="7"/>
      <c r="O765" s="7"/>
      <c r="P765" s="7"/>
      <c r="Q765" s="7"/>
      <c r="R765" s="7"/>
      <c r="S765" s="7"/>
      <c r="T765" s="7"/>
      <c r="U765" s="7"/>
      <c r="V765" s="7"/>
      <c r="W765" s="7"/>
      <c r="X765" s="7"/>
      <c r="Y765" s="7"/>
      <c r="Z765" s="7"/>
    </row>
    <row r="766" spans="1:26" ht="21" customHeight="1" x14ac:dyDescent="0.2">
      <c r="A766" s="7"/>
      <c r="B766" s="6"/>
      <c r="C766" s="7"/>
      <c r="D766" s="7"/>
      <c r="E766" s="6"/>
      <c r="F766" s="6"/>
      <c r="G766" s="6"/>
      <c r="H766" s="6"/>
      <c r="I766" s="6"/>
      <c r="J766" s="7"/>
      <c r="K766" s="7"/>
      <c r="L766" s="7"/>
      <c r="M766" s="7"/>
      <c r="N766" s="7"/>
      <c r="O766" s="7"/>
      <c r="P766" s="7"/>
      <c r="Q766" s="7"/>
      <c r="R766" s="7"/>
      <c r="S766" s="7"/>
      <c r="T766" s="7"/>
      <c r="U766" s="7"/>
      <c r="V766" s="7"/>
      <c r="W766" s="7"/>
      <c r="X766" s="7"/>
      <c r="Y766" s="7"/>
      <c r="Z766" s="7"/>
    </row>
    <row r="767" spans="1:26" ht="21" customHeight="1" x14ac:dyDescent="0.2">
      <c r="A767" s="7"/>
      <c r="B767" s="6"/>
      <c r="C767" s="7"/>
      <c r="D767" s="7"/>
      <c r="E767" s="6"/>
      <c r="F767" s="6"/>
      <c r="G767" s="6"/>
      <c r="H767" s="6"/>
      <c r="I767" s="6"/>
      <c r="J767" s="7"/>
      <c r="K767" s="7"/>
      <c r="L767" s="7"/>
      <c r="M767" s="7"/>
      <c r="N767" s="7"/>
      <c r="O767" s="7"/>
      <c r="P767" s="7"/>
      <c r="Q767" s="7"/>
      <c r="R767" s="7"/>
      <c r="S767" s="7"/>
      <c r="T767" s="7"/>
      <c r="U767" s="7"/>
      <c r="V767" s="7"/>
      <c r="W767" s="7"/>
      <c r="X767" s="7"/>
      <c r="Y767" s="7"/>
      <c r="Z767" s="7"/>
    </row>
    <row r="768" spans="1:26" ht="21" customHeight="1" x14ac:dyDescent="0.2">
      <c r="A768" s="7"/>
      <c r="B768" s="6"/>
      <c r="C768" s="7"/>
      <c r="D768" s="7"/>
      <c r="E768" s="6"/>
      <c r="F768" s="6"/>
      <c r="G768" s="6"/>
      <c r="H768" s="6"/>
      <c r="I768" s="6"/>
      <c r="J768" s="7"/>
      <c r="K768" s="7"/>
      <c r="L768" s="7"/>
      <c r="M768" s="7"/>
      <c r="N768" s="7"/>
      <c r="O768" s="7"/>
      <c r="P768" s="7"/>
      <c r="Q768" s="7"/>
      <c r="R768" s="7"/>
      <c r="S768" s="7"/>
      <c r="T768" s="7"/>
      <c r="U768" s="7"/>
      <c r="V768" s="7"/>
      <c r="W768" s="7"/>
      <c r="X768" s="7"/>
      <c r="Y768" s="7"/>
      <c r="Z768" s="7"/>
    </row>
    <row r="769" spans="1:26" ht="21" customHeight="1" x14ac:dyDescent="0.2">
      <c r="A769" s="7"/>
      <c r="B769" s="6"/>
      <c r="C769" s="7"/>
      <c r="D769" s="7"/>
      <c r="E769" s="6"/>
      <c r="F769" s="6"/>
      <c r="G769" s="6"/>
      <c r="H769" s="6"/>
      <c r="I769" s="6"/>
      <c r="J769" s="7"/>
      <c r="K769" s="7"/>
      <c r="L769" s="7"/>
      <c r="M769" s="7"/>
      <c r="N769" s="7"/>
      <c r="O769" s="7"/>
      <c r="P769" s="7"/>
      <c r="Q769" s="7"/>
      <c r="R769" s="7"/>
      <c r="S769" s="7"/>
      <c r="T769" s="7"/>
      <c r="U769" s="7"/>
      <c r="V769" s="7"/>
      <c r="W769" s="7"/>
      <c r="X769" s="7"/>
      <c r="Y769" s="7"/>
      <c r="Z769" s="7"/>
    </row>
    <row r="770" spans="1:26" ht="21" customHeight="1" x14ac:dyDescent="0.2">
      <c r="A770" s="7"/>
      <c r="B770" s="6"/>
      <c r="C770" s="7"/>
      <c r="D770" s="7"/>
      <c r="E770" s="6"/>
      <c r="F770" s="6"/>
      <c r="G770" s="6"/>
      <c r="H770" s="6"/>
      <c r="I770" s="6"/>
      <c r="J770" s="7"/>
      <c r="K770" s="7"/>
      <c r="L770" s="7"/>
      <c r="M770" s="7"/>
      <c r="N770" s="7"/>
      <c r="O770" s="7"/>
      <c r="P770" s="7"/>
      <c r="Q770" s="7"/>
      <c r="R770" s="7"/>
      <c r="S770" s="7"/>
      <c r="T770" s="7"/>
      <c r="U770" s="7"/>
      <c r="V770" s="7"/>
      <c r="W770" s="7"/>
      <c r="X770" s="7"/>
      <c r="Y770" s="7"/>
      <c r="Z770" s="7"/>
    </row>
    <row r="771" spans="1:26" ht="21" customHeight="1" x14ac:dyDescent="0.2">
      <c r="A771" s="7"/>
      <c r="B771" s="6"/>
      <c r="C771" s="7"/>
      <c r="D771" s="7"/>
      <c r="E771" s="6"/>
      <c r="F771" s="6"/>
      <c r="G771" s="6"/>
      <c r="H771" s="6"/>
      <c r="I771" s="6"/>
      <c r="J771" s="7"/>
      <c r="K771" s="7"/>
      <c r="L771" s="7"/>
      <c r="M771" s="7"/>
      <c r="N771" s="7"/>
      <c r="O771" s="7"/>
      <c r="P771" s="7"/>
      <c r="Q771" s="7"/>
      <c r="R771" s="7"/>
      <c r="S771" s="7"/>
      <c r="T771" s="7"/>
      <c r="U771" s="7"/>
      <c r="V771" s="7"/>
      <c r="W771" s="7"/>
      <c r="X771" s="7"/>
      <c r="Y771" s="7"/>
      <c r="Z771" s="7"/>
    </row>
    <row r="772" spans="1:26" ht="21" customHeight="1" x14ac:dyDescent="0.2">
      <c r="A772" s="7"/>
      <c r="B772" s="6"/>
      <c r="C772" s="7"/>
      <c r="D772" s="7"/>
      <c r="E772" s="6"/>
      <c r="F772" s="6"/>
      <c r="G772" s="6"/>
      <c r="H772" s="6"/>
      <c r="I772" s="6"/>
      <c r="J772" s="7"/>
      <c r="K772" s="7"/>
      <c r="L772" s="7"/>
      <c r="M772" s="7"/>
      <c r="N772" s="7"/>
      <c r="O772" s="7"/>
      <c r="P772" s="7"/>
      <c r="Q772" s="7"/>
      <c r="R772" s="7"/>
      <c r="S772" s="7"/>
      <c r="T772" s="7"/>
      <c r="U772" s="7"/>
      <c r="V772" s="7"/>
      <c r="W772" s="7"/>
      <c r="X772" s="7"/>
      <c r="Y772" s="7"/>
      <c r="Z772" s="7"/>
    </row>
    <row r="773" spans="1:26" ht="21" customHeight="1" x14ac:dyDescent="0.2">
      <c r="A773" s="7"/>
      <c r="B773" s="6"/>
      <c r="C773" s="7"/>
      <c r="D773" s="7"/>
      <c r="E773" s="6"/>
      <c r="F773" s="6"/>
      <c r="G773" s="6"/>
      <c r="H773" s="6"/>
      <c r="I773" s="6"/>
      <c r="J773" s="7"/>
      <c r="K773" s="7"/>
      <c r="L773" s="7"/>
      <c r="M773" s="7"/>
      <c r="N773" s="7"/>
      <c r="O773" s="7"/>
      <c r="P773" s="7"/>
      <c r="Q773" s="7"/>
      <c r="R773" s="7"/>
      <c r="S773" s="7"/>
      <c r="T773" s="7"/>
      <c r="U773" s="7"/>
      <c r="V773" s="7"/>
      <c r="W773" s="7"/>
      <c r="X773" s="7"/>
      <c r="Y773" s="7"/>
      <c r="Z773" s="7"/>
    </row>
    <row r="774" spans="1:26" ht="21" customHeight="1" x14ac:dyDescent="0.2">
      <c r="A774" s="7"/>
      <c r="B774" s="6"/>
      <c r="C774" s="7"/>
      <c r="D774" s="7"/>
      <c r="E774" s="6"/>
      <c r="F774" s="6"/>
      <c r="G774" s="6"/>
      <c r="H774" s="6"/>
      <c r="I774" s="6"/>
      <c r="J774" s="7"/>
      <c r="K774" s="7"/>
      <c r="L774" s="7"/>
      <c r="M774" s="7"/>
      <c r="N774" s="7"/>
      <c r="O774" s="7"/>
      <c r="P774" s="7"/>
      <c r="Q774" s="7"/>
      <c r="R774" s="7"/>
      <c r="S774" s="7"/>
      <c r="T774" s="7"/>
      <c r="U774" s="7"/>
      <c r="V774" s="7"/>
      <c r="W774" s="7"/>
      <c r="X774" s="7"/>
      <c r="Y774" s="7"/>
      <c r="Z774" s="7"/>
    </row>
    <row r="775" spans="1:26" ht="21" customHeight="1" x14ac:dyDescent="0.2">
      <c r="A775" s="7"/>
      <c r="B775" s="6"/>
      <c r="C775" s="7"/>
      <c r="D775" s="7"/>
      <c r="E775" s="6"/>
      <c r="F775" s="6"/>
      <c r="G775" s="6"/>
      <c r="H775" s="6"/>
      <c r="I775" s="6"/>
      <c r="J775" s="7"/>
      <c r="K775" s="7"/>
      <c r="L775" s="7"/>
      <c r="M775" s="7"/>
      <c r="N775" s="7"/>
      <c r="O775" s="7"/>
      <c r="P775" s="7"/>
      <c r="Q775" s="7"/>
      <c r="R775" s="7"/>
      <c r="S775" s="7"/>
      <c r="T775" s="7"/>
      <c r="U775" s="7"/>
      <c r="V775" s="7"/>
      <c r="W775" s="7"/>
      <c r="X775" s="7"/>
      <c r="Y775" s="7"/>
      <c r="Z775" s="7"/>
    </row>
    <row r="776" spans="1:26" ht="21" customHeight="1" x14ac:dyDescent="0.2">
      <c r="A776" s="7"/>
      <c r="B776" s="6"/>
      <c r="C776" s="7"/>
      <c r="D776" s="7"/>
      <c r="E776" s="6"/>
      <c r="F776" s="6"/>
      <c r="G776" s="6"/>
      <c r="H776" s="6"/>
      <c r="I776" s="6"/>
      <c r="J776" s="7"/>
      <c r="K776" s="7"/>
      <c r="L776" s="7"/>
      <c r="M776" s="7"/>
      <c r="N776" s="7"/>
      <c r="O776" s="7"/>
      <c r="P776" s="7"/>
      <c r="Q776" s="7"/>
      <c r="R776" s="7"/>
      <c r="S776" s="7"/>
      <c r="T776" s="7"/>
      <c r="U776" s="7"/>
      <c r="V776" s="7"/>
      <c r="W776" s="7"/>
      <c r="X776" s="7"/>
      <c r="Y776" s="7"/>
      <c r="Z776" s="7"/>
    </row>
    <row r="777" spans="1:26" ht="21" customHeight="1" x14ac:dyDescent="0.2">
      <c r="A777" s="7"/>
      <c r="B777" s="6"/>
      <c r="C777" s="7"/>
      <c r="D777" s="7"/>
      <c r="E777" s="6"/>
      <c r="F777" s="6"/>
      <c r="G777" s="6"/>
      <c r="H777" s="6"/>
      <c r="I777" s="6"/>
      <c r="J777" s="7"/>
      <c r="K777" s="7"/>
      <c r="L777" s="7"/>
      <c r="M777" s="7"/>
      <c r="N777" s="7"/>
      <c r="O777" s="7"/>
      <c r="P777" s="7"/>
      <c r="Q777" s="7"/>
      <c r="R777" s="7"/>
      <c r="S777" s="7"/>
      <c r="T777" s="7"/>
      <c r="U777" s="7"/>
      <c r="V777" s="7"/>
      <c r="W777" s="7"/>
      <c r="X777" s="7"/>
      <c r="Y777" s="7"/>
      <c r="Z777" s="7"/>
    </row>
    <row r="778" spans="1:26" ht="21" customHeight="1" x14ac:dyDescent="0.2">
      <c r="A778" s="7"/>
      <c r="B778" s="6"/>
      <c r="C778" s="7"/>
      <c r="D778" s="7"/>
      <c r="E778" s="6"/>
      <c r="F778" s="6"/>
      <c r="G778" s="6"/>
      <c r="H778" s="6"/>
      <c r="I778" s="6"/>
      <c r="J778" s="7"/>
      <c r="K778" s="7"/>
      <c r="L778" s="7"/>
      <c r="M778" s="7"/>
      <c r="N778" s="7"/>
      <c r="O778" s="7"/>
      <c r="P778" s="7"/>
      <c r="Q778" s="7"/>
      <c r="R778" s="7"/>
      <c r="S778" s="7"/>
      <c r="T778" s="7"/>
      <c r="U778" s="7"/>
      <c r="V778" s="7"/>
      <c r="W778" s="7"/>
      <c r="X778" s="7"/>
      <c r="Y778" s="7"/>
      <c r="Z778" s="7"/>
    </row>
    <row r="779" spans="1:26" ht="21" customHeight="1" x14ac:dyDescent="0.2">
      <c r="A779" s="7"/>
      <c r="B779" s="6"/>
      <c r="C779" s="7"/>
      <c r="D779" s="7"/>
      <c r="E779" s="6"/>
      <c r="F779" s="6"/>
      <c r="G779" s="6"/>
      <c r="H779" s="6"/>
      <c r="I779" s="6"/>
      <c r="J779" s="7"/>
      <c r="K779" s="7"/>
      <c r="L779" s="7"/>
      <c r="M779" s="7"/>
      <c r="N779" s="7"/>
      <c r="O779" s="7"/>
      <c r="P779" s="7"/>
      <c r="Q779" s="7"/>
      <c r="R779" s="7"/>
      <c r="S779" s="7"/>
      <c r="T779" s="7"/>
      <c r="U779" s="7"/>
      <c r="V779" s="7"/>
      <c r="W779" s="7"/>
      <c r="X779" s="7"/>
      <c r="Y779" s="7"/>
      <c r="Z779" s="7"/>
    </row>
    <row r="780" spans="1:26" ht="21" customHeight="1" x14ac:dyDescent="0.2">
      <c r="A780" s="7"/>
      <c r="B780" s="6"/>
      <c r="C780" s="7"/>
      <c r="D780" s="7"/>
      <c r="E780" s="6"/>
      <c r="F780" s="6"/>
      <c r="G780" s="6"/>
      <c r="H780" s="6"/>
      <c r="I780" s="6"/>
      <c r="J780" s="7"/>
      <c r="K780" s="7"/>
      <c r="L780" s="7"/>
      <c r="M780" s="7"/>
      <c r="N780" s="7"/>
      <c r="O780" s="7"/>
      <c r="P780" s="7"/>
      <c r="Q780" s="7"/>
      <c r="R780" s="7"/>
      <c r="S780" s="7"/>
      <c r="T780" s="7"/>
      <c r="U780" s="7"/>
      <c r="V780" s="7"/>
      <c r="W780" s="7"/>
      <c r="X780" s="7"/>
      <c r="Y780" s="7"/>
      <c r="Z780" s="7"/>
    </row>
    <row r="781" spans="1:26" ht="21" customHeight="1" x14ac:dyDescent="0.2">
      <c r="A781" s="7"/>
      <c r="B781" s="6"/>
      <c r="C781" s="7"/>
      <c r="D781" s="7"/>
      <c r="E781" s="6"/>
      <c r="F781" s="6"/>
      <c r="G781" s="6"/>
      <c r="H781" s="6"/>
      <c r="I781" s="6"/>
      <c r="J781" s="7"/>
      <c r="K781" s="7"/>
      <c r="L781" s="7"/>
      <c r="M781" s="7"/>
      <c r="N781" s="7"/>
      <c r="O781" s="7"/>
      <c r="P781" s="7"/>
      <c r="Q781" s="7"/>
      <c r="R781" s="7"/>
      <c r="S781" s="7"/>
      <c r="T781" s="7"/>
      <c r="U781" s="7"/>
      <c r="V781" s="7"/>
      <c r="W781" s="7"/>
      <c r="X781" s="7"/>
      <c r="Y781" s="7"/>
      <c r="Z781" s="7"/>
    </row>
    <row r="782" spans="1:26" ht="21" customHeight="1" x14ac:dyDescent="0.2">
      <c r="A782" s="7"/>
      <c r="B782" s="6"/>
      <c r="C782" s="7"/>
      <c r="D782" s="7"/>
      <c r="E782" s="6"/>
      <c r="F782" s="6"/>
      <c r="G782" s="6"/>
      <c r="H782" s="6"/>
      <c r="I782" s="6"/>
      <c r="J782" s="7"/>
      <c r="K782" s="7"/>
      <c r="L782" s="7"/>
      <c r="M782" s="7"/>
      <c r="N782" s="7"/>
      <c r="O782" s="7"/>
      <c r="P782" s="7"/>
      <c r="Q782" s="7"/>
      <c r="R782" s="7"/>
      <c r="S782" s="7"/>
      <c r="T782" s="7"/>
      <c r="U782" s="7"/>
      <c r="V782" s="7"/>
      <c r="W782" s="7"/>
      <c r="X782" s="7"/>
      <c r="Y782" s="7"/>
      <c r="Z782" s="7"/>
    </row>
    <row r="783" spans="1:26" ht="21" customHeight="1" x14ac:dyDescent="0.2">
      <c r="A783" s="7"/>
      <c r="B783" s="6"/>
      <c r="C783" s="7"/>
      <c r="D783" s="7"/>
      <c r="E783" s="6"/>
      <c r="F783" s="6"/>
      <c r="G783" s="6"/>
      <c r="H783" s="6"/>
      <c r="I783" s="6"/>
      <c r="J783" s="7"/>
      <c r="K783" s="7"/>
      <c r="L783" s="7"/>
      <c r="M783" s="7"/>
      <c r="N783" s="7"/>
      <c r="O783" s="7"/>
      <c r="P783" s="7"/>
      <c r="Q783" s="7"/>
      <c r="R783" s="7"/>
      <c r="S783" s="7"/>
      <c r="T783" s="7"/>
      <c r="U783" s="7"/>
      <c r="V783" s="7"/>
      <c r="W783" s="7"/>
      <c r="X783" s="7"/>
      <c r="Y783" s="7"/>
      <c r="Z783" s="7"/>
    </row>
    <row r="784" spans="1:26" ht="21" customHeight="1" x14ac:dyDescent="0.2">
      <c r="A784" s="7"/>
      <c r="B784" s="6"/>
      <c r="C784" s="7"/>
      <c r="D784" s="7"/>
      <c r="E784" s="6"/>
      <c r="F784" s="6"/>
      <c r="G784" s="6"/>
      <c r="H784" s="6"/>
      <c r="I784" s="6"/>
      <c r="J784" s="7"/>
      <c r="K784" s="7"/>
      <c r="L784" s="7"/>
      <c r="M784" s="7"/>
      <c r="N784" s="7"/>
      <c r="O784" s="7"/>
      <c r="P784" s="7"/>
      <c r="Q784" s="7"/>
      <c r="R784" s="7"/>
      <c r="S784" s="7"/>
      <c r="T784" s="7"/>
      <c r="U784" s="7"/>
      <c r="V784" s="7"/>
      <c r="W784" s="7"/>
      <c r="X784" s="7"/>
      <c r="Y784" s="7"/>
      <c r="Z784" s="7"/>
    </row>
    <row r="785" spans="1:26" ht="21" customHeight="1" x14ac:dyDescent="0.2">
      <c r="A785" s="7"/>
      <c r="B785" s="6"/>
      <c r="C785" s="7"/>
      <c r="D785" s="7"/>
      <c r="E785" s="6"/>
      <c r="F785" s="6"/>
      <c r="G785" s="6"/>
      <c r="H785" s="6"/>
      <c r="I785" s="6"/>
      <c r="J785" s="7"/>
      <c r="K785" s="7"/>
      <c r="L785" s="7"/>
      <c r="M785" s="7"/>
      <c r="N785" s="7"/>
      <c r="O785" s="7"/>
      <c r="P785" s="7"/>
      <c r="Q785" s="7"/>
      <c r="R785" s="7"/>
      <c r="S785" s="7"/>
      <c r="T785" s="7"/>
      <c r="U785" s="7"/>
      <c r="V785" s="7"/>
      <c r="W785" s="7"/>
      <c r="X785" s="7"/>
      <c r="Y785" s="7"/>
      <c r="Z785" s="7"/>
    </row>
    <row r="786" spans="1:26" ht="21" customHeight="1" x14ac:dyDescent="0.2">
      <c r="A786" s="7"/>
      <c r="B786" s="6"/>
      <c r="C786" s="7"/>
      <c r="D786" s="7"/>
      <c r="E786" s="6"/>
      <c r="F786" s="6"/>
      <c r="G786" s="6"/>
      <c r="H786" s="6"/>
      <c r="I786" s="6"/>
      <c r="J786" s="7"/>
      <c r="K786" s="7"/>
      <c r="L786" s="7"/>
      <c r="M786" s="7"/>
      <c r="N786" s="7"/>
      <c r="O786" s="7"/>
      <c r="P786" s="7"/>
      <c r="Q786" s="7"/>
      <c r="R786" s="7"/>
      <c r="S786" s="7"/>
      <c r="T786" s="7"/>
      <c r="U786" s="7"/>
      <c r="V786" s="7"/>
      <c r="W786" s="7"/>
      <c r="X786" s="7"/>
      <c r="Y786" s="7"/>
      <c r="Z786" s="7"/>
    </row>
    <row r="787" spans="1:26" ht="21" customHeight="1" x14ac:dyDescent="0.2">
      <c r="A787" s="7"/>
      <c r="B787" s="6"/>
      <c r="C787" s="7"/>
      <c r="D787" s="7"/>
      <c r="E787" s="6"/>
      <c r="F787" s="6"/>
      <c r="G787" s="6"/>
      <c r="H787" s="6"/>
      <c r="I787" s="6"/>
      <c r="J787" s="7"/>
      <c r="K787" s="7"/>
      <c r="L787" s="7"/>
      <c r="M787" s="7"/>
      <c r="N787" s="7"/>
      <c r="O787" s="7"/>
      <c r="P787" s="7"/>
      <c r="Q787" s="7"/>
      <c r="R787" s="7"/>
      <c r="S787" s="7"/>
      <c r="T787" s="7"/>
      <c r="U787" s="7"/>
      <c r="V787" s="7"/>
      <c r="W787" s="7"/>
      <c r="X787" s="7"/>
      <c r="Y787" s="7"/>
      <c r="Z787" s="7"/>
    </row>
    <row r="788" spans="1:26" ht="21" customHeight="1" x14ac:dyDescent="0.2">
      <c r="A788" s="7"/>
      <c r="B788" s="6"/>
      <c r="C788" s="7"/>
      <c r="D788" s="7"/>
      <c r="E788" s="6"/>
      <c r="F788" s="6"/>
      <c r="G788" s="6"/>
      <c r="H788" s="6"/>
      <c r="I788" s="6"/>
      <c r="J788" s="7"/>
      <c r="K788" s="7"/>
      <c r="L788" s="7"/>
      <c r="M788" s="7"/>
      <c r="N788" s="7"/>
      <c r="O788" s="7"/>
      <c r="P788" s="7"/>
      <c r="Q788" s="7"/>
      <c r="R788" s="7"/>
      <c r="S788" s="7"/>
      <c r="T788" s="7"/>
      <c r="U788" s="7"/>
      <c r="V788" s="7"/>
      <c r="W788" s="7"/>
      <c r="X788" s="7"/>
      <c r="Y788" s="7"/>
      <c r="Z788" s="7"/>
    </row>
    <row r="789" spans="1:26" ht="21" customHeight="1" x14ac:dyDescent="0.2">
      <c r="A789" s="7"/>
      <c r="B789" s="6"/>
      <c r="C789" s="7"/>
      <c r="D789" s="7"/>
      <c r="E789" s="6"/>
      <c r="F789" s="6"/>
      <c r="G789" s="6"/>
      <c r="H789" s="6"/>
      <c r="I789" s="6"/>
      <c r="J789" s="7"/>
      <c r="K789" s="7"/>
      <c r="L789" s="7"/>
      <c r="M789" s="7"/>
      <c r="N789" s="7"/>
      <c r="O789" s="7"/>
      <c r="P789" s="7"/>
      <c r="Q789" s="7"/>
      <c r="R789" s="7"/>
      <c r="S789" s="7"/>
      <c r="T789" s="7"/>
      <c r="U789" s="7"/>
      <c r="V789" s="7"/>
      <c r="W789" s="7"/>
      <c r="X789" s="7"/>
      <c r="Y789" s="7"/>
      <c r="Z789" s="7"/>
    </row>
    <row r="790" spans="1:26" ht="21" customHeight="1" x14ac:dyDescent="0.2">
      <c r="A790" s="7"/>
      <c r="B790" s="6"/>
      <c r="C790" s="7"/>
      <c r="D790" s="7"/>
      <c r="E790" s="6"/>
      <c r="F790" s="6"/>
      <c r="G790" s="6"/>
      <c r="H790" s="6"/>
      <c r="I790" s="6"/>
      <c r="J790" s="7"/>
      <c r="K790" s="7"/>
      <c r="L790" s="7"/>
      <c r="M790" s="7"/>
      <c r="N790" s="7"/>
      <c r="O790" s="7"/>
      <c r="P790" s="7"/>
      <c r="Q790" s="7"/>
      <c r="R790" s="7"/>
      <c r="S790" s="7"/>
      <c r="T790" s="7"/>
      <c r="U790" s="7"/>
      <c r="V790" s="7"/>
      <c r="W790" s="7"/>
      <c r="X790" s="7"/>
      <c r="Y790" s="7"/>
      <c r="Z790" s="7"/>
    </row>
    <row r="791" spans="1:26" ht="21" customHeight="1" x14ac:dyDescent="0.2">
      <c r="A791" s="7"/>
      <c r="B791" s="6"/>
      <c r="C791" s="7"/>
      <c r="D791" s="7"/>
      <c r="E791" s="6"/>
      <c r="F791" s="6"/>
      <c r="G791" s="6"/>
      <c r="H791" s="6"/>
      <c r="I791" s="6"/>
      <c r="J791" s="7"/>
      <c r="K791" s="7"/>
      <c r="L791" s="7"/>
      <c r="M791" s="7"/>
      <c r="N791" s="7"/>
      <c r="O791" s="7"/>
      <c r="P791" s="7"/>
      <c r="Q791" s="7"/>
      <c r="R791" s="7"/>
      <c r="S791" s="7"/>
      <c r="T791" s="7"/>
      <c r="U791" s="7"/>
      <c r="V791" s="7"/>
      <c r="W791" s="7"/>
      <c r="X791" s="7"/>
      <c r="Y791" s="7"/>
      <c r="Z791" s="7"/>
    </row>
    <row r="792" spans="1:26" ht="21" customHeight="1" x14ac:dyDescent="0.2">
      <c r="A792" s="7"/>
      <c r="B792" s="6"/>
      <c r="C792" s="7"/>
      <c r="D792" s="7"/>
      <c r="E792" s="6"/>
      <c r="F792" s="6"/>
      <c r="G792" s="6"/>
      <c r="H792" s="6"/>
      <c r="I792" s="6"/>
      <c r="J792" s="7"/>
      <c r="K792" s="7"/>
      <c r="L792" s="7"/>
      <c r="M792" s="7"/>
      <c r="N792" s="7"/>
      <c r="O792" s="7"/>
      <c r="P792" s="7"/>
      <c r="Q792" s="7"/>
      <c r="R792" s="7"/>
      <c r="S792" s="7"/>
      <c r="T792" s="7"/>
      <c r="U792" s="7"/>
      <c r="V792" s="7"/>
      <c r="W792" s="7"/>
      <c r="X792" s="7"/>
      <c r="Y792" s="7"/>
      <c r="Z792" s="7"/>
    </row>
    <row r="793" spans="1:26" ht="21" customHeight="1" x14ac:dyDescent="0.2">
      <c r="A793" s="7"/>
      <c r="B793" s="6"/>
      <c r="C793" s="7"/>
      <c r="D793" s="7"/>
      <c r="E793" s="6"/>
      <c r="F793" s="6"/>
      <c r="G793" s="6"/>
      <c r="H793" s="6"/>
      <c r="I793" s="6"/>
      <c r="J793" s="7"/>
      <c r="K793" s="7"/>
      <c r="L793" s="7"/>
      <c r="M793" s="7"/>
      <c r="N793" s="7"/>
      <c r="O793" s="7"/>
      <c r="P793" s="7"/>
      <c r="Q793" s="7"/>
      <c r="R793" s="7"/>
      <c r="S793" s="7"/>
      <c r="T793" s="7"/>
      <c r="U793" s="7"/>
      <c r="V793" s="7"/>
      <c r="W793" s="7"/>
      <c r="X793" s="7"/>
      <c r="Y793" s="7"/>
      <c r="Z793" s="7"/>
    </row>
    <row r="794" spans="1:26" ht="21" customHeight="1" x14ac:dyDescent="0.2">
      <c r="A794" s="7"/>
      <c r="B794" s="6"/>
      <c r="C794" s="7"/>
      <c r="D794" s="7"/>
      <c r="E794" s="6"/>
      <c r="F794" s="6"/>
      <c r="G794" s="6"/>
      <c r="H794" s="6"/>
      <c r="I794" s="6"/>
      <c r="J794" s="7"/>
      <c r="K794" s="7"/>
      <c r="L794" s="7"/>
      <c r="M794" s="7"/>
      <c r="N794" s="7"/>
      <c r="O794" s="7"/>
      <c r="P794" s="7"/>
      <c r="Q794" s="7"/>
      <c r="R794" s="7"/>
      <c r="S794" s="7"/>
      <c r="T794" s="7"/>
      <c r="U794" s="7"/>
      <c r="V794" s="7"/>
      <c r="W794" s="7"/>
      <c r="X794" s="7"/>
      <c r="Y794" s="7"/>
      <c r="Z794" s="7"/>
    </row>
    <row r="795" spans="1:26" ht="21" customHeight="1" x14ac:dyDescent="0.2">
      <c r="A795" s="7"/>
      <c r="B795" s="6"/>
      <c r="C795" s="7"/>
      <c r="D795" s="7"/>
      <c r="E795" s="6"/>
      <c r="F795" s="6"/>
      <c r="G795" s="6"/>
      <c r="H795" s="6"/>
      <c r="I795" s="6"/>
      <c r="J795" s="7"/>
      <c r="K795" s="7"/>
      <c r="L795" s="7"/>
      <c r="M795" s="7"/>
      <c r="N795" s="7"/>
      <c r="O795" s="7"/>
      <c r="P795" s="7"/>
      <c r="Q795" s="7"/>
      <c r="R795" s="7"/>
      <c r="S795" s="7"/>
      <c r="T795" s="7"/>
      <c r="U795" s="7"/>
      <c r="V795" s="7"/>
      <c r="W795" s="7"/>
      <c r="X795" s="7"/>
      <c r="Y795" s="7"/>
      <c r="Z795" s="7"/>
    </row>
    <row r="796" spans="1:26" ht="21" customHeight="1" x14ac:dyDescent="0.2">
      <c r="A796" s="7"/>
      <c r="B796" s="6"/>
      <c r="C796" s="7"/>
      <c r="D796" s="7"/>
      <c r="E796" s="6"/>
      <c r="F796" s="6"/>
      <c r="G796" s="6"/>
      <c r="H796" s="6"/>
      <c r="I796" s="6"/>
      <c r="J796" s="7"/>
      <c r="K796" s="7"/>
      <c r="L796" s="7"/>
      <c r="M796" s="7"/>
      <c r="N796" s="7"/>
      <c r="O796" s="7"/>
      <c r="P796" s="7"/>
      <c r="Q796" s="7"/>
      <c r="R796" s="7"/>
      <c r="S796" s="7"/>
      <c r="T796" s="7"/>
      <c r="U796" s="7"/>
      <c r="V796" s="7"/>
      <c r="W796" s="7"/>
      <c r="X796" s="7"/>
      <c r="Y796" s="7"/>
      <c r="Z796" s="7"/>
    </row>
    <row r="797" spans="1:26" ht="21" customHeight="1" x14ac:dyDescent="0.2">
      <c r="A797" s="7"/>
      <c r="B797" s="6"/>
      <c r="C797" s="7"/>
      <c r="D797" s="7"/>
      <c r="E797" s="6"/>
      <c r="F797" s="6"/>
      <c r="G797" s="6"/>
      <c r="H797" s="6"/>
      <c r="I797" s="6"/>
      <c r="J797" s="7"/>
      <c r="K797" s="7"/>
      <c r="L797" s="7"/>
      <c r="M797" s="7"/>
      <c r="N797" s="7"/>
      <c r="O797" s="7"/>
      <c r="P797" s="7"/>
      <c r="Q797" s="7"/>
      <c r="R797" s="7"/>
      <c r="S797" s="7"/>
      <c r="T797" s="7"/>
      <c r="U797" s="7"/>
      <c r="V797" s="7"/>
      <c r="W797" s="7"/>
      <c r="X797" s="7"/>
      <c r="Y797" s="7"/>
      <c r="Z797" s="7"/>
    </row>
    <row r="798" spans="1:26" ht="21" customHeight="1" x14ac:dyDescent="0.2">
      <c r="A798" s="7"/>
      <c r="B798" s="6"/>
      <c r="C798" s="7"/>
      <c r="D798" s="7"/>
      <c r="E798" s="6"/>
      <c r="F798" s="6"/>
      <c r="G798" s="6"/>
      <c r="H798" s="6"/>
      <c r="I798" s="6"/>
      <c r="J798" s="7"/>
      <c r="K798" s="7"/>
      <c r="L798" s="7"/>
      <c r="M798" s="7"/>
      <c r="N798" s="7"/>
      <c r="O798" s="7"/>
      <c r="P798" s="7"/>
      <c r="Q798" s="7"/>
      <c r="R798" s="7"/>
      <c r="S798" s="7"/>
      <c r="T798" s="7"/>
      <c r="U798" s="7"/>
      <c r="V798" s="7"/>
      <c r="W798" s="7"/>
      <c r="X798" s="7"/>
      <c r="Y798" s="7"/>
      <c r="Z798" s="7"/>
    </row>
    <row r="799" spans="1:26" ht="21" customHeight="1" x14ac:dyDescent="0.2">
      <c r="A799" s="7"/>
      <c r="B799" s="6"/>
      <c r="C799" s="7"/>
      <c r="D799" s="7"/>
      <c r="E799" s="6"/>
      <c r="F799" s="6"/>
      <c r="G799" s="6"/>
      <c r="H799" s="6"/>
      <c r="I799" s="6"/>
      <c r="J799" s="7"/>
      <c r="K799" s="7"/>
      <c r="L799" s="7"/>
      <c r="M799" s="7"/>
      <c r="N799" s="7"/>
      <c r="O799" s="7"/>
      <c r="P799" s="7"/>
      <c r="Q799" s="7"/>
      <c r="R799" s="7"/>
      <c r="S799" s="7"/>
      <c r="T799" s="7"/>
      <c r="U799" s="7"/>
      <c r="V799" s="7"/>
      <c r="W799" s="7"/>
      <c r="X799" s="7"/>
      <c r="Y799" s="7"/>
      <c r="Z799" s="7"/>
    </row>
    <row r="800" spans="1:26" ht="21" customHeight="1" x14ac:dyDescent="0.2">
      <c r="A800" s="7"/>
      <c r="B800" s="6"/>
      <c r="C800" s="7"/>
      <c r="D800" s="7"/>
      <c r="E800" s="6"/>
      <c r="F800" s="6"/>
      <c r="G800" s="6"/>
      <c r="H800" s="6"/>
      <c r="I800" s="6"/>
      <c r="J800" s="7"/>
      <c r="K800" s="7"/>
      <c r="L800" s="7"/>
      <c r="M800" s="7"/>
      <c r="N800" s="7"/>
      <c r="O800" s="7"/>
      <c r="P800" s="7"/>
      <c r="Q800" s="7"/>
      <c r="R800" s="7"/>
      <c r="S800" s="7"/>
      <c r="T800" s="7"/>
      <c r="U800" s="7"/>
      <c r="V800" s="7"/>
      <c r="W800" s="7"/>
      <c r="X800" s="7"/>
      <c r="Y800" s="7"/>
      <c r="Z800" s="7"/>
    </row>
    <row r="801" spans="1:26" ht="21" customHeight="1" x14ac:dyDescent="0.2">
      <c r="A801" s="7"/>
      <c r="B801" s="6"/>
      <c r="C801" s="7"/>
      <c r="D801" s="7"/>
      <c r="E801" s="6"/>
      <c r="F801" s="6"/>
      <c r="G801" s="6"/>
      <c r="H801" s="6"/>
      <c r="I801" s="6"/>
      <c r="J801" s="7"/>
      <c r="K801" s="7"/>
      <c r="L801" s="7"/>
      <c r="M801" s="7"/>
      <c r="N801" s="7"/>
      <c r="O801" s="7"/>
      <c r="P801" s="7"/>
      <c r="Q801" s="7"/>
      <c r="R801" s="7"/>
      <c r="S801" s="7"/>
      <c r="T801" s="7"/>
      <c r="U801" s="7"/>
      <c r="V801" s="7"/>
      <c r="W801" s="7"/>
      <c r="X801" s="7"/>
      <c r="Y801" s="7"/>
      <c r="Z801" s="7"/>
    </row>
    <row r="802" spans="1:26" ht="21" customHeight="1" x14ac:dyDescent="0.2">
      <c r="A802" s="7"/>
      <c r="B802" s="6"/>
      <c r="C802" s="7"/>
      <c r="D802" s="7"/>
      <c r="E802" s="6"/>
      <c r="F802" s="6"/>
      <c r="G802" s="6"/>
      <c r="H802" s="6"/>
      <c r="I802" s="6"/>
      <c r="J802" s="7"/>
      <c r="K802" s="7"/>
      <c r="L802" s="7"/>
      <c r="M802" s="7"/>
      <c r="N802" s="7"/>
      <c r="O802" s="7"/>
      <c r="P802" s="7"/>
      <c r="Q802" s="7"/>
      <c r="R802" s="7"/>
      <c r="S802" s="7"/>
      <c r="T802" s="7"/>
      <c r="U802" s="7"/>
      <c r="V802" s="7"/>
      <c r="W802" s="7"/>
      <c r="X802" s="7"/>
      <c r="Y802" s="7"/>
      <c r="Z802" s="7"/>
    </row>
    <row r="803" spans="1:26" ht="21" customHeight="1" x14ac:dyDescent="0.2">
      <c r="A803" s="7"/>
      <c r="B803" s="6"/>
      <c r="C803" s="7"/>
      <c r="D803" s="7"/>
      <c r="E803" s="6"/>
      <c r="F803" s="6"/>
      <c r="G803" s="6"/>
      <c r="H803" s="6"/>
      <c r="I803" s="6"/>
      <c r="J803" s="7"/>
      <c r="K803" s="7"/>
      <c r="L803" s="7"/>
      <c r="M803" s="7"/>
      <c r="N803" s="7"/>
      <c r="O803" s="7"/>
      <c r="P803" s="7"/>
      <c r="Q803" s="7"/>
      <c r="R803" s="7"/>
      <c r="S803" s="7"/>
      <c r="T803" s="7"/>
      <c r="U803" s="7"/>
      <c r="V803" s="7"/>
      <c r="W803" s="7"/>
      <c r="X803" s="7"/>
      <c r="Y803" s="7"/>
      <c r="Z803" s="7"/>
    </row>
    <row r="804" spans="1:26" ht="21" customHeight="1" x14ac:dyDescent="0.2">
      <c r="A804" s="7"/>
      <c r="B804" s="6"/>
      <c r="C804" s="7"/>
      <c r="D804" s="7"/>
      <c r="E804" s="6"/>
      <c r="F804" s="6"/>
      <c r="G804" s="6"/>
      <c r="H804" s="6"/>
      <c r="I804" s="6"/>
      <c r="J804" s="7"/>
      <c r="K804" s="7"/>
      <c r="L804" s="7"/>
      <c r="M804" s="7"/>
      <c r="N804" s="7"/>
      <c r="O804" s="7"/>
      <c r="P804" s="7"/>
      <c r="Q804" s="7"/>
      <c r="R804" s="7"/>
      <c r="S804" s="7"/>
      <c r="T804" s="7"/>
      <c r="U804" s="7"/>
      <c r="V804" s="7"/>
      <c r="W804" s="7"/>
      <c r="X804" s="7"/>
      <c r="Y804" s="7"/>
      <c r="Z804" s="7"/>
    </row>
    <row r="805" spans="1:26" ht="21" customHeight="1" x14ac:dyDescent="0.2">
      <c r="A805" s="7"/>
      <c r="B805" s="6"/>
      <c r="C805" s="7"/>
      <c r="D805" s="7"/>
      <c r="E805" s="6"/>
      <c r="F805" s="6"/>
      <c r="G805" s="6"/>
      <c r="H805" s="6"/>
      <c r="I805" s="6"/>
      <c r="J805" s="7"/>
      <c r="K805" s="7"/>
      <c r="L805" s="7"/>
      <c r="M805" s="7"/>
      <c r="N805" s="7"/>
      <c r="O805" s="7"/>
      <c r="P805" s="7"/>
      <c r="Q805" s="7"/>
      <c r="R805" s="7"/>
      <c r="S805" s="7"/>
      <c r="T805" s="7"/>
      <c r="U805" s="7"/>
      <c r="V805" s="7"/>
      <c r="W805" s="7"/>
      <c r="X805" s="7"/>
      <c r="Y805" s="7"/>
      <c r="Z805" s="7"/>
    </row>
    <row r="806" spans="1:26" ht="21" customHeight="1" x14ac:dyDescent="0.2">
      <c r="A806" s="7"/>
      <c r="B806" s="6"/>
      <c r="C806" s="7"/>
      <c r="D806" s="7"/>
      <c r="E806" s="6"/>
      <c r="F806" s="6"/>
      <c r="G806" s="6"/>
      <c r="H806" s="6"/>
      <c r="I806" s="6"/>
      <c r="J806" s="7"/>
      <c r="K806" s="7"/>
      <c r="L806" s="7"/>
      <c r="M806" s="7"/>
      <c r="N806" s="7"/>
      <c r="O806" s="7"/>
      <c r="P806" s="7"/>
      <c r="Q806" s="7"/>
      <c r="R806" s="7"/>
      <c r="S806" s="7"/>
      <c r="T806" s="7"/>
      <c r="U806" s="7"/>
      <c r="V806" s="7"/>
      <c r="W806" s="7"/>
      <c r="X806" s="7"/>
      <c r="Y806" s="7"/>
      <c r="Z806" s="7"/>
    </row>
    <row r="807" spans="1:26" ht="21" customHeight="1" x14ac:dyDescent="0.2">
      <c r="A807" s="7"/>
      <c r="B807" s="6"/>
      <c r="C807" s="7"/>
      <c r="D807" s="7"/>
      <c r="E807" s="6"/>
      <c r="F807" s="6"/>
      <c r="G807" s="6"/>
      <c r="H807" s="6"/>
      <c r="I807" s="6"/>
      <c r="J807" s="7"/>
      <c r="K807" s="7"/>
      <c r="L807" s="7"/>
      <c r="M807" s="7"/>
      <c r="N807" s="7"/>
      <c r="O807" s="7"/>
      <c r="P807" s="7"/>
      <c r="Q807" s="7"/>
      <c r="R807" s="7"/>
      <c r="S807" s="7"/>
      <c r="T807" s="7"/>
      <c r="U807" s="7"/>
      <c r="V807" s="7"/>
      <c r="W807" s="7"/>
      <c r="X807" s="7"/>
      <c r="Y807" s="7"/>
      <c r="Z807" s="7"/>
    </row>
    <row r="808" spans="1:26" ht="21" customHeight="1" x14ac:dyDescent="0.2">
      <c r="A808" s="7"/>
      <c r="B808" s="6"/>
      <c r="C808" s="7"/>
      <c r="D808" s="7"/>
      <c r="E808" s="6"/>
      <c r="F808" s="6"/>
      <c r="G808" s="6"/>
      <c r="H808" s="6"/>
      <c r="I808" s="6"/>
      <c r="J808" s="7"/>
      <c r="K808" s="7"/>
      <c r="L808" s="7"/>
      <c r="M808" s="7"/>
      <c r="N808" s="7"/>
      <c r="O808" s="7"/>
      <c r="P808" s="7"/>
      <c r="Q808" s="7"/>
      <c r="R808" s="7"/>
      <c r="S808" s="7"/>
      <c r="T808" s="7"/>
      <c r="U808" s="7"/>
      <c r="V808" s="7"/>
      <c r="W808" s="7"/>
      <c r="X808" s="7"/>
      <c r="Y808" s="7"/>
      <c r="Z808" s="7"/>
    </row>
    <row r="809" spans="1:26" ht="21" customHeight="1" x14ac:dyDescent="0.2">
      <c r="A809" s="7"/>
      <c r="B809" s="6"/>
      <c r="C809" s="7"/>
      <c r="D809" s="7"/>
      <c r="E809" s="6"/>
      <c r="F809" s="6"/>
      <c r="G809" s="6"/>
      <c r="H809" s="6"/>
      <c r="I809" s="6"/>
      <c r="J809" s="7"/>
      <c r="K809" s="7"/>
      <c r="L809" s="7"/>
      <c r="M809" s="7"/>
      <c r="N809" s="7"/>
      <c r="O809" s="7"/>
      <c r="P809" s="7"/>
      <c r="Q809" s="7"/>
      <c r="R809" s="7"/>
      <c r="S809" s="7"/>
      <c r="T809" s="7"/>
      <c r="U809" s="7"/>
      <c r="V809" s="7"/>
      <c r="W809" s="7"/>
      <c r="X809" s="7"/>
      <c r="Y809" s="7"/>
      <c r="Z809" s="7"/>
    </row>
    <row r="810" spans="1:26" ht="21" customHeight="1" x14ac:dyDescent="0.2">
      <c r="A810" s="7"/>
      <c r="B810" s="6"/>
      <c r="C810" s="7"/>
      <c r="D810" s="7"/>
      <c r="E810" s="6"/>
      <c r="F810" s="6"/>
      <c r="G810" s="6"/>
      <c r="H810" s="6"/>
      <c r="I810" s="6"/>
      <c r="J810" s="7"/>
      <c r="K810" s="7"/>
      <c r="L810" s="7"/>
      <c r="M810" s="7"/>
      <c r="N810" s="7"/>
      <c r="O810" s="7"/>
      <c r="P810" s="7"/>
      <c r="Q810" s="7"/>
      <c r="R810" s="7"/>
      <c r="S810" s="7"/>
      <c r="T810" s="7"/>
      <c r="U810" s="7"/>
      <c r="V810" s="7"/>
      <c r="W810" s="7"/>
      <c r="X810" s="7"/>
      <c r="Y810" s="7"/>
      <c r="Z810" s="7"/>
    </row>
    <row r="811" spans="1:26" ht="21" customHeight="1" x14ac:dyDescent="0.2">
      <c r="A811" s="7"/>
      <c r="B811" s="6"/>
      <c r="C811" s="7"/>
      <c r="D811" s="7"/>
      <c r="E811" s="6"/>
      <c r="F811" s="6"/>
      <c r="G811" s="6"/>
      <c r="H811" s="6"/>
      <c r="I811" s="6"/>
      <c r="J811" s="7"/>
      <c r="K811" s="7"/>
      <c r="L811" s="7"/>
      <c r="M811" s="7"/>
      <c r="N811" s="7"/>
      <c r="O811" s="7"/>
      <c r="P811" s="7"/>
      <c r="Q811" s="7"/>
      <c r="R811" s="7"/>
      <c r="S811" s="7"/>
      <c r="T811" s="7"/>
      <c r="U811" s="7"/>
      <c r="V811" s="7"/>
      <c r="W811" s="7"/>
      <c r="X811" s="7"/>
      <c r="Y811" s="7"/>
      <c r="Z811" s="7"/>
    </row>
    <row r="812" spans="1:26" ht="21" customHeight="1" x14ac:dyDescent="0.2">
      <c r="A812" s="7"/>
      <c r="B812" s="6"/>
      <c r="C812" s="7"/>
      <c r="D812" s="7"/>
      <c r="E812" s="6"/>
      <c r="F812" s="6"/>
      <c r="G812" s="6"/>
      <c r="H812" s="6"/>
      <c r="I812" s="6"/>
      <c r="J812" s="7"/>
      <c r="K812" s="7"/>
      <c r="L812" s="7"/>
      <c r="M812" s="7"/>
      <c r="N812" s="7"/>
      <c r="O812" s="7"/>
      <c r="P812" s="7"/>
      <c r="Q812" s="7"/>
      <c r="R812" s="7"/>
      <c r="S812" s="7"/>
      <c r="T812" s="7"/>
      <c r="U812" s="7"/>
      <c r="V812" s="7"/>
      <c r="W812" s="7"/>
      <c r="X812" s="7"/>
      <c r="Y812" s="7"/>
      <c r="Z812" s="7"/>
    </row>
    <row r="813" spans="1:26" ht="21" customHeight="1" x14ac:dyDescent="0.2">
      <c r="A813" s="7"/>
      <c r="B813" s="6"/>
      <c r="C813" s="7"/>
      <c r="D813" s="7"/>
      <c r="E813" s="6"/>
      <c r="F813" s="6"/>
      <c r="G813" s="6"/>
      <c r="H813" s="6"/>
      <c r="I813" s="6"/>
      <c r="J813" s="7"/>
      <c r="K813" s="7"/>
      <c r="L813" s="7"/>
      <c r="M813" s="7"/>
      <c r="N813" s="7"/>
      <c r="O813" s="7"/>
      <c r="P813" s="7"/>
      <c r="Q813" s="7"/>
      <c r="R813" s="7"/>
      <c r="S813" s="7"/>
      <c r="T813" s="7"/>
      <c r="U813" s="7"/>
      <c r="V813" s="7"/>
      <c r="W813" s="7"/>
      <c r="X813" s="7"/>
      <c r="Y813" s="7"/>
      <c r="Z813" s="7"/>
    </row>
    <row r="814" spans="1:26" ht="21" customHeight="1" x14ac:dyDescent="0.2">
      <c r="A814" s="7"/>
      <c r="B814" s="6"/>
      <c r="C814" s="7"/>
      <c r="D814" s="7"/>
      <c r="E814" s="6"/>
      <c r="F814" s="6"/>
      <c r="G814" s="6"/>
      <c r="H814" s="6"/>
      <c r="I814" s="6"/>
      <c r="J814" s="7"/>
      <c r="K814" s="7"/>
      <c r="L814" s="7"/>
      <c r="M814" s="7"/>
      <c r="N814" s="7"/>
      <c r="O814" s="7"/>
      <c r="P814" s="7"/>
      <c r="Q814" s="7"/>
      <c r="R814" s="7"/>
      <c r="S814" s="7"/>
      <c r="T814" s="7"/>
      <c r="U814" s="7"/>
      <c r="V814" s="7"/>
      <c r="W814" s="7"/>
      <c r="X814" s="7"/>
      <c r="Y814" s="7"/>
      <c r="Z814" s="7"/>
    </row>
    <row r="815" spans="1:26" ht="21" customHeight="1" x14ac:dyDescent="0.2">
      <c r="A815" s="7"/>
      <c r="B815" s="6"/>
      <c r="C815" s="7"/>
      <c r="D815" s="7"/>
      <c r="E815" s="6"/>
      <c r="F815" s="6"/>
      <c r="G815" s="6"/>
      <c r="H815" s="6"/>
      <c r="I815" s="6"/>
      <c r="J815" s="7"/>
      <c r="K815" s="7"/>
      <c r="L815" s="7"/>
      <c r="M815" s="7"/>
      <c r="N815" s="7"/>
      <c r="O815" s="7"/>
      <c r="P815" s="7"/>
      <c r="Q815" s="7"/>
      <c r="R815" s="7"/>
      <c r="S815" s="7"/>
      <c r="T815" s="7"/>
      <c r="U815" s="7"/>
      <c r="V815" s="7"/>
      <c r="W815" s="7"/>
      <c r="X815" s="7"/>
      <c r="Y815" s="7"/>
      <c r="Z815" s="7"/>
    </row>
    <row r="816" spans="1:26" ht="21" customHeight="1" x14ac:dyDescent="0.2">
      <c r="A816" s="7"/>
      <c r="B816" s="6"/>
      <c r="C816" s="7"/>
      <c r="D816" s="7"/>
      <c r="E816" s="6"/>
      <c r="F816" s="6"/>
      <c r="G816" s="6"/>
      <c r="H816" s="6"/>
      <c r="I816" s="6"/>
      <c r="J816" s="7"/>
      <c r="K816" s="7"/>
      <c r="L816" s="7"/>
      <c r="M816" s="7"/>
      <c r="N816" s="7"/>
      <c r="O816" s="7"/>
      <c r="P816" s="7"/>
      <c r="Q816" s="7"/>
      <c r="R816" s="7"/>
      <c r="S816" s="7"/>
      <c r="T816" s="7"/>
      <c r="U816" s="7"/>
      <c r="V816" s="7"/>
      <c r="W816" s="7"/>
      <c r="X816" s="7"/>
      <c r="Y816" s="7"/>
      <c r="Z816" s="7"/>
    </row>
    <row r="817" spans="1:26" ht="21" customHeight="1" x14ac:dyDescent="0.2">
      <c r="A817" s="7"/>
      <c r="B817" s="6"/>
      <c r="C817" s="7"/>
      <c r="D817" s="7"/>
      <c r="E817" s="6"/>
      <c r="F817" s="6"/>
      <c r="G817" s="6"/>
      <c r="H817" s="6"/>
      <c r="I817" s="6"/>
      <c r="J817" s="7"/>
      <c r="K817" s="7"/>
      <c r="L817" s="7"/>
      <c r="M817" s="7"/>
      <c r="N817" s="7"/>
      <c r="O817" s="7"/>
      <c r="P817" s="7"/>
      <c r="Q817" s="7"/>
      <c r="R817" s="7"/>
      <c r="S817" s="7"/>
      <c r="T817" s="7"/>
      <c r="U817" s="7"/>
      <c r="V817" s="7"/>
      <c r="W817" s="7"/>
      <c r="X817" s="7"/>
      <c r="Y817" s="7"/>
      <c r="Z817" s="7"/>
    </row>
    <row r="818" spans="1:26" ht="21" customHeight="1" x14ac:dyDescent="0.2">
      <c r="A818" s="7"/>
      <c r="B818" s="6"/>
      <c r="C818" s="7"/>
      <c r="D818" s="7"/>
      <c r="E818" s="6"/>
      <c r="F818" s="6"/>
      <c r="G818" s="6"/>
      <c r="H818" s="6"/>
      <c r="I818" s="6"/>
      <c r="J818" s="7"/>
      <c r="K818" s="7"/>
      <c r="L818" s="7"/>
      <c r="M818" s="7"/>
      <c r="N818" s="7"/>
      <c r="O818" s="7"/>
      <c r="P818" s="7"/>
      <c r="Q818" s="7"/>
      <c r="R818" s="7"/>
      <c r="S818" s="7"/>
      <c r="T818" s="7"/>
      <c r="U818" s="7"/>
      <c r="V818" s="7"/>
      <c r="W818" s="7"/>
      <c r="X818" s="7"/>
      <c r="Y818" s="7"/>
      <c r="Z818" s="7"/>
    </row>
    <row r="819" spans="1:26" ht="21" customHeight="1" x14ac:dyDescent="0.2">
      <c r="A819" s="7"/>
      <c r="B819" s="6"/>
      <c r="C819" s="7"/>
      <c r="D819" s="7"/>
      <c r="E819" s="6"/>
      <c r="F819" s="6"/>
      <c r="G819" s="6"/>
      <c r="H819" s="6"/>
      <c r="I819" s="6"/>
      <c r="J819" s="7"/>
      <c r="K819" s="7"/>
      <c r="L819" s="7"/>
      <c r="M819" s="7"/>
      <c r="N819" s="7"/>
      <c r="O819" s="7"/>
      <c r="P819" s="7"/>
      <c r="Q819" s="7"/>
      <c r="R819" s="7"/>
      <c r="S819" s="7"/>
      <c r="T819" s="7"/>
      <c r="U819" s="7"/>
      <c r="V819" s="7"/>
      <c r="W819" s="7"/>
      <c r="X819" s="7"/>
      <c r="Y819" s="7"/>
      <c r="Z819" s="7"/>
    </row>
    <row r="820" spans="1:26" ht="21" customHeight="1" x14ac:dyDescent="0.2">
      <c r="A820" s="7"/>
      <c r="B820" s="6"/>
      <c r="C820" s="7"/>
      <c r="D820" s="7"/>
      <c r="E820" s="6"/>
      <c r="F820" s="6"/>
      <c r="G820" s="6"/>
      <c r="H820" s="6"/>
      <c r="I820" s="6"/>
      <c r="J820" s="7"/>
      <c r="K820" s="7"/>
      <c r="L820" s="7"/>
      <c r="M820" s="7"/>
      <c r="N820" s="7"/>
      <c r="O820" s="7"/>
      <c r="P820" s="7"/>
      <c r="Q820" s="7"/>
      <c r="R820" s="7"/>
      <c r="S820" s="7"/>
      <c r="T820" s="7"/>
      <c r="U820" s="7"/>
      <c r="V820" s="7"/>
      <c r="W820" s="7"/>
      <c r="X820" s="7"/>
      <c r="Y820" s="7"/>
      <c r="Z820" s="7"/>
    </row>
    <row r="821" spans="1:26" ht="21" customHeight="1" x14ac:dyDescent="0.2">
      <c r="A821" s="7"/>
      <c r="B821" s="6"/>
      <c r="C821" s="7"/>
      <c r="D821" s="7"/>
      <c r="E821" s="6"/>
      <c r="F821" s="6"/>
      <c r="G821" s="6"/>
      <c r="H821" s="6"/>
      <c r="I821" s="6"/>
      <c r="J821" s="7"/>
      <c r="K821" s="7"/>
      <c r="L821" s="7"/>
      <c r="M821" s="7"/>
      <c r="N821" s="7"/>
      <c r="O821" s="7"/>
      <c r="P821" s="7"/>
      <c r="Q821" s="7"/>
      <c r="R821" s="7"/>
      <c r="S821" s="7"/>
      <c r="T821" s="7"/>
      <c r="U821" s="7"/>
      <c r="V821" s="7"/>
      <c r="W821" s="7"/>
      <c r="X821" s="7"/>
      <c r="Y821" s="7"/>
      <c r="Z821" s="7"/>
    </row>
    <row r="822" spans="1:26" ht="21" customHeight="1" x14ac:dyDescent="0.2">
      <c r="A822" s="7"/>
      <c r="B822" s="6"/>
      <c r="C822" s="7"/>
      <c r="D822" s="7"/>
      <c r="E822" s="6"/>
      <c r="F822" s="6"/>
      <c r="G822" s="6"/>
      <c r="H822" s="6"/>
      <c r="I822" s="6"/>
      <c r="J822" s="7"/>
      <c r="K822" s="7"/>
      <c r="L822" s="7"/>
      <c r="M822" s="7"/>
      <c r="N822" s="7"/>
      <c r="O822" s="7"/>
      <c r="P822" s="7"/>
      <c r="Q822" s="7"/>
      <c r="R822" s="7"/>
      <c r="S822" s="7"/>
      <c r="T822" s="7"/>
      <c r="U822" s="7"/>
      <c r="V822" s="7"/>
      <c r="W822" s="7"/>
      <c r="X822" s="7"/>
      <c r="Y822" s="7"/>
      <c r="Z822" s="7"/>
    </row>
    <row r="823" spans="1:26" ht="21" customHeight="1" x14ac:dyDescent="0.2">
      <c r="A823" s="7"/>
      <c r="B823" s="6"/>
      <c r="C823" s="7"/>
      <c r="D823" s="7"/>
      <c r="E823" s="6"/>
      <c r="F823" s="6"/>
      <c r="G823" s="6"/>
      <c r="H823" s="6"/>
      <c r="I823" s="6"/>
      <c r="J823" s="7"/>
      <c r="K823" s="7"/>
      <c r="L823" s="7"/>
      <c r="M823" s="7"/>
      <c r="N823" s="7"/>
      <c r="O823" s="7"/>
      <c r="P823" s="7"/>
      <c r="Q823" s="7"/>
      <c r="R823" s="7"/>
      <c r="S823" s="7"/>
      <c r="T823" s="7"/>
      <c r="U823" s="7"/>
      <c r="V823" s="7"/>
      <c r="W823" s="7"/>
      <c r="X823" s="7"/>
      <c r="Y823" s="7"/>
      <c r="Z823" s="7"/>
    </row>
    <row r="824" spans="1:26" ht="21" customHeight="1" x14ac:dyDescent="0.2">
      <c r="A824" s="7"/>
      <c r="B824" s="6"/>
      <c r="C824" s="7"/>
      <c r="D824" s="7"/>
      <c r="E824" s="6"/>
      <c r="F824" s="6"/>
      <c r="G824" s="6"/>
      <c r="H824" s="6"/>
      <c r="I824" s="6"/>
      <c r="J824" s="7"/>
      <c r="K824" s="7"/>
      <c r="L824" s="7"/>
      <c r="M824" s="7"/>
      <c r="N824" s="7"/>
      <c r="O824" s="7"/>
      <c r="P824" s="7"/>
      <c r="Q824" s="7"/>
      <c r="R824" s="7"/>
      <c r="S824" s="7"/>
      <c r="T824" s="7"/>
      <c r="U824" s="7"/>
      <c r="V824" s="7"/>
      <c r="W824" s="7"/>
      <c r="X824" s="7"/>
      <c r="Y824" s="7"/>
      <c r="Z824" s="7"/>
    </row>
    <row r="825" spans="1:26" ht="21" customHeight="1" x14ac:dyDescent="0.2">
      <c r="A825" s="7"/>
      <c r="B825" s="6"/>
      <c r="C825" s="7"/>
      <c r="D825" s="7"/>
      <c r="E825" s="6"/>
      <c r="F825" s="6"/>
      <c r="G825" s="6"/>
      <c r="H825" s="6"/>
      <c r="I825" s="6"/>
      <c r="J825" s="7"/>
      <c r="K825" s="7"/>
      <c r="L825" s="7"/>
      <c r="M825" s="7"/>
      <c r="N825" s="7"/>
      <c r="O825" s="7"/>
      <c r="P825" s="7"/>
      <c r="Q825" s="7"/>
      <c r="R825" s="7"/>
      <c r="S825" s="7"/>
      <c r="T825" s="7"/>
      <c r="U825" s="7"/>
      <c r="V825" s="7"/>
      <c r="W825" s="7"/>
      <c r="X825" s="7"/>
      <c r="Y825" s="7"/>
      <c r="Z825" s="7"/>
    </row>
    <row r="826" spans="1:26" ht="21" customHeight="1" x14ac:dyDescent="0.2">
      <c r="A826" s="7"/>
      <c r="B826" s="6"/>
      <c r="C826" s="7"/>
      <c r="D826" s="7"/>
      <c r="E826" s="6"/>
      <c r="F826" s="6"/>
      <c r="G826" s="6"/>
      <c r="H826" s="6"/>
      <c r="I826" s="6"/>
      <c r="J826" s="7"/>
      <c r="K826" s="7"/>
      <c r="L826" s="7"/>
      <c r="M826" s="7"/>
      <c r="N826" s="7"/>
      <c r="O826" s="7"/>
      <c r="P826" s="7"/>
      <c r="Q826" s="7"/>
      <c r="R826" s="7"/>
      <c r="S826" s="7"/>
      <c r="T826" s="7"/>
      <c r="U826" s="7"/>
      <c r="V826" s="7"/>
      <c r="W826" s="7"/>
      <c r="X826" s="7"/>
      <c r="Y826" s="7"/>
      <c r="Z826" s="7"/>
    </row>
    <row r="827" spans="1:26" ht="21" customHeight="1" x14ac:dyDescent="0.2">
      <c r="A827" s="7"/>
      <c r="B827" s="6"/>
      <c r="C827" s="7"/>
      <c r="D827" s="7"/>
      <c r="E827" s="6"/>
      <c r="F827" s="6"/>
      <c r="G827" s="6"/>
      <c r="H827" s="6"/>
      <c r="I827" s="6"/>
      <c r="J827" s="7"/>
      <c r="K827" s="7"/>
      <c r="L827" s="7"/>
      <c r="M827" s="7"/>
      <c r="N827" s="7"/>
      <c r="O827" s="7"/>
      <c r="P827" s="7"/>
      <c r="Q827" s="7"/>
      <c r="R827" s="7"/>
      <c r="S827" s="7"/>
      <c r="T827" s="7"/>
      <c r="U827" s="7"/>
      <c r="V827" s="7"/>
      <c r="W827" s="7"/>
      <c r="X827" s="7"/>
      <c r="Y827" s="7"/>
      <c r="Z827" s="7"/>
    </row>
    <row r="828" spans="1:26" ht="21" customHeight="1" x14ac:dyDescent="0.2">
      <c r="A828" s="7"/>
      <c r="B828" s="6"/>
      <c r="C828" s="7"/>
      <c r="D828" s="7"/>
      <c r="E828" s="6"/>
      <c r="F828" s="6"/>
      <c r="G828" s="6"/>
      <c r="H828" s="6"/>
      <c r="I828" s="6"/>
      <c r="J828" s="7"/>
      <c r="K828" s="7"/>
      <c r="L828" s="7"/>
      <c r="M828" s="7"/>
      <c r="N828" s="7"/>
      <c r="O828" s="7"/>
      <c r="P828" s="7"/>
      <c r="Q828" s="7"/>
      <c r="R828" s="7"/>
      <c r="S828" s="7"/>
      <c r="T828" s="7"/>
      <c r="U828" s="7"/>
      <c r="V828" s="7"/>
      <c r="W828" s="7"/>
      <c r="X828" s="7"/>
      <c r="Y828" s="7"/>
      <c r="Z828" s="7"/>
    </row>
    <row r="829" spans="1:26" ht="21" customHeight="1" x14ac:dyDescent="0.2">
      <c r="A829" s="7"/>
      <c r="B829" s="6"/>
      <c r="C829" s="7"/>
      <c r="D829" s="7"/>
      <c r="E829" s="6"/>
      <c r="F829" s="6"/>
      <c r="G829" s="6"/>
      <c r="H829" s="6"/>
      <c r="I829" s="6"/>
      <c r="J829" s="7"/>
      <c r="K829" s="7"/>
      <c r="L829" s="7"/>
      <c r="M829" s="7"/>
      <c r="N829" s="7"/>
      <c r="O829" s="7"/>
      <c r="P829" s="7"/>
      <c r="Q829" s="7"/>
      <c r="R829" s="7"/>
      <c r="S829" s="7"/>
      <c r="T829" s="7"/>
      <c r="U829" s="7"/>
      <c r="V829" s="7"/>
      <c r="W829" s="7"/>
      <c r="X829" s="7"/>
      <c r="Y829" s="7"/>
      <c r="Z829" s="7"/>
    </row>
    <row r="830" spans="1:26" ht="21" customHeight="1" x14ac:dyDescent="0.2">
      <c r="A830" s="7"/>
      <c r="B830" s="6"/>
      <c r="C830" s="7"/>
      <c r="D830" s="7"/>
      <c r="E830" s="6"/>
      <c r="F830" s="6"/>
      <c r="G830" s="6"/>
      <c r="H830" s="6"/>
      <c r="I830" s="6"/>
      <c r="J830" s="7"/>
      <c r="K830" s="7"/>
      <c r="L830" s="7"/>
      <c r="M830" s="7"/>
      <c r="N830" s="7"/>
      <c r="O830" s="7"/>
      <c r="P830" s="7"/>
      <c r="Q830" s="7"/>
      <c r="R830" s="7"/>
      <c r="S830" s="7"/>
      <c r="T830" s="7"/>
      <c r="U830" s="7"/>
      <c r="V830" s="7"/>
      <c r="W830" s="7"/>
      <c r="X830" s="7"/>
      <c r="Y830" s="7"/>
      <c r="Z830" s="7"/>
    </row>
    <row r="831" spans="1:26" ht="21" customHeight="1" x14ac:dyDescent="0.2">
      <c r="A831" s="7"/>
      <c r="B831" s="6"/>
      <c r="C831" s="7"/>
      <c r="D831" s="7"/>
      <c r="E831" s="6"/>
      <c r="F831" s="6"/>
      <c r="G831" s="6"/>
      <c r="H831" s="6"/>
      <c r="I831" s="6"/>
      <c r="J831" s="7"/>
      <c r="K831" s="7"/>
      <c r="L831" s="7"/>
      <c r="M831" s="7"/>
      <c r="N831" s="7"/>
      <c r="O831" s="7"/>
      <c r="P831" s="7"/>
      <c r="Q831" s="7"/>
      <c r="R831" s="7"/>
      <c r="S831" s="7"/>
      <c r="T831" s="7"/>
      <c r="U831" s="7"/>
      <c r="V831" s="7"/>
      <c r="W831" s="7"/>
      <c r="X831" s="7"/>
      <c r="Y831" s="7"/>
      <c r="Z831" s="7"/>
    </row>
    <row r="832" spans="1:26" ht="21" customHeight="1" x14ac:dyDescent="0.2">
      <c r="A832" s="7"/>
      <c r="B832" s="6"/>
      <c r="C832" s="7"/>
      <c r="D832" s="7"/>
      <c r="E832" s="6"/>
      <c r="F832" s="6"/>
      <c r="G832" s="6"/>
      <c r="H832" s="6"/>
      <c r="I832" s="6"/>
      <c r="J832" s="7"/>
      <c r="K832" s="7"/>
      <c r="L832" s="7"/>
      <c r="M832" s="7"/>
      <c r="N832" s="7"/>
      <c r="O832" s="7"/>
      <c r="P832" s="7"/>
      <c r="Q832" s="7"/>
      <c r="R832" s="7"/>
      <c r="S832" s="7"/>
      <c r="T832" s="7"/>
      <c r="U832" s="7"/>
      <c r="V832" s="7"/>
      <c r="W832" s="7"/>
      <c r="X832" s="7"/>
      <c r="Y832" s="7"/>
      <c r="Z832" s="7"/>
    </row>
    <row r="833" spans="1:26" ht="21" customHeight="1" x14ac:dyDescent="0.2">
      <c r="A833" s="7"/>
      <c r="B833" s="6"/>
      <c r="C833" s="7"/>
      <c r="D833" s="7"/>
      <c r="E833" s="6"/>
      <c r="F833" s="6"/>
      <c r="G833" s="6"/>
      <c r="H833" s="6"/>
      <c r="I833" s="6"/>
      <c r="J833" s="7"/>
      <c r="K833" s="7"/>
      <c r="L833" s="7"/>
      <c r="M833" s="7"/>
      <c r="N833" s="7"/>
      <c r="O833" s="7"/>
      <c r="P833" s="7"/>
      <c r="Q833" s="7"/>
      <c r="R833" s="7"/>
      <c r="S833" s="7"/>
      <c r="T833" s="7"/>
      <c r="U833" s="7"/>
      <c r="V833" s="7"/>
      <c r="W833" s="7"/>
      <c r="X833" s="7"/>
      <c r="Y833" s="7"/>
      <c r="Z833" s="7"/>
    </row>
    <row r="834" spans="1:26" ht="21" customHeight="1" x14ac:dyDescent="0.2">
      <c r="A834" s="7"/>
      <c r="B834" s="6"/>
      <c r="C834" s="7"/>
      <c r="D834" s="7"/>
      <c r="E834" s="6"/>
      <c r="F834" s="6"/>
      <c r="G834" s="6"/>
      <c r="H834" s="6"/>
      <c r="I834" s="6"/>
      <c r="J834" s="7"/>
      <c r="K834" s="7"/>
      <c r="L834" s="7"/>
      <c r="M834" s="7"/>
      <c r="N834" s="7"/>
      <c r="O834" s="7"/>
      <c r="P834" s="7"/>
      <c r="Q834" s="7"/>
      <c r="R834" s="7"/>
      <c r="S834" s="7"/>
      <c r="T834" s="7"/>
      <c r="U834" s="7"/>
      <c r="V834" s="7"/>
      <c r="W834" s="7"/>
      <c r="X834" s="7"/>
      <c r="Y834" s="7"/>
      <c r="Z834" s="7"/>
    </row>
    <row r="835" spans="1:26" ht="21" customHeight="1" x14ac:dyDescent="0.2">
      <c r="A835" s="7"/>
      <c r="B835" s="6"/>
      <c r="C835" s="7"/>
      <c r="D835" s="7"/>
      <c r="E835" s="6"/>
      <c r="F835" s="6"/>
      <c r="G835" s="6"/>
      <c r="H835" s="6"/>
      <c r="I835" s="6"/>
      <c r="J835" s="7"/>
      <c r="K835" s="7"/>
      <c r="L835" s="7"/>
      <c r="M835" s="7"/>
      <c r="N835" s="7"/>
      <c r="O835" s="7"/>
      <c r="P835" s="7"/>
      <c r="Q835" s="7"/>
      <c r="R835" s="7"/>
      <c r="S835" s="7"/>
      <c r="T835" s="7"/>
      <c r="U835" s="7"/>
      <c r="V835" s="7"/>
      <c r="W835" s="7"/>
      <c r="X835" s="7"/>
      <c r="Y835" s="7"/>
      <c r="Z835" s="7"/>
    </row>
    <row r="836" spans="1:26" ht="21" customHeight="1" x14ac:dyDescent="0.2">
      <c r="A836" s="7"/>
      <c r="B836" s="6"/>
      <c r="C836" s="7"/>
      <c r="D836" s="7"/>
      <c r="E836" s="6"/>
      <c r="F836" s="6"/>
      <c r="G836" s="6"/>
      <c r="H836" s="6"/>
      <c r="I836" s="6"/>
      <c r="J836" s="7"/>
      <c r="K836" s="7"/>
      <c r="L836" s="7"/>
      <c r="M836" s="7"/>
      <c r="N836" s="7"/>
      <c r="O836" s="7"/>
      <c r="P836" s="7"/>
      <c r="Q836" s="7"/>
      <c r="R836" s="7"/>
      <c r="S836" s="7"/>
      <c r="T836" s="7"/>
      <c r="U836" s="7"/>
      <c r="V836" s="7"/>
      <c r="W836" s="7"/>
      <c r="X836" s="7"/>
      <c r="Y836" s="7"/>
      <c r="Z836" s="7"/>
    </row>
    <row r="837" spans="1:26" ht="21" customHeight="1" x14ac:dyDescent="0.2">
      <c r="A837" s="7"/>
      <c r="B837" s="6"/>
      <c r="C837" s="7"/>
      <c r="D837" s="7"/>
      <c r="E837" s="6"/>
      <c r="F837" s="6"/>
      <c r="G837" s="6"/>
      <c r="H837" s="6"/>
      <c r="I837" s="6"/>
      <c r="J837" s="7"/>
      <c r="K837" s="7"/>
      <c r="L837" s="7"/>
      <c r="M837" s="7"/>
      <c r="N837" s="7"/>
      <c r="O837" s="7"/>
      <c r="P837" s="7"/>
      <c r="Q837" s="7"/>
      <c r="R837" s="7"/>
      <c r="S837" s="7"/>
      <c r="T837" s="7"/>
      <c r="U837" s="7"/>
      <c r="V837" s="7"/>
      <c r="W837" s="7"/>
      <c r="X837" s="7"/>
      <c r="Y837" s="7"/>
      <c r="Z837" s="7"/>
    </row>
    <row r="838" spans="1:26" ht="21" customHeight="1" x14ac:dyDescent="0.2">
      <c r="A838" s="7"/>
      <c r="B838" s="6"/>
      <c r="C838" s="7"/>
      <c r="D838" s="7"/>
      <c r="E838" s="6"/>
      <c r="F838" s="6"/>
      <c r="G838" s="6"/>
      <c r="H838" s="6"/>
      <c r="I838" s="6"/>
      <c r="J838" s="7"/>
      <c r="K838" s="7"/>
      <c r="L838" s="7"/>
      <c r="M838" s="7"/>
      <c r="N838" s="7"/>
      <c r="O838" s="7"/>
      <c r="P838" s="7"/>
      <c r="Q838" s="7"/>
      <c r="R838" s="7"/>
      <c r="S838" s="7"/>
      <c r="T838" s="7"/>
      <c r="U838" s="7"/>
      <c r="V838" s="7"/>
      <c r="W838" s="7"/>
      <c r="X838" s="7"/>
      <c r="Y838" s="7"/>
      <c r="Z838" s="7"/>
    </row>
    <row r="839" spans="1:26" ht="21" customHeight="1" x14ac:dyDescent="0.2">
      <c r="A839" s="7"/>
      <c r="B839" s="6"/>
      <c r="C839" s="7"/>
      <c r="D839" s="7"/>
      <c r="E839" s="6"/>
      <c r="F839" s="6"/>
      <c r="G839" s="6"/>
      <c r="H839" s="6"/>
      <c r="I839" s="6"/>
      <c r="J839" s="7"/>
      <c r="K839" s="7"/>
      <c r="L839" s="7"/>
      <c r="M839" s="7"/>
      <c r="N839" s="7"/>
      <c r="O839" s="7"/>
      <c r="P839" s="7"/>
      <c r="Q839" s="7"/>
      <c r="R839" s="7"/>
      <c r="S839" s="7"/>
      <c r="T839" s="7"/>
      <c r="U839" s="7"/>
      <c r="V839" s="7"/>
      <c r="W839" s="7"/>
      <c r="X839" s="7"/>
      <c r="Y839" s="7"/>
      <c r="Z839" s="7"/>
    </row>
    <row r="840" spans="1:26" ht="21" customHeight="1" x14ac:dyDescent="0.2">
      <c r="A840" s="7"/>
      <c r="B840" s="6"/>
      <c r="C840" s="7"/>
      <c r="D840" s="7"/>
      <c r="E840" s="6"/>
      <c r="F840" s="6"/>
      <c r="G840" s="6"/>
      <c r="H840" s="6"/>
      <c r="I840" s="6"/>
      <c r="J840" s="7"/>
      <c r="K840" s="7"/>
      <c r="L840" s="7"/>
      <c r="M840" s="7"/>
      <c r="N840" s="7"/>
      <c r="O840" s="7"/>
      <c r="P840" s="7"/>
      <c r="Q840" s="7"/>
      <c r="R840" s="7"/>
      <c r="S840" s="7"/>
      <c r="T840" s="7"/>
      <c r="U840" s="7"/>
      <c r="V840" s="7"/>
      <c r="W840" s="7"/>
      <c r="X840" s="7"/>
      <c r="Y840" s="7"/>
      <c r="Z840" s="7"/>
    </row>
    <row r="841" spans="1:26" ht="21" customHeight="1" x14ac:dyDescent="0.2">
      <c r="A841" s="7"/>
      <c r="B841" s="6"/>
      <c r="C841" s="7"/>
      <c r="D841" s="7"/>
      <c r="E841" s="6"/>
      <c r="F841" s="6"/>
      <c r="G841" s="6"/>
      <c r="H841" s="6"/>
      <c r="I841" s="6"/>
      <c r="J841" s="7"/>
      <c r="K841" s="7"/>
      <c r="L841" s="7"/>
      <c r="M841" s="7"/>
      <c r="N841" s="7"/>
      <c r="O841" s="7"/>
      <c r="P841" s="7"/>
      <c r="Q841" s="7"/>
      <c r="R841" s="7"/>
      <c r="S841" s="7"/>
      <c r="T841" s="7"/>
      <c r="U841" s="7"/>
      <c r="V841" s="7"/>
      <c r="W841" s="7"/>
      <c r="X841" s="7"/>
      <c r="Y841" s="7"/>
      <c r="Z841" s="7"/>
    </row>
    <row r="842" spans="1:26" ht="21" customHeight="1" x14ac:dyDescent="0.2">
      <c r="A842" s="7"/>
      <c r="B842" s="6"/>
      <c r="C842" s="7"/>
      <c r="D842" s="7"/>
      <c r="E842" s="6"/>
      <c r="F842" s="6"/>
      <c r="G842" s="6"/>
      <c r="H842" s="6"/>
      <c r="I842" s="6"/>
      <c r="J842" s="7"/>
      <c r="K842" s="7"/>
      <c r="L842" s="7"/>
      <c r="M842" s="7"/>
      <c r="N842" s="7"/>
      <c r="O842" s="7"/>
      <c r="P842" s="7"/>
      <c r="Q842" s="7"/>
      <c r="R842" s="7"/>
      <c r="S842" s="7"/>
      <c r="T842" s="7"/>
      <c r="U842" s="7"/>
      <c r="V842" s="7"/>
      <c r="W842" s="7"/>
      <c r="X842" s="7"/>
      <c r="Y842" s="7"/>
      <c r="Z842" s="7"/>
    </row>
    <row r="843" spans="1:26" ht="21" customHeight="1" x14ac:dyDescent="0.2">
      <c r="A843" s="7"/>
      <c r="B843" s="6"/>
      <c r="C843" s="7"/>
      <c r="D843" s="7"/>
      <c r="E843" s="6"/>
      <c r="F843" s="6"/>
      <c r="G843" s="6"/>
      <c r="H843" s="6"/>
      <c r="I843" s="6"/>
      <c r="J843" s="7"/>
      <c r="K843" s="7"/>
      <c r="L843" s="7"/>
      <c r="M843" s="7"/>
      <c r="N843" s="7"/>
      <c r="O843" s="7"/>
      <c r="P843" s="7"/>
      <c r="Q843" s="7"/>
      <c r="R843" s="7"/>
      <c r="S843" s="7"/>
      <c r="T843" s="7"/>
      <c r="U843" s="7"/>
      <c r="V843" s="7"/>
      <c r="W843" s="7"/>
      <c r="X843" s="7"/>
      <c r="Y843" s="7"/>
      <c r="Z843" s="7"/>
    </row>
    <row r="844" spans="1:26" ht="21" customHeight="1" x14ac:dyDescent="0.2">
      <c r="A844" s="7"/>
      <c r="B844" s="6"/>
      <c r="C844" s="7"/>
      <c r="D844" s="7"/>
      <c r="E844" s="6"/>
      <c r="F844" s="6"/>
      <c r="G844" s="6"/>
      <c r="H844" s="6"/>
      <c r="I844" s="6"/>
      <c r="J844" s="7"/>
      <c r="K844" s="7"/>
      <c r="L844" s="7"/>
      <c r="M844" s="7"/>
      <c r="N844" s="7"/>
      <c r="O844" s="7"/>
      <c r="P844" s="7"/>
      <c r="Q844" s="7"/>
      <c r="R844" s="7"/>
      <c r="S844" s="7"/>
      <c r="T844" s="7"/>
      <c r="U844" s="7"/>
      <c r="V844" s="7"/>
      <c r="W844" s="7"/>
      <c r="X844" s="7"/>
      <c r="Y844" s="7"/>
      <c r="Z844" s="7"/>
    </row>
    <row r="845" spans="1:26" ht="21" customHeight="1" x14ac:dyDescent="0.2">
      <c r="A845" s="7"/>
      <c r="B845" s="6"/>
      <c r="C845" s="7"/>
      <c r="D845" s="7"/>
      <c r="E845" s="6"/>
      <c r="F845" s="6"/>
      <c r="G845" s="6"/>
      <c r="H845" s="6"/>
      <c r="I845" s="6"/>
      <c r="J845" s="7"/>
      <c r="K845" s="7"/>
      <c r="L845" s="7"/>
      <c r="M845" s="7"/>
      <c r="N845" s="7"/>
      <c r="O845" s="7"/>
      <c r="P845" s="7"/>
      <c r="Q845" s="7"/>
      <c r="R845" s="7"/>
      <c r="S845" s="7"/>
      <c r="T845" s="7"/>
      <c r="U845" s="7"/>
      <c r="V845" s="7"/>
      <c r="W845" s="7"/>
      <c r="X845" s="7"/>
      <c r="Y845" s="7"/>
      <c r="Z845" s="7"/>
    </row>
    <row r="846" spans="1:26" ht="21" customHeight="1" x14ac:dyDescent="0.2">
      <c r="A846" s="7"/>
      <c r="B846" s="6"/>
      <c r="C846" s="7"/>
      <c r="D846" s="7"/>
      <c r="E846" s="6"/>
      <c r="F846" s="6"/>
      <c r="G846" s="6"/>
      <c r="H846" s="6"/>
      <c r="I846" s="6"/>
      <c r="J846" s="7"/>
      <c r="K846" s="7"/>
      <c r="L846" s="7"/>
      <c r="M846" s="7"/>
      <c r="N846" s="7"/>
      <c r="O846" s="7"/>
      <c r="P846" s="7"/>
      <c r="Q846" s="7"/>
      <c r="R846" s="7"/>
      <c r="S846" s="7"/>
      <c r="T846" s="7"/>
      <c r="U846" s="7"/>
      <c r="V846" s="7"/>
      <c r="W846" s="7"/>
      <c r="X846" s="7"/>
      <c r="Y846" s="7"/>
      <c r="Z846" s="7"/>
    </row>
    <row r="847" spans="1:26" ht="21" customHeight="1" x14ac:dyDescent="0.2">
      <c r="A847" s="7"/>
      <c r="B847" s="6"/>
      <c r="C847" s="7"/>
      <c r="D847" s="7"/>
      <c r="E847" s="6"/>
      <c r="F847" s="6"/>
      <c r="G847" s="6"/>
      <c r="H847" s="6"/>
      <c r="I847" s="6"/>
      <c r="J847" s="7"/>
      <c r="K847" s="7"/>
      <c r="L847" s="7"/>
      <c r="M847" s="7"/>
      <c r="N847" s="7"/>
      <c r="O847" s="7"/>
      <c r="P847" s="7"/>
      <c r="Q847" s="7"/>
      <c r="R847" s="7"/>
      <c r="S847" s="7"/>
      <c r="T847" s="7"/>
      <c r="U847" s="7"/>
      <c r="V847" s="7"/>
      <c r="W847" s="7"/>
      <c r="X847" s="7"/>
      <c r="Y847" s="7"/>
      <c r="Z847" s="7"/>
    </row>
    <row r="848" spans="1:26" ht="21" customHeight="1" x14ac:dyDescent="0.2">
      <c r="A848" s="7"/>
      <c r="B848" s="6"/>
      <c r="C848" s="7"/>
      <c r="D848" s="7"/>
      <c r="E848" s="6"/>
      <c r="F848" s="6"/>
      <c r="G848" s="6"/>
      <c r="H848" s="6"/>
      <c r="I848" s="6"/>
      <c r="J848" s="7"/>
      <c r="K848" s="7"/>
      <c r="L848" s="7"/>
      <c r="M848" s="7"/>
      <c r="N848" s="7"/>
      <c r="O848" s="7"/>
      <c r="P848" s="7"/>
      <c r="Q848" s="7"/>
      <c r="R848" s="7"/>
      <c r="S848" s="7"/>
      <c r="T848" s="7"/>
      <c r="U848" s="7"/>
      <c r="V848" s="7"/>
      <c r="W848" s="7"/>
      <c r="X848" s="7"/>
      <c r="Y848" s="7"/>
      <c r="Z848" s="7"/>
    </row>
    <row r="849" spans="1:26" ht="21" customHeight="1" x14ac:dyDescent="0.2">
      <c r="A849" s="7"/>
      <c r="B849" s="6"/>
      <c r="C849" s="7"/>
      <c r="D849" s="7"/>
      <c r="E849" s="6"/>
      <c r="F849" s="6"/>
      <c r="G849" s="6"/>
      <c r="H849" s="6"/>
      <c r="I849" s="6"/>
      <c r="J849" s="7"/>
      <c r="K849" s="7"/>
      <c r="L849" s="7"/>
      <c r="M849" s="7"/>
      <c r="N849" s="7"/>
      <c r="O849" s="7"/>
      <c r="P849" s="7"/>
      <c r="Q849" s="7"/>
      <c r="R849" s="7"/>
      <c r="S849" s="7"/>
      <c r="T849" s="7"/>
      <c r="U849" s="7"/>
      <c r="V849" s="7"/>
      <c r="W849" s="7"/>
      <c r="X849" s="7"/>
      <c r="Y849" s="7"/>
      <c r="Z849" s="7"/>
    </row>
    <row r="850" spans="1:26" ht="21" customHeight="1" x14ac:dyDescent="0.2">
      <c r="A850" s="7"/>
      <c r="B850" s="6"/>
      <c r="C850" s="7"/>
      <c r="D850" s="7"/>
      <c r="E850" s="6"/>
      <c r="F850" s="6"/>
      <c r="G850" s="6"/>
      <c r="H850" s="6"/>
      <c r="I850" s="6"/>
      <c r="J850" s="7"/>
      <c r="K850" s="7"/>
      <c r="L850" s="7"/>
      <c r="M850" s="7"/>
      <c r="N850" s="7"/>
      <c r="O850" s="7"/>
      <c r="P850" s="7"/>
      <c r="Q850" s="7"/>
      <c r="R850" s="7"/>
      <c r="S850" s="7"/>
      <c r="T850" s="7"/>
      <c r="U850" s="7"/>
      <c r="V850" s="7"/>
      <c r="W850" s="7"/>
      <c r="X850" s="7"/>
      <c r="Y850" s="7"/>
      <c r="Z850" s="7"/>
    </row>
    <row r="851" spans="1:26" ht="21" customHeight="1" x14ac:dyDescent="0.2">
      <c r="A851" s="7"/>
      <c r="B851" s="6"/>
      <c r="C851" s="7"/>
      <c r="D851" s="7"/>
      <c r="E851" s="6"/>
      <c r="F851" s="6"/>
      <c r="G851" s="6"/>
      <c r="H851" s="6"/>
      <c r="I851" s="6"/>
      <c r="J851" s="7"/>
      <c r="K851" s="7"/>
      <c r="L851" s="7"/>
      <c r="M851" s="7"/>
      <c r="N851" s="7"/>
      <c r="O851" s="7"/>
      <c r="P851" s="7"/>
      <c r="Q851" s="7"/>
      <c r="R851" s="7"/>
      <c r="S851" s="7"/>
      <c r="T851" s="7"/>
      <c r="U851" s="7"/>
      <c r="V851" s="7"/>
      <c r="W851" s="7"/>
      <c r="X851" s="7"/>
      <c r="Y851" s="7"/>
      <c r="Z851" s="7"/>
    </row>
    <row r="852" spans="1:26" ht="21" customHeight="1" x14ac:dyDescent="0.2">
      <c r="A852" s="7"/>
      <c r="B852" s="6"/>
      <c r="C852" s="7"/>
      <c r="D852" s="7"/>
      <c r="E852" s="6"/>
      <c r="F852" s="6"/>
      <c r="G852" s="6"/>
      <c r="H852" s="6"/>
      <c r="I852" s="6"/>
      <c r="J852" s="7"/>
      <c r="K852" s="7"/>
      <c r="L852" s="7"/>
      <c r="M852" s="7"/>
      <c r="N852" s="7"/>
      <c r="O852" s="7"/>
      <c r="P852" s="7"/>
      <c r="Q852" s="7"/>
      <c r="R852" s="7"/>
      <c r="S852" s="7"/>
      <c r="T852" s="7"/>
      <c r="U852" s="7"/>
      <c r="V852" s="7"/>
      <c r="W852" s="7"/>
      <c r="X852" s="7"/>
      <c r="Y852" s="7"/>
      <c r="Z852" s="7"/>
    </row>
    <row r="853" spans="1:26" ht="21" customHeight="1" x14ac:dyDescent="0.2">
      <c r="A853" s="7"/>
      <c r="B853" s="6"/>
      <c r="C853" s="7"/>
      <c r="D853" s="7"/>
      <c r="E853" s="6"/>
      <c r="F853" s="6"/>
      <c r="G853" s="6"/>
      <c r="H853" s="6"/>
      <c r="I853" s="6"/>
      <c r="J853" s="7"/>
      <c r="K853" s="7"/>
      <c r="L853" s="7"/>
      <c r="M853" s="7"/>
      <c r="N853" s="7"/>
      <c r="O853" s="7"/>
      <c r="P853" s="7"/>
      <c r="Q853" s="7"/>
      <c r="R853" s="7"/>
      <c r="S853" s="7"/>
      <c r="T853" s="7"/>
      <c r="U853" s="7"/>
      <c r="V853" s="7"/>
      <c r="W853" s="7"/>
      <c r="X853" s="7"/>
      <c r="Y853" s="7"/>
      <c r="Z853" s="7"/>
    </row>
    <row r="854" spans="1:26" ht="21" customHeight="1" x14ac:dyDescent="0.2">
      <c r="A854" s="7"/>
      <c r="B854" s="6"/>
      <c r="C854" s="7"/>
      <c r="D854" s="7"/>
      <c r="E854" s="6"/>
      <c r="F854" s="6"/>
      <c r="G854" s="6"/>
      <c r="H854" s="6"/>
      <c r="I854" s="6"/>
      <c r="J854" s="7"/>
      <c r="K854" s="7"/>
      <c r="L854" s="7"/>
      <c r="M854" s="7"/>
      <c r="N854" s="7"/>
      <c r="O854" s="7"/>
      <c r="P854" s="7"/>
      <c r="Q854" s="7"/>
      <c r="R854" s="7"/>
      <c r="S854" s="7"/>
      <c r="T854" s="7"/>
      <c r="U854" s="7"/>
      <c r="V854" s="7"/>
      <c r="W854" s="7"/>
      <c r="X854" s="7"/>
      <c r="Y854" s="7"/>
      <c r="Z854" s="7"/>
    </row>
    <row r="855" spans="1:26" ht="21" customHeight="1" x14ac:dyDescent="0.2">
      <c r="A855" s="7"/>
      <c r="B855" s="6"/>
      <c r="C855" s="7"/>
      <c r="D855" s="7"/>
      <c r="E855" s="6"/>
      <c r="F855" s="6"/>
      <c r="G855" s="6"/>
      <c r="H855" s="6"/>
      <c r="I855" s="6"/>
      <c r="J855" s="7"/>
      <c r="K855" s="7"/>
      <c r="L855" s="7"/>
      <c r="M855" s="7"/>
      <c r="N855" s="7"/>
      <c r="O855" s="7"/>
      <c r="P855" s="7"/>
      <c r="Q855" s="7"/>
      <c r="R855" s="7"/>
      <c r="S855" s="7"/>
      <c r="T855" s="7"/>
      <c r="U855" s="7"/>
      <c r="V855" s="7"/>
      <c r="W855" s="7"/>
      <c r="X855" s="7"/>
      <c r="Y855" s="7"/>
      <c r="Z855" s="7"/>
    </row>
    <row r="856" spans="1:26" ht="21" customHeight="1" x14ac:dyDescent="0.2">
      <c r="A856" s="7"/>
      <c r="B856" s="6"/>
      <c r="C856" s="7"/>
      <c r="D856" s="7"/>
      <c r="E856" s="6"/>
      <c r="F856" s="6"/>
      <c r="G856" s="6"/>
      <c r="H856" s="6"/>
      <c r="I856" s="6"/>
      <c r="J856" s="7"/>
      <c r="K856" s="7"/>
      <c r="L856" s="7"/>
      <c r="M856" s="7"/>
      <c r="N856" s="7"/>
      <c r="O856" s="7"/>
      <c r="P856" s="7"/>
      <c r="Q856" s="7"/>
      <c r="R856" s="7"/>
      <c r="S856" s="7"/>
      <c r="T856" s="7"/>
      <c r="U856" s="7"/>
      <c r="V856" s="7"/>
      <c r="W856" s="7"/>
      <c r="X856" s="7"/>
      <c r="Y856" s="7"/>
      <c r="Z856" s="7"/>
    </row>
    <row r="857" spans="1:26" ht="21" customHeight="1" x14ac:dyDescent="0.2">
      <c r="A857" s="7"/>
      <c r="B857" s="6"/>
      <c r="C857" s="7"/>
      <c r="D857" s="7"/>
      <c r="E857" s="6"/>
      <c r="F857" s="6"/>
      <c r="G857" s="6"/>
      <c r="H857" s="6"/>
      <c r="I857" s="6"/>
      <c r="J857" s="7"/>
      <c r="K857" s="7"/>
      <c r="L857" s="7"/>
      <c r="M857" s="7"/>
      <c r="N857" s="7"/>
      <c r="O857" s="7"/>
      <c r="P857" s="7"/>
      <c r="Q857" s="7"/>
      <c r="R857" s="7"/>
      <c r="S857" s="7"/>
      <c r="T857" s="7"/>
      <c r="U857" s="7"/>
      <c r="V857" s="7"/>
      <c r="W857" s="7"/>
      <c r="X857" s="7"/>
      <c r="Y857" s="7"/>
      <c r="Z857" s="7"/>
    </row>
    <row r="858" spans="1:26" ht="21" customHeight="1" x14ac:dyDescent="0.2">
      <c r="A858" s="7"/>
      <c r="B858" s="6"/>
      <c r="C858" s="7"/>
      <c r="D858" s="7"/>
      <c r="E858" s="6"/>
      <c r="F858" s="6"/>
      <c r="G858" s="6"/>
      <c r="H858" s="6"/>
      <c r="I858" s="6"/>
      <c r="J858" s="7"/>
      <c r="K858" s="7"/>
      <c r="L858" s="7"/>
      <c r="M858" s="7"/>
      <c r="N858" s="7"/>
      <c r="O858" s="7"/>
      <c r="P858" s="7"/>
      <c r="Q858" s="7"/>
      <c r="R858" s="7"/>
      <c r="S858" s="7"/>
      <c r="T858" s="7"/>
      <c r="U858" s="7"/>
      <c r="V858" s="7"/>
      <c r="W858" s="7"/>
      <c r="X858" s="7"/>
      <c r="Y858" s="7"/>
      <c r="Z858" s="7"/>
    </row>
    <row r="859" spans="1:26" ht="21" customHeight="1" x14ac:dyDescent="0.2">
      <c r="A859" s="7"/>
      <c r="B859" s="6"/>
      <c r="C859" s="7"/>
      <c r="D859" s="7"/>
      <c r="E859" s="6"/>
      <c r="F859" s="6"/>
      <c r="G859" s="6"/>
      <c r="H859" s="6"/>
      <c r="I859" s="6"/>
      <c r="J859" s="7"/>
      <c r="K859" s="7"/>
      <c r="L859" s="7"/>
      <c r="M859" s="7"/>
      <c r="N859" s="7"/>
      <c r="O859" s="7"/>
      <c r="P859" s="7"/>
      <c r="Q859" s="7"/>
      <c r="R859" s="7"/>
      <c r="S859" s="7"/>
      <c r="T859" s="7"/>
      <c r="U859" s="7"/>
      <c r="V859" s="7"/>
      <c r="W859" s="7"/>
      <c r="X859" s="7"/>
      <c r="Y859" s="7"/>
      <c r="Z859" s="7"/>
    </row>
    <row r="860" spans="1:26" ht="21" customHeight="1" x14ac:dyDescent="0.2">
      <c r="A860" s="7"/>
      <c r="B860" s="6"/>
      <c r="C860" s="7"/>
      <c r="D860" s="7"/>
      <c r="E860" s="6"/>
      <c r="F860" s="6"/>
      <c r="G860" s="6"/>
      <c r="H860" s="6"/>
      <c r="I860" s="6"/>
      <c r="J860" s="7"/>
      <c r="K860" s="7"/>
      <c r="L860" s="7"/>
      <c r="M860" s="7"/>
      <c r="N860" s="7"/>
      <c r="O860" s="7"/>
      <c r="P860" s="7"/>
      <c r="Q860" s="7"/>
      <c r="R860" s="7"/>
      <c r="S860" s="7"/>
      <c r="T860" s="7"/>
      <c r="U860" s="7"/>
      <c r="V860" s="7"/>
      <c r="W860" s="7"/>
      <c r="X860" s="7"/>
      <c r="Y860" s="7"/>
      <c r="Z860" s="7"/>
    </row>
    <row r="861" spans="1:26" ht="21" customHeight="1" x14ac:dyDescent="0.2">
      <c r="A861" s="7"/>
      <c r="B861" s="6"/>
      <c r="C861" s="7"/>
      <c r="D861" s="7"/>
      <c r="E861" s="6"/>
      <c r="F861" s="6"/>
      <c r="G861" s="6"/>
      <c r="H861" s="6"/>
      <c r="I861" s="6"/>
      <c r="J861" s="7"/>
      <c r="K861" s="7"/>
      <c r="L861" s="7"/>
      <c r="M861" s="7"/>
      <c r="N861" s="7"/>
      <c r="O861" s="7"/>
      <c r="P861" s="7"/>
      <c r="Q861" s="7"/>
      <c r="R861" s="7"/>
      <c r="S861" s="7"/>
      <c r="T861" s="7"/>
      <c r="U861" s="7"/>
      <c r="V861" s="7"/>
      <c r="W861" s="7"/>
      <c r="X861" s="7"/>
      <c r="Y861" s="7"/>
      <c r="Z861" s="7"/>
    </row>
    <row r="862" spans="1:26" ht="21" customHeight="1" x14ac:dyDescent="0.2">
      <c r="A862" s="7"/>
      <c r="B862" s="6"/>
      <c r="C862" s="7"/>
      <c r="D862" s="7"/>
      <c r="E862" s="6"/>
      <c r="F862" s="6"/>
      <c r="G862" s="6"/>
      <c r="H862" s="6"/>
      <c r="I862" s="6"/>
      <c r="J862" s="7"/>
      <c r="K862" s="7"/>
      <c r="L862" s="7"/>
      <c r="M862" s="7"/>
      <c r="N862" s="7"/>
      <c r="O862" s="7"/>
      <c r="P862" s="7"/>
      <c r="Q862" s="7"/>
      <c r="R862" s="7"/>
      <c r="S862" s="7"/>
      <c r="T862" s="7"/>
      <c r="U862" s="7"/>
      <c r="V862" s="7"/>
      <c r="W862" s="7"/>
      <c r="X862" s="7"/>
      <c r="Y862" s="7"/>
      <c r="Z862" s="7"/>
    </row>
    <row r="863" spans="1:26" ht="21" customHeight="1" x14ac:dyDescent="0.2">
      <c r="A863" s="7"/>
      <c r="B863" s="6"/>
      <c r="C863" s="7"/>
      <c r="D863" s="7"/>
      <c r="E863" s="6"/>
      <c r="F863" s="6"/>
      <c r="G863" s="6"/>
      <c r="H863" s="6"/>
      <c r="I863" s="6"/>
      <c r="J863" s="7"/>
      <c r="K863" s="7"/>
      <c r="L863" s="7"/>
      <c r="M863" s="7"/>
      <c r="N863" s="7"/>
      <c r="O863" s="7"/>
      <c r="P863" s="7"/>
      <c r="Q863" s="7"/>
      <c r="R863" s="7"/>
      <c r="S863" s="7"/>
      <c r="T863" s="7"/>
      <c r="U863" s="7"/>
      <c r="V863" s="7"/>
      <c r="W863" s="7"/>
      <c r="X863" s="7"/>
      <c r="Y863" s="7"/>
      <c r="Z863" s="7"/>
    </row>
    <row r="864" spans="1:26" ht="21" customHeight="1" x14ac:dyDescent="0.2">
      <c r="A864" s="7"/>
      <c r="B864" s="6"/>
      <c r="C864" s="7"/>
      <c r="D864" s="7"/>
      <c r="E864" s="6"/>
      <c r="F864" s="6"/>
      <c r="G864" s="6"/>
      <c r="H864" s="6"/>
      <c r="I864" s="6"/>
      <c r="J864" s="7"/>
      <c r="K864" s="7"/>
      <c r="L864" s="7"/>
      <c r="M864" s="7"/>
      <c r="N864" s="7"/>
      <c r="O864" s="7"/>
      <c r="P864" s="7"/>
      <c r="Q864" s="7"/>
      <c r="R864" s="7"/>
      <c r="S864" s="7"/>
      <c r="T864" s="7"/>
      <c r="U864" s="7"/>
      <c r="V864" s="7"/>
      <c r="W864" s="7"/>
      <c r="X864" s="7"/>
      <c r="Y864" s="7"/>
      <c r="Z864" s="7"/>
    </row>
    <row r="865" spans="1:26" ht="21" customHeight="1" x14ac:dyDescent="0.2">
      <c r="A865" s="7"/>
      <c r="B865" s="6"/>
      <c r="C865" s="7"/>
      <c r="D865" s="7"/>
      <c r="E865" s="6"/>
      <c r="F865" s="6"/>
      <c r="G865" s="6"/>
      <c r="H865" s="6"/>
      <c r="I865" s="6"/>
      <c r="J865" s="7"/>
      <c r="K865" s="7"/>
      <c r="L865" s="7"/>
      <c r="M865" s="7"/>
      <c r="N865" s="7"/>
      <c r="O865" s="7"/>
      <c r="P865" s="7"/>
      <c r="Q865" s="7"/>
      <c r="R865" s="7"/>
      <c r="S865" s="7"/>
      <c r="T865" s="7"/>
      <c r="U865" s="7"/>
      <c r="V865" s="7"/>
      <c r="W865" s="7"/>
      <c r="X865" s="7"/>
      <c r="Y865" s="7"/>
      <c r="Z865" s="7"/>
    </row>
    <row r="866" spans="1:26" ht="21" customHeight="1" x14ac:dyDescent="0.2">
      <c r="A866" s="7"/>
      <c r="B866" s="6"/>
      <c r="C866" s="7"/>
      <c r="D866" s="7"/>
      <c r="E866" s="6"/>
      <c r="F866" s="6"/>
      <c r="G866" s="6"/>
      <c r="H866" s="6"/>
      <c r="I866" s="6"/>
      <c r="J866" s="7"/>
      <c r="K866" s="7"/>
      <c r="L866" s="7"/>
      <c r="M866" s="7"/>
      <c r="N866" s="7"/>
      <c r="O866" s="7"/>
      <c r="P866" s="7"/>
      <c r="Q866" s="7"/>
      <c r="R866" s="7"/>
      <c r="S866" s="7"/>
      <c r="T866" s="7"/>
      <c r="U866" s="7"/>
      <c r="V866" s="7"/>
      <c r="W866" s="7"/>
      <c r="X866" s="7"/>
      <c r="Y866" s="7"/>
      <c r="Z866" s="7"/>
    </row>
    <row r="867" spans="1:26" ht="21" customHeight="1" x14ac:dyDescent="0.2">
      <c r="A867" s="7"/>
      <c r="B867" s="6"/>
      <c r="C867" s="7"/>
      <c r="D867" s="7"/>
      <c r="E867" s="6"/>
      <c r="F867" s="6"/>
      <c r="G867" s="6"/>
      <c r="H867" s="6"/>
      <c r="I867" s="6"/>
      <c r="J867" s="7"/>
      <c r="K867" s="7"/>
      <c r="L867" s="7"/>
      <c r="M867" s="7"/>
      <c r="N867" s="7"/>
      <c r="O867" s="7"/>
      <c r="P867" s="7"/>
      <c r="Q867" s="7"/>
      <c r="R867" s="7"/>
      <c r="S867" s="7"/>
      <c r="T867" s="7"/>
      <c r="U867" s="7"/>
      <c r="V867" s="7"/>
      <c r="W867" s="7"/>
      <c r="X867" s="7"/>
      <c r="Y867" s="7"/>
      <c r="Z867" s="7"/>
    </row>
    <row r="868" spans="1:26" ht="21" customHeight="1" x14ac:dyDescent="0.2">
      <c r="A868" s="7"/>
      <c r="B868" s="6"/>
      <c r="C868" s="7"/>
      <c r="D868" s="7"/>
      <c r="E868" s="6"/>
      <c r="F868" s="6"/>
      <c r="G868" s="6"/>
      <c r="H868" s="6"/>
      <c r="I868" s="6"/>
      <c r="J868" s="7"/>
      <c r="K868" s="7"/>
      <c r="L868" s="7"/>
      <c r="M868" s="7"/>
      <c r="N868" s="7"/>
      <c r="O868" s="7"/>
      <c r="P868" s="7"/>
      <c r="Q868" s="7"/>
      <c r="R868" s="7"/>
      <c r="S868" s="7"/>
      <c r="T868" s="7"/>
      <c r="U868" s="7"/>
      <c r="V868" s="7"/>
      <c r="W868" s="7"/>
      <c r="X868" s="7"/>
      <c r="Y868" s="7"/>
      <c r="Z868" s="7"/>
    </row>
    <row r="869" spans="1:26" ht="21" customHeight="1" x14ac:dyDescent="0.2">
      <c r="A869" s="7"/>
      <c r="B869" s="6"/>
      <c r="C869" s="7"/>
      <c r="D869" s="7"/>
      <c r="E869" s="6"/>
      <c r="F869" s="6"/>
      <c r="G869" s="6"/>
      <c r="H869" s="6"/>
      <c r="I869" s="6"/>
      <c r="J869" s="7"/>
      <c r="K869" s="7"/>
      <c r="L869" s="7"/>
      <c r="M869" s="7"/>
      <c r="N869" s="7"/>
      <c r="O869" s="7"/>
      <c r="P869" s="7"/>
      <c r="Q869" s="7"/>
      <c r="R869" s="7"/>
      <c r="S869" s="7"/>
      <c r="T869" s="7"/>
      <c r="U869" s="7"/>
      <c r="V869" s="7"/>
      <c r="W869" s="7"/>
      <c r="X869" s="7"/>
      <c r="Y869" s="7"/>
      <c r="Z869" s="7"/>
    </row>
    <row r="870" spans="1:26" ht="21" customHeight="1" x14ac:dyDescent="0.2">
      <c r="A870" s="7"/>
      <c r="B870" s="6"/>
      <c r="C870" s="7"/>
      <c r="D870" s="7"/>
      <c r="E870" s="6"/>
      <c r="F870" s="6"/>
      <c r="G870" s="6"/>
      <c r="H870" s="6"/>
      <c r="I870" s="6"/>
      <c r="J870" s="7"/>
      <c r="K870" s="7"/>
      <c r="L870" s="7"/>
      <c r="M870" s="7"/>
      <c r="N870" s="7"/>
      <c r="O870" s="7"/>
      <c r="P870" s="7"/>
      <c r="Q870" s="7"/>
      <c r="R870" s="7"/>
      <c r="S870" s="7"/>
      <c r="T870" s="7"/>
      <c r="U870" s="7"/>
      <c r="V870" s="7"/>
      <c r="W870" s="7"/>
      <c r="X870" s="7"/>
      <c r="Y870" s="7"/>
      <c r="Z870" s="7"/>
    </row>
    <row r="871" spans="1:26" ht="21" customHeight="1" x14ac:dyDescent="0.2">
      <c r="A871" s="7"/>
      <c r="B871" s="6"/>
      <c r="C871" s="7"/>
      <c r="D871" s="7"/>
      <c r="E871" s="6"/>
      <c r="F871" s="6"/>
      <c r="G871" s="6"/>
      <c r="H871" s="6"/>
      <c r="I871" s="6"/>
      <c r="J871" s="7"/>
      <c r="K871" s="7"/>
      <c r="L871" s="7"/>
      <c r="M871" s="7"/>
      <c r="N871" s="7"/>
      <c r="O871" s="7"/>
      <c r="P871" s="7"/>
      <c r="Q871" s="7"/>
      <c r="R871" s="7"/>
      <c r="S871" s="7"/>
      <c r="T871" s="7"/>
      <c r="U871" s="7"/>
      <c r="V871" s="7"/>
      <c r="W871" s="7"/>
      <c r="X871" s="7"/>
      <c r="Y871" s="7"/>
      <c r="Z871" s="7"/>
    </row>
    <row r="872" spans="1:26" ht="21" customHeight="1" x14ac:dyDescent="0.2">
      <c r="A872" s="7"/>
      <c r="B872" s="6"/>
      <c r="C872" s="7"/>
      <c r="D872" s="7"/>
      <c r="E872" s="6"/>
      <c r="F872" s="6"/>
      <c r="G872" s="6"/>
      <c r="H872" s="6"/>
      <c r="I872" s="6"/>
      <c r="J872" s="7"/>
      <c r="K872" s="7"/>
      <c r="L872" s="7"/>
      <c r="M872" s="7"/>
      <c r="N872" s="7"/>
      <c r="O872" s="7"/>
      <c r="P872" s="7"/>
      <c r="Q872" s="7"/>
      <c r="R872" s="7"/>
      <c r="S872" s="7"/>
      <c r="T872" s="7"/>
      <c r="U872" s="7"/>
      <c r="V872" s="7"/>
      <c r="W872" s="7"/>
      <c r="X872" s="7"/>
      <c r="Y872" s="7"/>
      <c r="Z872" s="7"/>
    </row>
    <row r="873" spans="1:26" ht="21" customHeight="1" x14ac:dyDescent="0.2">
      <c r="A873" s="7"/>
      <c r="B873" s="6"/>
      <c r="C873" s="7"/>
      <c r="D873" s="7"/>
      <c r="E873" s="6"/>
      <c r="F873" s="6"/>
      <c r="G873" s="6"/>
      <c r="H873" s="6"/>
      <c r="I873" s="6"/>
      <c r="J873" s="7"/>
      <c r="K873" s="7"/>
      <c r="L873" s="7"/>
      <c r="M873" s="7"/>
      <c r="N873" s="7"/>
      <c r="O873" s="7"/>
      <c r="P873" s="7"/>
      <c r="Q873" s="7"/>
      <c r="R873" s="7"/>
      <c r="S873" s="7"/>
      <c r="T873" s="7"/>
      <c r="U873" s="7"/>
      <c r="V873" s="7"/>
      <c r="W873" s="7"/>
      <c r="X873" s="7"/>
      <c r="Y873" s="7"/>
      <c r="Z873" s="7"/>
    </row>
    <row r="874" spans="1:26" ht="21" customHeight="1" x14ac:dyDescent="0.2">
      <c r="A874" s="7"/>
      <c r="B874" s="6"/>
      <c r="C874" s="7"/>
      <c r="D874" s="7"/>
      <c r="E874" s="6"/>
      <c r="F874" s="6"/>
      <c r="G874" s="6"/>
      <c r="H874" s="6"/>
      <c r="I874" s="6"/>
      <c r="J874" s="7"/>
      <c r="K874" s="7"/>
      <c r="L874" s="7"/>
      <c r="M874" s="7"/>
      <c r="N874" s="7"/>
      <c r="O874" s="7"/>
      <c r="P874" s="7"/>
      <c r="Q874" s="7"/>
      <c r="R874" s="7"/>
      <c r="S874" s="7"/>
      <c r="T874" s="7"/>
      <c r="U874" s="7"/>
      <c r="V874" s="7"/>
      <c r="W874" s="7"/>
      <c r="X874" s="7"/>
      <c r="Y874" s="7"/>
      <c r="Z874" s="7"/>
    </row>
    <row r="875" spans="1:26" ht="21" customHeight="1" x14ac:dyDescent="0.2">
      <c r="A875" s="7"/>
      <c r="B875" s="6"/>
      <c r="C875" s="7"/>
      <c r="D875" s="7"/>
      <c r="E875" s="6"/>
      <c r="F875" s="6"/>
      <c r="G875" s="6"/>
      <c r="H875" s="6"/>
      <c r="I875" s="6"/>
      <c r="J875" s="7"/>
      <c r="K875" s="7"/>
      <c r="L875" s="7"/>
      <c r="M875" s="7"/>
      <c r="N875" s="7"/>
      <c r="O875" s="7"/>
      <c r="P875" s="7"/>
      <c r="Q875" s="7"/>
      <c r="R875" s="7"/>
      <c r="S875" s="7"/>
      <c r="T875" s="7"/>
      <c r="U875" s="7"/>
      <c r="V875" s="7"/>
      <c r="W875" s="7"/>
      <c r="X875" s="7"/>
      <c r="Y875" s="7"/>
      <c r="Z875" s="7"/>
    </row>
    <row r="876" spans="1:26" ht="21" customHeight="1" x14ac:dyDescent="0.2">
      <c r="A876" s="7"/>
      <c r="B876" s="6"/>
      <c r="C876" s="7"/>
      <c r="D876" s="7"/>
      <c r="E876" s="6"/>
      <c r="F876" s="6"/>
      <c r="G876" s="6"/>
      <c r="H876" s="6"/>
      <c r="I876" s="6"/>
      <c r="J876" s="7"/>
      <c r="K876" s="7"/>
      <c r="L876" s="7"/>
      <c r="M876" s="7"/>
      <c r="N876" s="7"/>
      <c r="O876" s="7"/>
      <c r="P876" s="7"/>
      <c r="Q876" s="7"/>
      <c r="R876" s="7"/>
      <c r="S876" s="7"/>
      <c r="T876" s="7"/>
      <c r="U876" s="7"/>
      <c r="V876" s="7"/>
      <c r="W876" s="7"/>
      <c r="X876" s="7"/>
      <c r="Y876" s="7"/>
      <c r="Z876" s="7"/>
    </row>
    <row r="877" spans="1:26" ht="21" customHeight="1" x14ac:dyDescent="0.2">
      <c r="A877" s="7"/>
      <c r="B877" s="6"/>
      <c r="C877" s="7"/>
      <c r="D877" s="7"/>
      <c r="E877" s="6"/>
      <c r="F877" s="6"/>
      <c r="G877" s="6"/>
      <c r="H877" s="6"/>
      <c r="I877" s="6"/>
      <c r="J877" s="7"/>
      <c r="K877" s="7"/>
      <c r="L877" s="7"/>
      <c r="M877" s="7"/>
      <c r="N877" s="7"/>
      <c r="O877" s="7"/>
      <c r="P877" s="7"/>
      <c r="Q877" s="7"/>
      <c r="R877" s="7"/>
      <c r="S877" s="7"/>
      <c r="T877" s="7"/>
      <c r="U877" s="7"/>
      <c r="V877" s="7"/>
      <c r="W877" s="7"/>
      <c r="X877" s="7"/>
      <c r="Y877" s="7"/>
      <c r="Z877" s="7"/>
    </row>
    <row r="878" spans="1:26" ht="21" customHeight="1" x14ac:dyDescent="0.2">
      <c r="A878" s="7"/>
      <c r="B878" s="6"/>
      <c r="C878" s="7"/>
      <c r="D878" s="7"/>
      <c r="E878" s="6"/>
      <c r="F878" s="6"/>
      <c r="G878" s="6"/>
      <c r="H878" s="6"/>
      <c r="I878" s="6"/>
      <c r="J878" s="7"/>
      <c r="K878" s="7"/>
      <c r="L878" s="7"/>
      <c r="M878" s="7"/>
      <c r="N878" s="7"/>
      <c r="O878" s="7"/>
      <c r="P878" s="7"/>
      <c r="Q878" s="7"/>
      <c r="R878" s="7"/>
      <c r="S878" s="7"/>
      <c r="T878" s="7"/>
      <c r="U878" s="7"/>
      <c r="V878" s="7"/>
      <c r="W878" s="7"/>
      <c r="X878" s="7"/>
      <c r="Y878" s="7"/>
      <c r="Z878" s="7"/>
    </row>
    <row r="879" spans="1:26" ht="21" customHeight="1" x14ac:dyDescent="0.2">
      <c r="A879" s="7"/>
      <c r="B879" s="6"/>
      <c r="C879" s="7"/>
      <c r="D879" s="7"/>
      <c r="E879" s="6"/>
      <c r="F879" s="6"/>
      <c r="G879" s="6"/>
      <c r="H879" s="6"/>
      <c r="I879" s="6"/>
      <c r="J879" s="7"/>
      <c r="K879" s="7"/>
      <c r="L879" s="7"/>
      <c r="M879" s="7"/>
      <c r="N879" s="7"/>
      <c r="O879" s="7"/>
      <c r="P879" s="7"/>
      <c r="Q879" s="7"/>
      <c r="R879" s="7"/>
      <c r="S879" s="7"/>
      <c r="T879" s="7"/>
      <c r="U879" s="7"/>
      <c r="V879" s="7"/>
      <c r="W879" s="7"/>
      <c r="X879" s="7"/>
      <c r="Y879" s="7"/>
      <c r="Z879" s="7"/>
    </row>
    <row r="880" spans="1:26" ht="21" customHeight="1" x14ac:dyDescent="0.2">
      <c r="A880" s="7"/>
      <c r="B880" s="6"/>
      <c r="C880" s="7"/>
      <c r="D880" s="7"/>
      <c r="E880" s="6"/>
      <c r="F880" s="6"/>
      <c r="G880" s="6"/>
      <c r="H880" s="6"/>
      <c r="I880" s="6"/>
      <c r="J880" s="7"/>
      <c r="K880" s="7"/>
      <c r="L880" s="7"/>
      <c r="M880" s="7"/>
      <c r="N880" s="7"/>
      <c r="O880" s="7"/>
      <c r="P880" s="7"/>
      <c r="Q880" s="7"/>
      <c r="R880" s="7"/>
      <c r="S880" s="7"/>
      <c r="T880" s="7"/>
      <c r="U880" s="7"/>
      <c r="V880" s="7"/>
      <c r="W880" s="7"/>
      <c r="X880" s="7"/>
      <c r="Y880" s="7"/>
      <c r="Z880" s="7"/>
    </row>
    <row r="881" spans="1:26" ht="21" customHeight="1" x14ac:dyDescent="0.2">
      <c r="A881" s="7"/>
      <c r="B881" s="6"/>
      <c r="C881" s="7"/>
      <c r="D881" s="7"/>
      <c r="E881" s="6"/>
      <c r="F881" s="6"/>
      <c r="G881" s="6"/>
      <c r="H881" s="6"/>
      <c r="I881" s="6"/>
      <c r="J881" s="7"/>
      <c r="K881" s="7"/>
      <c r="L881" s="7"/>
      <c r="M881" s="7"/>
      <c r="N881" s="7"/>
      <c r="O881" s="7"/>
      <c r="P881" s="7"/>
      <c r="Q881" s="7"/>
      <c r="R881" s="7"/>
      <c r="S881" s="7"/>
      <c r="T881" s="7"/>
      <c r="U881" s="7"/>
      <c r="V881" s="7"/>
      <c r="W881" s="7"/>
      <c r="X881" s="7"/>
      <c r="Y881" s="7"/>
      <c r="Z881" s="7"/>
    </row>
    <row r="882" spans="1:26" ht="21" customHeight="1" x14ac:dyDescent="0.2">
      <c r="A882" s="7"/>
      <c r="B882" s="6"/>
      <c r="C882" s="7"/>
      <c r="D882" s="7"/>
      <c r="E882" s="6"/>
      <c r="F882" s="6"/>
      <c r="G882" s="6"/>
      <c r="H882" s="6"/>
      <c r="I882" s="6"/>
      <c r="J882" s="7"/>
      <c r="K882" s="7"/>
      <c r="L882" s="7"/>
      <c r="M882" s="7"/>
      <c r="N882" s="7"/>
      <c r="O882" s="7"/>
      <c r="P882" s="7"/>
      <c r="Q882" s="7"/>
      <c r="R882" s="7"/>
      <c r="S882" s="7"/>
      <c r="T882" s="7"/>
      <c r="U882" s="7"/>
      <c r="V882" s="7"/>
      <c r="W882" s="7"/>
      <c r="X882" s="7"/>
      <c r="Y882" s="7"/>
      <c r="Z882" s="7"/>
    </row>
    <row r="883" spans="1:26" ht="21" customHeight="1" x14ac:dyDescent="0.2">
      <c r="A883" s="7"/>
      <c r="B883" s="6"/>
      <c r="C883" s="7"/>
      <c r="D883" s="7"/>
      <c r="E883" s="6"/>
      <c r="F883" s="6"/>
      <c r="G883" s="6"/>
      <c r="H883" s="6"/>
      <c r="I883" s="6"/>
      <c r="J883" s="7"/>
      <c r="K883" s="7"/>
      <c r="L883" s="7"/>
      <c r="M883" s="7"/>
      <c r="N883" s="7"/>
      <c r="O883" s="7"/>
      <c r="P883" s="7"/>
      <c r="Q883" s="7"/>
      <c r="R883" s="7"/>
      <c r="S883" s="7"/>
      <c r="T883" s="7"/>
      <c r="U883" s="7"/>
      <c r="V883" s="7"/>
      <c r="W883" s="7"/>
      <c r="X883" s="7"/>
      <c r="Y883" s="7"/>
      <c r="Z883" s="7"/>
    </row>
    <row r="884" spans="1:26" ht="21" customHeight="1" x14ac:dyDescent="0.2">
      <c r="A884" s="7"/>
      <c r="B884" s="6"/>
      <c r="C884" s="7"/>
      <c r="D884" s="7"/>
      <c r="E884" s="6"/>
      <c r="F884" s="6"/>
      <c r="G884" s="6"/>
      <c r="H884" s="6"/>
      <c r="I884" s="6"/>
      <c r="J884" s="7"/>
      <c r="K884" s="7"/>
      <c r="L884" s="7"/>
      <c r="M884" s="7"/>
      <c r="N884" s="7"/>
      <c r="O884" s="7"/>
      <c r="P884" s="7"/>
      <c r="Q884" s="7"/>
      <c r="R884" s="7"/>
      <c r="S884" s="7"/>
      <c r="T884" s="7"/>
      <c r="U884" s="7"/>
      <c r="V884" s="7"/>
      <c r="W884" s="7"/>
      <c r="X884" s="7"/>
      <c r="Y884" s="7"/>
      <c r="Z884" s="7"/>
    </row>
    <row r="885" spans="1:26" ht="21" customHeight="1" x14ac:dyDescent="0.2">
      <c r="A885" s="7"/>
      <c r="B885" s="6"/>
      <c r="C885" s="7"/>
      <c r="D885" s="7"/>
      <c r="E885" s="6"/>
      <c r="F885" s="6"/>
      <c r="G885" s="6"/>
      <c r="H885" s="6"/>
      <c r="I885" s="6"/>
      <c r="J885" s="7"/>
      <c r="K885" s="7"/>
      <c r="L885" s="7"/>
      <c r="M885" s="7"/>
      <c r="N885" s="7"/>
      <c r="O885" s="7"/>
      <c r="P885" s="7"/>
      <c r="Q885" s="7"/>
      <c r="R885" s="7"/>
      <c r="S885" s="7"/>
      <c r="T885" s="7"/>
      <c r="U885" s="7"/>
      <c r="V885" s="7"/>
      <c r="W885" s="7"/>
      <c r="X885" s="7"/>
      <c r="Y885" s="7"/>
      <c r="Z885" s="7"/>
    </row>
    <row r="886" spans="1:26" ht="21" customHeight="1" x14ac:dyDescent="0.2">
      <c r="A886" s="7"/>
      <c r="B886" s="6"/>
      <c r="C886" s="7"/>
      <c r="D886" s="7"/>
      <c r="E886" s="6"/>
      <c r="F886" s="6"/>
      <c r="G886" s="6"/>
      <c r="H886" s="6"/>
      <c r="I886" s="6"/>
      <c r="J886" s="7"/>
      <c r="K886" s="7"/>
      <c r="L886" s="7"/>
      <c r="M886" s="7"/>
      <c r="N886" s="7"/>
      <c r="O886" s="7"/>
      <c r="P886" s="7"/>
      <c r="Q886" s="7"/>
      <c r="R886" s="7"/>
      <c r="S886" s="7"/>
      <c r="T886" s="7"/>
      <c r="U886" s="7"/>
      <c r="V886" s="7"/>
      <c r="W886" s="7"/>
      <c r="X886" s="7"/>
      <c r="Y886" s="7"/>
      <c r="Z886" s="7"/>
    </row>
    <row r="887" spans="1:26" ht="21" customHeight="1" x14ac:dyDescent="0.2">
      <c r="A887" s="7"/>
      <c r="B887" s="6"/>
      <c r="C887" s="7"/>
      <c r="D887" s="7"/>
      <c r="E887" s="6"/>
      <c r="F887" s="6"/>
      <c r="G887" s="6"/>
      <c r="H887" s="6"/>
      <c r="I887" s="6"/>
      <c r="J887" s="7"/>
      <c r="K887" s="7"/>
      <c r="L887" s="7"/>
      <c r="M887" s="7"/>
      <c r="N887" s="7"/>
      <c r="O887" s="7"/>
      <c r="P887" s="7"/>
      <c r="Q887" s="7"/>
      <c r="R887" s="7"/>
      <c r="S887" s="7"/>
      <c r="T887" s="7"/>
      <c r="U887" s="7"/>
      <c r="V887" s="7"/>
      <c r="W887" s="7"/>
      <c r="X887" s="7"/>
      <c r="Y887" s="7"/>
      <c r="Z887" s="7"/>
    </row>
    <row r="888" spans="1:26" ht="21" customHeight="1" x14ac:dyDescent="0.2">
      <c r="A888" s="7"/>
      <c r="B888" s="6"/>
      <c r="C888" s="7"/>
      <c r="D888" s="7"/>
      <c r="E888" s="6"/>
      <c r="F888" s="6"/>
      <c r="G888" s="6"/>
      <c r="H888" s="6"/>
      <c r="I888" s="6"/>
      <c r="J888" s="7"/>
      <c r="K888" s="7"/>
      <c r="L888" s="7"/>
      <c r="M888" s="7"/>
      <c r="N888" s="7"/>
      <c r="O888" s="7"/>
      <c r="P888" s="7"/>
      <c r="Q888" s="7"/>
      <c r="R888" s="7"/>
      <c r="S888" s="7"/>
      <c r="T888" s="7"/>
      <c r="U888" s="7"/>
      <c r="V888" s="7"/>
      <c r="W888" s="7"/>
      <c r="X888" s="7"/>
      <c r="Y888" s="7"/>
      <c r="Z888" s="7"/>
    </row>
    <row r="889" spans="1:26" ht="21" customHeight="1" x14ac:dyDescent="0.2">
      <c r="A889" s="7"/>
      <c r="B889" s="6"/>
      <c r="C889" s="7"/>
      <c r="D889" s="7"/>
      <c r="E889" s="6"/>
      <c r="F889" s="6"/>
      <c r="G889" s="6"/>
      <c r="H889" s="6"/>
      <c r="I889" s="6"/>
      <c r="J889" s="7"/>
      <c r="K889" s="7"/>
      <c r="L889" s="7"/>
      <c r="M889" s="7"/>
      <c r="N889" s="7"/>
      <c r="O889" s="7"/>
      <c r="P889" s="7"/>
      <c r="Q889" s="7"/>
      <c r="R889" s="7"/>
      <c r="S889" s="7"/>
      <c r="T889" s="7"/>
      <c r="U889" s="7"/>
      <c r="V889" s="7"/>
      <c r="W889" s="7"/>
      <c r="X889" s="7"/>
      <c r="Y889" s="7"/>
      <c r="Z889" s="7"/>
    </row>
    <row r="890" spans="1:26" ht="21" customHeight="1" x14ac:dyDescent="0.2">
      <c r="A890" s="7"/>
      <c r="B890" s="6"/>
      <c r="C890" s="7"/>
      <c r="D890" s="7"/>
      <c r="E890" s="6"/>
      <c r="F890" s="6"/>
      <c r="G890" s="6"/>
      <c r="H890" s="6"/>
      <c r="I890" s="6"/>
      <c r="J890" s="7"/>
      <c r="K890" s="7"/>
      <c r="L890" s="7"/>
      <c r="M890" s="7"/>
      <c r="N890" s="7"/>
      <c r="O890" s="7"/>
      <c r="P890" s="7"/>
      <c r="Q890" s="7"/>
      <c r="R890" s="7"/>
      <c r="S890" s="7"/>
      <c r="T890" s="7"/>
      <c r="U890" s="7"/>
      <c r="V890" s="7"/>
      <c r="W890" s="7"/>
      <c r="X890" s="7"/>
      <c r="Y890" s="7"/>
      <c r="Z890" s="7"/>
    </row>
    <row r="891" spans="1:26" ht="21" customHeight="1" x14ac:dyDescent="0.2">
      <c r="A891" s="7"/>
      <c r="B891" s="6"/>
      <c r="C891" s="7"/>
      <c r="D891" s="7"/>
      <c r="E891" s="6"/>
      <c r="F891" s="6"/>
      <c r="G891" s="6"/>
      <c r="H891" s="6"/>
      <c r="I891" s="6"/>
      <c r="J891" s="7"/>
      <c r="K891" s="7"/>
      <c r="L891" s="7"/>
      <c r="M891" s="7"/>
      <c r="N891" s="7"/>
      <c r="O891" s="7"/>
      <c r="P891" s="7"/>
      <c r="Q891" s="7"/>
      <c r="R891" s="7"/>
      <c r="S891" s="7"/>
      <c r="T891" s="7"/>
      <c r="U891" s="7"/>
      <c r="V891" s="7"/>
      <c r="W891" s="7"/>
      <c r="X891" s="7"/>
      <c r="Y891" s="7"/>
      <c r="Z891" s="7"/>
    </row>
    <row r="892" spans="1:26" ht="21" customHeight="1" x14ac:dyDescent="0.2">
      <c r="A892" s="7"/>
      <c r="B892" s="6"/>
      <c r="C892" s="7"/>
      <c r="D892" s="7"/>
      <c r="E892" s="6"/>
      <c r="F892" s="6"/>
      <c r="G892" s="6"/>
      <c r="H892" s="6"/>
      <c r="I892" s="6"/>
      <c r="J892" s="7"/>
      <c r="K892" s="7"/>
      <c r="L892" s="7"/>
      <c r="M892" s="7"/>
      <c r="N892" s="7"/>
      <c r="O892" s="7"/>
      <c r="P892" s="7"/>
      <c r="Q892" s="7"/>
      <c r="R892" s="7"/>
      <c r="S892" s="7"/>
      <c r="T892" s="7"/>
      <c r="U892" s="7"/>
      <c r="V892" s="7"/>
      <c r="W892" s="7"/>
      <c r="X892" s="7"/>
      <c r="Y892" s="7"/>
      <c r="Z892" s="7"/>
    </row>
    <row r="893" spans="1:26" ht="21" customHeight="1" x14ac:dyDescent="0.2">
      <c r="A893" s="7"/>
      <c r="B893" s="6"/>
      <c r="C893" s="7"/>
      <c r="D893" s="7"/>
      <c r="E893" s="6"/>
      <c r="F893" s="6"/>
      <c r="G893" s="6"/>
      <c r="H893" s="6"/>
      <c r="I893" s="6"/>
      <c r="J893" s="7"/>
      <c r="K893" s="7"/>
      <c r="L893" s="7"/>
      <c r="M893" s="7"/>
      <c r="N893" s="7"/>
      <c r="O893" s="7"/>
      <c r="P893" s="7"/>
      <c r="Q893" s="7"/>
      <c r="R893" s="7"/>
      <c r="S893" s="7"/>
      <c r="T893" s="7"/>
      <c r="U893" s="7"/>
      <c r="V893" s="7"/>
      <c r="W893" s="7"/>
      <c r="X893" s="7"/>
      <c r="Y893" s="7"/>
      <c r="Z893" s="7"/>
    </row>
    <row r="894" spans="1:26" ht="21" customHeight="1" x14ac:dyDescent="0.2">
      <c r="A894" s="7"/>
      <c r="B894" s="6"/>
      <c r="C894" s="7"/>
      <c r="D894" s="7"/>
      <c r="E894" s="6"/>
      <c r="F894" s="6"/>
      <c r="G894" s="6"/>
      <c r="H894" s="6"/>
      <c r="I894" s="6"/>
      <c r="J894" s="7"/>
      <c r="K894" s="7"/>
      <c r="L894" s="7"/>
      <c r="M894" s="7"/>
      <c r="N894" s="7"/>
      <c r="O894" s="7"/>
      <c r="P894" s="7"/>
      <c r="Q894" s="7"/>
      <c r="R894" s="7"/>
      <c r="S894" s="7"/>
      <c r="T894" s="7"/>
      <c r="U894" s="7"/>
      <c r="V894" s="7"/>
      <c r="W894" s="7"/>
      <c r="X894" s="7"/>
      <c r="Y894" s="7"/>
      <c r="Z894" s="7"/>
    </row>
    <row r="895" spans="1:26" ht="21" customHeight="1" x14ac:dyDescent="0.2">
      <c r="A895" s="7"/>
      <c r="B895" s="6"/>
      <c r="C895" s="7"/>
      <c r="D895" s="7"/>
      <c r="E895" s="6"/>
      <c r="F895" s="6"/>
      <c r="G895" s="6"/>
      <c r="H895" s="6"/>
      <c r="I895" s="6"/>
      <c r="J895" s="7"/>
      <c r="K895" s="7"/>
      <c r="L895" s="7"/>
      <c r="M895" s="7"/>
      <c r="N895" s="7"/>
      <c r="O895" s="7"/>
      <c r="P895" s="7"/>
      <c r="Q895" s="7"/>
      <c r="R895" s="7"/>
      <c r="S895" s="7"/>
      <c r="T895" s="7"/>
      <c r="U895" s="7"/>
      <c r="V895" s="7"/>
      <c r="W895" s="7"/>
      <c r="X895" s="7"/>
      <c r="Y895" s="7"/>
      <c r="Z895" s="7"/>
    </row>
    <row r="896" spans="1:26" ht="21" customHeight="1" x14ac:dyDescent="0.2">
      <c r="A896" s="7"/>
      <c r="B896" s="6"/>
      <c r="C896" s="7"/>
      <c r="D896" s="7"/>
      <c r="E896" s="6"/>
      <c r="F896" s="6"/>
      <c r="G896" s="6"/>
      <c r="H896" s="6"/>
      <c r="I896" s="6"/>
      <c r="J896" s="7"/>
      <c r="K896" s="7"/>
      <c r="L896" s="7"/>
      <c r="M896" s="7"/>
      <c r="N896" s="7"/>
      <c r="O896" s="7"/>
      <c r="P896" s="7"/>
      <c r="Q896" s="7"/>
      <c r="R896" s="7"/>
      <c r="S896" s="7"/>
      <c r="T896" s="7"/>
      <c r="U896" s="7"/>
      <c r="V896" s="7"/>
      <c r="W896" s="7"/>
      <c r="X896" s="7"/>
      <c r="Y896" s="7"/>
      <c r="Z896" s="7"/>
    </row>
    <row r="897" spans="1:26" ht="21" customHeight="1" x14ac:dyDescent="0.2">
      <c r="A897" s="7"/>
      <c r="B897" s="6"/>
      <c r="C897" s="7"/>
      <c r="D897" s="7"/>
      <c r="E897" s="6"/>
      <c r="F897" s="6"/>
      <c r="G897" s="6"/>
      <c r="H897" s="6"/>
      <c r="I897" s="6"/>
      <c r="J897" s="7"/>
      <c r="K897" s="7"/>
      <c r="L897" s="7"/>
      <c r="M897" s="7"/>
      <c r="N897" s="7"/>
      <c r="O897" s="7"/>
      <c r="P897" s="7"/>
      <c r="Q897" s="7"/>
      <c r="R897" s="7"/>
      <c r="S897" s="7"/>
      <c r="T897" s="7"/>
      <c r="U897" s="7"/>
      <c r="V897" s="7"/>
      <c r="W897" s="7"/>
      <c r="X897" s="7"/>
      <c r="Y897" s="7"/>
      <c r="Z897" s="7"/>
    </row>
    <row r="898" spans="1:26" ht="21" customHeight="1" x14ac:dyDescent="0.2">
      <c r="A898" s="7"/>
      <c r="B898" s="6"/>
      <c r="C898" s="7"/>
      <c r="D898" s="7"/>
      <c r="E898" s="6"/>
      <c r="F898" s="6"/>
      <c r="G898" s="6"/>
      <c r="H898" s="6"/>
      <c r="I898" s="6"/>
      <c r="J898" s="7"/>
      <c r="K898" s="7"/>
      <c r="L898" s="7"/>
      <c r="M898" s="7"/>
      <c r="N898" s="7"/>
      <c r="O898" s="7"/>
      <c r="P898" s="7"/>
      <c r="Q898" s="7"/>
      <c r="R898" s="7"/>
      <c r="S898" s="7"/>
      <c r="T898" s="7"/>
      <c r="U898" s="7"/>
      <c r="V898" s="7"/>
      <c r="W898" s="7"/>
      <c r="X898" s="7"/>
      <c r="Y898" s="7"/>
      <c r="Z898" s="7"/>
    </row>
    <row r="899" spans="1:26" ht="21" customHeight="1" x14ac:dyDescent="0.2">
      <c r="A899" s="7"/>
      <c r="B899" s="6"/>
      <c r="C899" s="7"/>
      <c r="D899" s="7"/>
      <c r="E899" s="6"/>
      <c r="F899" s="6"/>
      <c r="G899" s="6"/>
      <c r="H899" s="6"/>
      <c r="I899" s="6"/>
      <c r="J899" s="7"/>
      <c r="K899" s="7"/>
      <c r="L899" s="7"/>
      <c r="M899" s="7"/>
      <c r="N899" s="7"/>
      <c r="O899" s="7"/>
      <c r="P899" s="7"/>
      <c r="Q899" s="7"/>
      <c r="R899" s="7"/>
      <c r="S899" s="7"/>
      <c r="T899" s="7"/>
      <c r="U899" s="7"/>
      <c r="V899" s="7"/>
      <c r="W899" s="7"/>
      <c r="X899" s="7"/>
      <c r="Y899" s="7"/>
      <c r="Z899" s="7"/>
    </row>
    <row r="900" spans="1:26" ht="21" customHeight="1" x14ac:dyDescent="0.2">
      <c r="A900" s="7"/>
      <c r="B900" s="6"/>
      <c r="C900" s="7"/>
      <c r="D900" s="7"/>
      <c r="E900" s="6"/>
      <c r="F900" s="6"/>
      <c r="G900" s="6"/>
      <c r="H900" s="6"/>
      <c r="I900" s="6"/>
      <c r="J900" s="7"/>
      <c r="K900" s="7"/>
      <c r="L900" s="7"/>
      <c r="M900" s="7"/>
      <c r="N900" s="7"/>
      <c r="O900" s="7"/>
      <c r="P900" s="7"/>
      <c r="Q900" s="7"/>
      <c r="R900" s="7"/>
      <c r="S900" s="7"/>
      <c r="T900" s="7"/>
      <c r="U900" s="7"/>
      <c r="V900" s="7"/>
      <c r="W900" s="7"/>
      <c r="X900" s="7"/>
      <c r="Y900" s="7"/>
      <c r="Z900" s="7"/>
    </row>
    <row r="901" spans="1:26" ht="21" customHeight="1" x14ac:dyDescent="0.2">
      <c r="A901" s="7"/>
      <c r="B901" s="6"/>
      <c r="C901" s="7"/>
      <c r="D901" s="7"/>
      <c r="E901" s="6"/>
      <c r="F901" s="6"/>
      <c r="G901" s="6"/>
      <c r="H901" s="6"/>
      <c r="I901" s="6"/>
      <c r="J901" s="7"/>
      <c r="K901" s="7"/>
      <c r="L901" s="7"/>
      <c r="M901" s="7"/>
      <c r="N901" s="7"/>
      <c r="O901" s="7"/>
      <c r="P901" s="7"/>
      <c r="Q901" s="7"/>
      <c r="R901" s="7"/>
      <c r="S901" s="7"/>
      <c r="T901" s="7"/>
      <c r="U901" s="7"/>
      <c r="V901" s="7"/>
      <c r="W901" s="7"/>
      <c r="X901" s="7"/>
      <c r="Y901" s="7"/>
      <c r="Z901" s="7"/>
    </row>
    <row r="902" spans="1:26" ht="21" customHeight="1" x14ac:dyDescent="0.2">
      <c r="A902" s="7"/>
      <c r="B902" s="6"/>
      <c r="C902" s="7"/>
      <c r="D902" s="7"/>
      <c r="E902" s="6"/>
      <c r="F902" s="6"/>
      <c r="G902" s="6"/>
      <c r="H902" s="6"/>
      <c r="I902" s="6"/>
      <c r="J902" s="7"/>
      <c r="K902" s="7"/>
      <c r="L902" s="7"/>
      <c r="M902" s="7"/>
      <c r="N902" s="7"/>
      <c r="O902" s="7"/>
      <c r="P902" s="7"/>
      <c r="Q902" s="7"/>
      <c r="R902" s="7"/>
      <c r="S902" s="7"/>
      <c r="T902" s="7"/>
      <c r="U902" s="7"/>
      <c r="V902" s="7"/>
      <c r="W902" s="7"/>
      <c r="X902" s="7"/>
      <c r="Y902" s="7"/>
      <c r="Z902" s="7"/>
    </row>
    <row r="903" spans="1:26" ht="21" customHeight="1" x14ac:dyDescent="0.2">
      <c r="A903" s="7"/>
      <c r="B903" s="6"/>
      <c r="C903" s="7"/>
      <c r="D903" s="7"/>
      <c r="E903" s="6"/>
      <c r="F903" s="6"/>
      <c r="G903" s="6"/>
      <c r="H903" s="6"/>
      <c r="I903" s="6"/>
      <c r="J903" s="7"/>
      <c r="K903" s="7"/>
      <c r="L903" s="7"/>
      <c r="M903" s="7"/>
      <c r="N903" s="7"/>
      <c r="O903" s="7"/>
      <c r="P903" s="7"/>
      <c r="Q903" s="7"/>
      <c r="R903" s="7"/>
      <c r="S903" s="7"/>
      <c r="T903" s="7"/>
      <c r="U903" s="7"/>
      <c r="V903" s="7"/>
      <c r="W903" s="7"/>
      <c r="X903" s="7"/>
      <c r="Y903" s="7"/>
      <c r="Z903" s="7"/>
    </row>
    <row r="904" spans="1:26" ht="21" customHeight="1" x14ac:dyDescent="0.2">
      <c r="A904" s="7"/>
      <c r="B904" s="6"/>
      <c r="C904" s="7"/>
      <c r="D904" s="7"/>
      <c r="E904" s="6"/>
      <c r="F904" s="6"/>
      <c r="G904" s="6"/>
      <c r="H904" s="6"/>
      <c r="I904" s="6"/>
      <c r="J904" s="7"/>
      <c r="K904" s="7"/>
      <c r="L904" s="7"/>
      <c r="M904" s="7"/>
      <c r="N904" s="7"/>
      <c r="O904" s="7"/>
      <c r="P904" s="7"/>
      <c r="Q904" s="7"/>
      <c r="R904" s="7"/>
      <c r="S904" s="7"/>
      <c r="T904" s="7"/>
      <c r="U904" s="7"/>
      <c r="V904" s="7"/>
      <c r="W904" s="7"/>
      <c r="X904" s="7"/>
      <c r="Y904" s="7"/>
      <c r="Z904" s="7"/>
    </row>
    <row r="905" spans="1:26" ht="21" customHeight="1" x14ac:dyDescent="0.2">
      <c r="A905" s="7"/>
      <c r="B905" s="6"/>
      <c r="C905" s="7"/>
      <c r="D905" s="7"/>
      <c r="E905" s="6"/>
      <c r="F905" s="6"/>
      <c r="G905" s="6"/>
      <c r="H905" s="6"/>
      <c r="I905" s="6"/>
      <c r="J905" s="7"/>
      <c r="K905" s="7"/>
      <c r="L905" s="7"/>
      <c r="M905" s="7"/>
      <c r="N905" s="7"/>
      <c r="O905" s="7"/>
      <c r="P905" s="7"/>
      <c r="Q905" s="7"/>
      <c r="R905" s="7"/>
      <c r="S905" s="7"/>
      <c r="T905" s="7"/>
      <c r="U905" s="7"/>
      <c r="V905" s="7"/>
      <c r="W905" s="7"/>
      <c r="X905" s="7"/>
      <c r="Y905" s="7"/>
      <c r="Z905" s="7"/>
    </row>
    <row r="906" spans="1:26" ht="21" customHeight="1" x14ac:dyDescent="0.2">
      <c r="A906" s="7"/>
      <c r="B906" s="6"/>
      <c r="C906" s="7"/>
      <c r="D906" s="7"/>
      <c r="E906" s="6"/>
      <c r="F906" s="6"/>
      <c r="G906" s="6"/>
      <c r="H906" s="6"/>
      <c r="I906" s="6"/>
      <c r="J906" s="7"/>
      <c r="K906" s="7"/>
      <c r="L906" s="7"/>
      <c r="M906" s="7"/>
      <c r="N906" s="7"/>
      <c r="O906" s="7"/>
      <c r="P906" s="7"/>
      <c r="Q906" s="7"/>
      <c r="R906" s="7"/>
      <c r="S906" s="7"/>
      <c r="T906" s="7"/>
      <c r="U906" s="7"/>
      <c r="V906" s="7"/>
      <c r="W906" s="7"/>
      <c r="X906" s="7"/>
      <c r="Y906" s="7"/>
      <c r="Z906" s="7"/>
    </row>
    <row r="907" spans="1:26" ht="21" customHeight="1" x14ac:dyDescent="0.2">
      <c r="A907" s="7"/>
      <c r="B907" s="6"/>
      <c r="C907" s="7"/>
      <c r="D907" s="7"/>
      <c r="E907" s="6"/>
      <c r="F907" s="6"/>
      <c r="G907" s="6"/>
      <c r="H907" s="6"/>
      <c r="I907" s="6"/>
      <c r="J907" s="7"/>
      <c r="K907" s="7"/>
      <c r="L907" s="7"/>
      <c r="M907" s="7"/>
      <c r="N907" s="7"/>
      <c r="O907" s="7"/>
      <c r="P907" s="7"/>
      <c r="Q907" s="7"/>
      <c r="R907" s="7"/>
      <c r="S907" s="7"/>
      <c r="T907" s="7"/>
      <c r="U907" s="7"/>
      <c r="V907" s="7"/>
      <c r="W907" s="7"/>
      <c r="X907" s="7"/>
      <c r="Y907" s="7"/>
      <c r="Z907" s="7"/>
    </row>
    <row r="908" spans="1:26" ht="21" customHeight="1" x14ac:dyDescent="0.2">
      <c r="A908" s="7"/>
      <c r="B908" s="6"/>
      <c r="C908" s="7"/>
      <c r="D908" s="7"/>
      <c r="E908" s="6"/>
      <c r="F908" s="6"/>
      <c r="G908" s="6"/>
      <c r="H908" s="6"/>
      <c r="I908" s="6"/>
      <c r="J908" s="7"/>
      <c r="K908" s="7"/>
      <c r="L908" s="7"/>
      <c r="M908" s="7"/>
      <c r="N908" s="7"/>
      <c r="O908" s="7"/>
      <c r="P908" s="7"/>
      <c r="Q908" s="7"/>
      <c r="R908" s="7"/>
      <c r="S908" s="7"/>
      <c r="T908" s="7"/>
      <c r="U908" s="7"/>
      <c r="V908" s="7"/>
      <c r="W908" s="7"/>
      <c r="X908" s="7"/>
      <c r="Y908" s="7"/>
      <c r="Z908" s="7"/>
    </row>
    <row r="909" spans="1:26" ht="21" customHeight="1" x14ac:dyDescent="0.2">
      <c r="A909" s="7"/>
      <c r="B909" s="6"/>
      <c r="C909" s="7"/>
      <c r="D909" s="7"/>
      <c r="E909" s="6"/>
      <c r="F909" s="6"/>
      <c r="G909" s="6"/>
      <c r="H909" s="6"/>
      <c r="I909" s="6"/>
      <c r="J909" s="7"/>
      <c r="K909" s="7"/>
      <c r="L909" s="7"/>
      <c r="M909" s="7"/>
      <c r="N909" s="7"/>
      <c r="O909" s="7"/>
      <c r="P909" s="7"/>
      <c r="Q909" s="7"/>
      <c r="R909" s="7"/>
      <c r="S909" s="7"/>
      <c r="T909" s="7"/>
      <c r="U909" s="7"/>
      <c r="V909" s="7"/>
      <c r="W909" s="7"/>
      <c r="X909" s="7"/>
      <c r="Y909" s="7"/>
      <c r="Z909" s="7"/>
    </row>
    <row r="910" spans="1:26" ht="21" customHeight="1" x14ac:dyDescent="0.2">
      <c r="A910" s="7"/>
      <c r="B910" s="6"/>
      <c r="C910" s="7"/>
      <c r="D910" s="7"/>
      <c r="E910" s="6"/>
      <c r="F910" s="6"/>
      <c r="G910" s="6"/>
      <c r="H910" s="6"/>
      <c r="I910" s="6"/>
      <c r="J910" s="7"/>
      <c r="K910" s="7"/>
      <c r="L910" s="7"/>
      <c r="M910" s="7"/>
      <c r="N910" s="7"/>
      <c r="O910" s="7"/>
      <c r="P910" s="7"/>
      <c r="Q910" s="7"/>
      <c r="R910" s="7"/>
      <c r="S910" s="7"/>
      <c r="T910" s="7"/>
      <c r="U910" s="7"/>
      <c r="V910" s="7"/>
      <c r="W910" s="7"/>
      <c r="X910" s="7"/>
      <c r="Y910" s="7"/>
      <c r="Z910" s="7"/>
    </row>
    <row r="911" spans="1:26" ht="21" customHeight="1" x14ac:dyDescent="0.2">
      <c r="A911" s="7"/>
      <c r="B911" s="6"/>
      <c r="C911" s="7"/>
      <c r="D911" s="7"/>
      <c r="E911" s="6"/>
      <c r="F911" s="6"/>
      <c r="G911" s="6"/>
      <c r="H911" s="6"/>
      <c r="I911" s="6"/>
      <c r="J911" s="7"/>
      <c r="K911" s="7"/>
      <c r="L911" s="7"/>
      <c r="M911" s="7"/>
      <c r="N911" s="7"/>
      <c r="O911" s="7"/>
      <c r="P911" s="7"/>
      <c r="Q911" s="7"/>
      <c r="R911" s="7"/>
      <c r="S911" s="7"/>
      <c r="T911" s="7"/>
      <c r="U911" s="7"/>
      <c r="V911" s="7"/>
      <c r="W911" s="7"/>
      <c r="X911" s="7"/>
      <c r="Y911" s="7"/>
      <c r="Z911" s="7"/>
    </row>
    <row r="912" spans="1:26" ht="21" customHeight="1" x14ac:dyDescent="0.2">
      <c r="A912" s="7"/>
      <c r="B912" s="6"/>
      <c r="C912" s="7"/>
      <c r="D912" s="7"/>
      <c r="E912" s="6"/>
      <c r="F912" s="6"/>
      <c r="G912" s="6"/>
      <c r="H912" s="6"/>
      <c r="I912" s="6"/>
      <c r="J912" s="7"/>
      <c r="K912" s="7"/>
      <c r="L912" s="7"/>
      <c r="M912" s="7"/>
      <c r="N912" s="7"/>
      <c r="O912" s="7"/>
      <c r="P912" s="7"/>
      <c r="Q912" s="7"/>
      <c r="R912" s="7"/>
      <c r="S912" s="7"/>
      <c r="T912" s="7"/>
      <c r="U912" s="7"/>
      <c r="V912" s="7"/>
      <c r="W912" s="7"/>
      <c r="X912" s="7"/>
      <c r="Y912" s="7"/>
      <c r="Z912" s="7"/>
    </row>
    <row r="913" spans="1:26" ht="21" customHeight="1" x14ac:dyDescent="0.2">
      <c r="A913" s="7"/>
      <c r="B913" s="6"/>
      <c r="C913" s="7"/>
      <c r="D913" s="7"/>
      <c r="E913" s="6"/>
      <c r="F913" s="6"/>
      <c r="G913" s="6"/>
      <c r="H913" s="6"/>
      <c r="I913" s="6"/>
      <c r="J913" s="7"/>
      <c r="K913" s="7"/>
      <c r="L913" s="7"/>
      <c r="M913" s="7"/>
      <c r="N913" s="7"/>
      <c r="O913" s="7"/>
      <c r="P913" s="7"/>
      <c r="Q913" s="7"/>
      <c r="R913" s="7"/>
      <c r="S913" s="7"/>
      <c r="T913" s="7"/>
      <c r="U913" s="7"/>
      <c r="V913" s="7"/>
      <c r="W913" s="7"/>
      <c r="X913" s="7"/>
      <c r="Y913" s="7"/>
      <c r="Z913" s="7"/>
    </row>
    <row r="914" spans="1:26" ht="21" customHeight="1" x14ac:dyDescent="0.2">
      <c r="A914" s="7"/>
      <c r="B914" s="6"/>
      <c r="C914" s="7"/>
      <c r="D914" s="7"/>
      <c r="E914" s="6"/>
      <c r="F914" s="6"/>
      <c r="G914" s="6"/>
      <c r="H914" s="6"/>
      <c r="I914" s="6"/>
      <c r="J914" s="7"/>
      <c r="K914" s="7"/>
      <c r="L914" s="7"/>
      <c r="M914" s="7"/>
      <c r="N914" s="7"/>
      <c r="O914" s="7"/>
      <c r="P914" s="7"/>
      <c r="Q914" s="7"/>
      <c r="R914" s="7"/>
      <c r="S914" s="7"/>
      <c r="T914" s="7"/>
      <c r="U914" s="7"/>
      <c r="V914" s="7"/>
      <c r="W914" s="7"/>
      <c r="X914" s="7"/>
      <c r="Y914" s="7"/>
      <c r="Z914" s="7"/>
    </row>
    <row r="915" spans="1:26" ht="21" customHeight="1" x14ac:dyDescent="0.2">
      <c r="A915" s="7"/>
      <c r="B915" s="6"/>
      <c r="C915" s="7"/>
      <c r="D915" s="7"/>
      <c r="E915" s="6"/>
      <c r="F915" s="6"/>
      <c r="G915" s="6"/>
      <c r="H915" s="6"/>
      <c r="I915" s="6"/>
      <c r="J915" s="7"/>
      <c r="K915" s="7"/>
      <c r="L915" s="7"/>
      <c r="M915" s="7"/>
      <c r="N915" s="7"/>
      <c r="O915" s="7"/>
      <c r="P915" s="7"/>
      <c r="Q915" s="7"/>
      <c r="R915" s="7"/>
      <c r="S915" s="7"/>
      <c r="T915" s="7"/>
      <c r="U915" s="7"/>
      <c r="V915" s="7"/>
      <c r="W915" s="7"/>
      <c r="X915" s="7"/>
      <c r="Y915" s="7"/>
      <c r="Z915" s="7"/>
    </row>
    <row r="916" spans="1:26" ht="21" customHeight="1" x14ac:dyDescent="0.2">
      <c r="A916" s="7"/>
      <c r="B916" s="6"/>
      <c r="C916" s="7"/>
      <c r="D916" s="7"/>
      <c r="E916" s="6"/>
      <c r="F916" s="6"/>
      <c r="G916" s="6"/>
      <c r="H916" s="6"/>
      <c r="I916" s="6"/>
      <c r="J916" s="7"/>
      <c r="K916" s="7"/>
      <c r="L916" s="7"/>
      <c r="M916" s="7"/>
      <c r="N916" s="7"/>
      <c r="O916" s="7"/>
      <c r="P916" s="7"/>
      <c r="Q916" s="7"/>
      <c r="R916" s="7"/>
      <c r="S916" s="7"/>
      <c r="T916" s="7"/>
      <c r="U916" s="7"/>
      <c r="V916" s="7"/>
      <c r="W916" s="7"/>
      <c r="X916" s="7"/>
      <c r="Y916" s="7"/>
      <c r="Z916" s="7"/>
    </row>
    <row r="917" spans="1:26" ht="21" customHeight="1" x14ac:dyDescent="0.2">
      <c r="A917" s="7"/>
      <c r="B917" s="6"/>
      <c r="C917" s="7"/>
      <c r="D917" s="7"/>
      <c r="E917" s="6"/>
      <c r="F917" s="6"/>
      <c r="G917" s="6"/>
      <c r="H917" s="6"/>
      <c r="I917" s="6"/>
      <c r="J917" s="7"/>
      <c r="K917" s="7"/>
      <c r="L917" s="7"/>
      <c r="M917" s="7"/>
      <c r="N917" s="7"/>
      <c r="O917" s="7"/>
      <c r="P917" s="7"/>
      <c r="Q917" s="7"/>
      <c r="R917" s="7"/>
      <c r="S917" s="7"/>
      <c r="T917" s="7"/>
      <c r="U917" s="7"/>
      <c r="V917" s="7"/>
      <c r="W917" s="7"/>
      <c r="X917" s="7"/>
      <c r="Y917" s="7"/>
      <c r="Z917" s="7"/>
    </row>
    <row r="918" spans="1:26" ht="21" customHeight="1" x14ac:dyDescent="0.2">
      <c r="A918" s="7"/>
      <c r="B918" s="6"/>
      <c r="C918" s="7"/>
      <c r="D918" s="7"/>
      <c r="E918" s="6"/>
      <c r="F918" s="6"/>
      <c r="G918" s="6"/>
      <c r="H918" s="6"/>
      <c r="I918" s="6"/>
      <c r="J918" s="7"/>
      <c r="K918" s="7"/>
      <c r="L918" s="7"/>
      <c r="M918" s="7"/>
      <c r="N918" s="7"/>
      <c r="O918" s="7"/>
      <c r="P918" s="7"/>
      <c r="Q918" s="7"/>
      <c r="R918" s="7"/>
      <c r="S918" s="7"/>
      <c r="T918" s="7"/>
      <c r="U918" s="7"/>
      <c r="V918" s="7"/>
      <c r="W918" s="7"/>
      <c r="X918" s="7"/>
      <c r="Y918" s="7"/>
      <c r="Z918" s="7"/>
    </row>
    <row r="919" spans="1:26" ht="21" customHeight="1" x14ac:dyDescent="0.2">
      <c r="A919" s="7"/>
      <c r="B919" s="6"/>
      <c r="C919" s="7"/>
      <c r="D919" s="7"/>
      <c r="E919" s="6"/>
      <c r="F919" s="6"/>
      <c r="G919" s="6"/>
      <c r="H919" s="6"/>
      <c r="I919" s="6"/>
      <c r="J919" s="7"/>
      <c r="K919" s="7"/>
      <c r="L919" s="7"/>
      <c r="M919" s="7"/>
      <c r="N919" s="7"/>
      <c r="O919" s="7"/>
      <c r="P919" s="7"/>
      <c r="Q919" s="7"/>
      <c r="R919" s="7"/>
      <c r="S919" s="7"/>
      <c r="T919" s="7"/>
      <c r="U919" s="7"/>
      <c r="V919" s="7"/>
      <c r="W919" s="7"/>
      <c r="X919" s="7"/>
      <c r="Y919" s="7"/>
      <c r="Z919" s="7"/>
    </row>
    <row r="920" spans="1:26" ht="21" customHeight="1" x14ac:dyDescent="0.2">
      <c r="A920" s="7"/>
      <c r="B920" s="6"/>
      <c r="C920" s="7"/>
      <c r="D920" s="7"/>
      <c r="E920" s="6"/>
      <c r="F920" s="6"/>
      <c r="G920" s="6"/>
      <c r="H920" s="6"/>
      <c r="I920" s="6"/>
      <c r="J920" s="7"/>
      <c r="K920" s="7"/>
      <c r="L920" s="7"/>
      <c r="M920" s="7"/>
      <c r="N920" s="7"/>
      <c r="O920" s="7"/>
      <c r="P920" s="7"/>
      <c r="Q920" s="7"/>
      <c r="R920" s="7"/>
      <c r="S920" s="7"/>
      <c r="T920" s="7"/>
      <c r="U920" s="7"/>
      <c r="V920" s="7"/>
      <c r="W920" s="7"/>
      <c r="X920" s="7"/>
      <c r="Y920" s="7"/>
      <c r="Z920" s="7"/>
    </row>
    <row r="921" spans="1:26" ht="21" customHeight="1" x14ac:dyDescent="0.2">
      <c r="A921" s="7"/>
      <c r="B921" s="6"/>
      <c r="C921" s="7"/>
      <c r="D921" s="7"/>
      <c r="E921" s="6"/>
      <c r="F921" s="6"/>
      <c r="G921" s="6"/>
      <c r="H921" s="6"/>
      <c r="I921" s="6"/>
      <c r="J921" s="7"/>
      <c r="K921" s="7"/>
      <c r="L921" s="7"/>
      <c r="M921" s="7"/>
      <c r="N921" s="7"/>
      <c r="O921" s="7"/>
      <c r="P921" s="7"/>
      <c r="Q921" s="7"/>
      <c r="R921" s="7"/>
      <c r="S921" s="7"/>
      <c r="T921" s="7"/>
      <c r="U921" s="7"/>
      <c r="V921" s="7"/>
      <c r="W921" s="7"/>
      <c r="X921" s="7"/>
      <c r="Y921" s="7"/>
      <c r="Z921" s="7"/>
    </row>
    <row r="922" spans="1:26" ht="21" customHeight="1" x14ac:dyDescent="0.2">
      <c r="A922" s="7"/>
      <c r="B922" s="6"/>
      <c r="C922" s="7"/>
      <c r="D922" s="7"/>
      <c r="E922" s="6"/>
      <c r="F922" s="6"/>
      <c r="G922" s="6"/>
      <c r="H922" s="6"/>
      <c r="I922" s="6"/>
      <c r="J922" s="7"/>
      <c r="K922" s="7"/>
      <c r="L922" s="7"/>
      <c r="M922" s="7"/>
      <c r="N922" s="7"/>
      <c r="O922" s="7"/>
      <c r="P922" s="7"/>
      <c r="Q922" s="7"/>
      <c r="R922" s="7"/>
      <c r="S922" s="7"/>
      <c r="T922" s="7"/>
      <c r="U922" s="7"/>
      <c r="V922" s="7"/>
      <c r="W922" s="7"/>
      <c r="X922" s="7"/>
      <c r="Y922" s="7"/>
      <c r="Z922" s="7"/>
    </row>
    <row r="923" spans="1:26" ht="21" customHeight="1" x14ac:dyDescent="0.2">
      <c r="A923" s="7"/>
      <c r="B923" s="6"/>
      <c r="C923" s="7"/>
      <c r="D923" s="7"/>
      <c r="E923" s="6"/>
      <c r="F923" s="6"/>
      <c r="G923" s="6"/>
      <c r="H923" s="6"/>
      <c r="I923" s="6"/>
      <c r="J923" s="7"/>
      <c r="K923" s="7"/>
      <c r="L923" s="7"/>
      <c r="M923" s="7"/>
      <c r="N923" s="7"/>
      <c r="O923" s="7"/>
      <c r="P923" s="7"/>
      <c r="Q923" s="7"/>
      <c r="R923" s="7"/>
      <c r="S923" s="7"/>
      <c r="T923" s="7"/>
      <c r="U923" s="7"/>
      <c r="V923" s="7"/>
      <c r="W923" s="7"/>
      <c r="X923" s="7"/>
      <c r="Y923" s="7"/>
      <c r="Z923" s="7"/>
    </row>
    <row r="924" spans="1:26" ht="21" customHeight="1" x14ac:dyDescent="0.2">
      <c r="A924" s="7"/>
      <c r="B924" s="6"/>
      <c r="C924" s="7"/>
      <c r="D924" s="7"/>
      <c r="E924" s="6"/>
      <c r="F924" s="6"/>
      <c r="G924" s="6"/>
      <c r="H924" s="6"/>
      <c r="I924" s="6"/>
      <c r="J924" s="7"/>
      <c r="K924" s="7"/>
      <c r="L924" s="7"/>
      <c r="M924" s="7"/>
      <c r="N924" s="7"/>
      <c r="O924" s="7"/>
      <c r="P924" s="7"/>
      <c r="Q924" s="7"/>
      <c r="R924" s="7"/>
      <c r="S924" s="7"/>
      <c r="T924" s="7"/>
      <c r="U924" s="7"/>
      <c r="V924" s="7"/>
      <c r="W924" s="7"/>
      <c r="X924" s="7"/>
      <c r="Y924" s="7"/>
      <c r="Z924" s="7"/>
    </row>
    <row r="925" spans="1:26" ht="21" customHeight="1" x14ac:dyDescent="0.2">
      <c r="A925" s="7"/>
      <c r="B925" s="6"/>
      <c r="C925" s="7"/>
      <c r="D925" s="7"/>
      <c r="E925" s="6"/>
      <c r="F925" s="6"/>
      <c r="G925" s="6"/>
      <c r="H925" s="6"/>
      <c r="I925" s="6"/>
      <c r="J925" s="7"/>
      <c r="K925" s="7"/>
      <c r="L925" s="7"/>
      <c r="M925" s="7"/>
      <c r="N925" s="7"/>
      <c r="O925" s="7"/>
      <c r="P925" s="7"/>
      <c r="Q925" s="7"/>
      <c r="R925" s="7"/>
      <c r="S925" s="7"/>
      <c r="T925" s="7"/>
      <c r="U925" s="7"/>
      <c r="V925" s="7"/>
      <c r="W925" s="7"/>
      <c r="X925" s="7"/>
      <c r="Y925" s="7"/>
      <c r="Z925" s="7"/>
    </row>
    <row r="926" spans="1:26" ht="21" customHeight="1" x14ac:dyDescent="0.2">
      <c r="A926" s="7"/>
      <c r="B926" s="6"/>
      <c r="C926" s="7"/>
      <c r="D926" s="7"/>
      <c r="E926" s="6"/>
      <c r="F926" s="6"/>
      <c r="G926" s="6"/>
      <c r="H926" s="6"/>
      <c r="I926" s="6"/>
      <c r="J926" s="7"/>
      <c r="K926" s="7"/>
      <c r="L926" s="7"/>
      <c r="M926" s="7"/>
      <c r="N926" s="7"/>
      <c r="O926" s="7"/>
      <c r="P926" s="7"/>
      <c r="Q926" s="7"/>
      <c r="R926" s="7"/>
      <c r="S926" s="7"/>
      <c r="T926" s="7"/>
      <c r="U926" s="7"/>
      <c r="V926" s="7"/>
      <c r="W926" s="7"/>
      <c r="X926" s="7"/>
      <c r="Y926" s="7"/>
      <c r="Z926" s="7"/>
    </row>
    <row r="927" spans="1:26" ht="21" customHeight="1" x14ac:dyDescent="0.2">
      <c r="A927" s="7"/>
      <c r="B927" s="6"/>
      <c r="C927" s="7"/>
      <c r="D927" s="7"/>
      <c r="E927" s="6"/>
      <c r="F927" s="6"/>
      <c r="G927" s="6"/>
      <c r="H927" s="6"/>
      <c r="I927" s="6"/>
      <c r="J927" s="7"/>
      <c r="K927" s="7"/>
      <c r="L927" s="7"/>
      <c r="M927" s="7"/>
      <c r="N927" s="7"/>
      <c r="O927" s="7"/>
      <c r="P927" s="7"/>
      <c r="Q927" s="7"/>
      <c r="R927" s="7"/>
      <c r="S927" s="7"/>
      <c r="T927" s="7"/>
      <c r="U927" s="7"/>
      <c r="V927" s="7"/>
      <c r="W927" s="7"/>
      <c r="X927" s="7"/>
      <c r="Y927" s="7"/>
      <c r="Z927" s="7"/>
    </row>
    <row r="928" spans="1:26" ht="21" customHeight="1" x14ac:dyDescent="0.2">
      <c r="A928" s="7"/>
      <c r="B928" s="6"/>
      <c r="C928" s="7"/>
      <c r="D928" s="7"/>
      <c r="E928" s="6"/>
      <c r="F928" s="6"/>
      <c r="G928" s="6"/>
      <c r="H928" s="6"/>
      <c r="I928" s="6"/>
      <c r="J928" s="7"/>
      <c r="K928" s="7"/>
      <c r="L928" s="7"/>
      <c r="M928" s="7"/>
      <c r="N928" s="7"/>
      <c r="O928" s="7"/>
      <c r="P928" s="7"/>
      <c r="Q928" s="7"/>
      <c r="R928" s="7"/>
      <c r="S928" s="7"/>
      <c r="T928" s="7"/>
      <c r="U928" s="7"/>
      <c r="V928" s="7"/>
      <c r="W928" s="7"/>
      <c r="X928" s="7"/>
      <c r="Y928" s="7"/>
      <c r="Z928" s="7"/>
    </row>
    <row r="929" spans="1:26" ht="21" customHeight="1" x14ac:dyDescent="0.2">
      <c r="A929" s="7"/>
      <c r="B929" s="6"/>
      <c r="C929" s="7"/>
      <c r="D929" s="7"/>
      <c r="E929" s="6"/>
      <c r="F929" s="6"/>
      <c r="G929" s="6"/>
      <c r="H929" s="6"/>
      <c r="I929" s="6"/>
      <c r="J929" s="7"/>
      <c r="K929" s="7"/>
      <c r="L929" s="7"/>
      <c r="M929" s="7"/>
      <c r="N929" s="7"/>
      <c r="O929" s="7"/>
      <c r="P929" s="7"/>
      <c r="Q929" s="7"/>
      <c r="R929" s="7"/>
      <c r="S929" s="7"/>
      <c r="T929" s="7"/>
      <c r="U929" s="7"/>
      <c r="V929" s="7"/>
      <c r="W929" s="7"/>
      <c r="X929" s="7"/>
      <c r="Y929" s="7"/>
      <c r="Z929" s="7"/>
    </row>
    <row r="930" spans="1:26" ht="21" customHeight="1" x14ac:dyDescent="0.2">
      <c r="A930" s="7"/>
      <c r="B930" s="6"/>
      <c r="C930" s="7"/>
      <c r="D930" s="7"/>
      <c r="E930" s="6"/>
      <c r="F930" s="6"/>
      <c r="G930" s="6"/>
      <c r="H930" s="6"/>
      <c r="I930" s="6"/>
      <c r="J930" s="7"/>
      <c r="K930" s="7"/>
      <c r="L930" s="7"/>
      <c r="M930" s="7"/>
      <c r="N930" s="7"/>
      <c r="O930" s="7"/>
      <c r="P930" s="7"/>
      <c r="Q930" s="7"/>
      <c r="R930" s="7"/>
      <c r="S930" s="7"/>
      <c r="T930" s="7"/>
      <c r="U930" s="7"/>
      <c r="V930" s="7"/>
      <c r="W930" s="7"/>
      <c r="X930" s="7"/>
      <c r="Y930" s="7"/>
      <c r="Z930" s="7"/>
    </row>
    <row r="931" spans="1:26" ht="21" customHeight="1" x14ac:dyDescent="0.2">
      <c r="A931" s="7"/>
      <c r="B931" s="6"/>
      <c r="C931" s="7"/>
      <c r="D931" s="7"/>
      <c r="E931" s="6"/>
      <c r="F931" s="6"/>
      <c r="G931" s="6"/>
      <c r="H931" s="6"/>
      <c r="I931" s="6"/>
      <c r="J931" s="7"/>
      <c r="K931" s="7"/>
      <c r="L931" s="7"/>
      <c r="M931" s="7"/>
      <c r="N931" s="7"/>
      <c r="O931" s="7"/>
      <c r="P931" s="7"/>
      <c r="Q931" s="7"/>
      <c r="R931" s="7"/>
      <c r="S931" s="7"/>
      <c r="T931" s="7"/>
      <c r="U931" s="7"/>
      <c r="V931" s="7"/>
      <c r="W931" s="7"/>
      <c r="X931" s="7"/>
      <c r="Y931" s="7"/>
      <c r="Z931" s="7"/>
    </row>
    <row r="932" spans="1:26" ht="21" customHeight="1" x14ac:dyDescent="0.2">
      <c r="A932" s="7"/>
      <c r="B932" s="6"/>
      <c r="C932" s="7"/>
      <c r="D932" s="7"/>
      <c r="E932" s="6"/>
      <c r="F932" s="6"/>
      <c r="G932" s="6"/>
      <c r="H932" s="6"/>
      <c r="I932" s="6"/>
      <c r="J932" s="7"/>
      <c r="K932" s="7"/>
      <c r="L932" s="7"/>
      <c r="M932" s="7"/>
      <c r="N932" s="7"/>
      <c r="O932" s="7"/>
      <c r="P932" s="7"/>
      <c r="Q932" s="7"/>
      <c r="R932" s="7"/>
      <c r="S932" s="7"/>
      <c r="T932" s="7"/>
      <c r="U932" s="7"/>
      <c r="V932" s="7"/>
      <c r="W932" s="7"/>
      <c r="X932" s="7"/>
      <c r="Y932" s="7"/>
      <c r="Z932" s="7"/>
    </row>
    <row r="933" spans="1:26" ht="21" customHeight="1" x14ac:dyDescent="0.2">
      <c r="A933" s="7"/>
      <c r="B933" s="6"/>
      <c r="C933" s="7"/>
      <c r="D933" s="7"/>
      <c r="E933" s="6"/>
      <c r="F933" s="6"/>
      <c r="G933" s="6"/>
      <c r="H933" s="6"/>
      <c r="I933" s="6"/>
      <c r="J933" s="7"/>
      <c r="K933" s="7"/>
      <c r="L933" s="7"/>
      <c r="M933" s="7"/>
      <c r="N933" s="7"/>
      <c r="O933" s="7"/>
      <c r="P933" s="7"/>
      <c r="Q933" s="7"/>
      <c r="R933" s="7"/>
      <c r="S933" s="7"/>
      <c r="T933" s="7"/>
      <c r="U933" s="7"/>
      <c r="V933" s="7"/>
      <c r="W933" s="7"/>
      <c r="X933" s="7"/>
      <c r="Y933" s="7"/>
      <c r="Z933" s="7"/>
    </row>
    <row r="934" spans="1:26" ht="21" customHeight="1" x14ac:dyDescent="0.2">
      <c r="A934" s="7"/>
      <c r="B934" s="6"/>
      <c r="C934" s="7"/>
      <c r="D934" s="7"/>
      <c r="E934" s="6"/>
      <c r="F934" s="6"/>
      <c r="G934" s="6"/>
      <c r="H934" s="6"/>
      <c r="I934" s="6"/>
      <c r="J934" s="7"/>
      <c r="K934" s="7"/>
      <c r="L934" s="7"/>
      <c r="M934" s="7"/>
      <c r="N934" s="7"/>
      <c r="O934" s="7"/>
      <c r="P934" s="7"/>
      <c r="Q934" s="7"/>
      <c r="R934" s="7"/>
      <c r="S934" s="7"/>
      <c r="T934" s="7"/>
      <c r="U934" s="7"/>
      <c r="V934" s="7"/>
      <c r="W934" s="7"/>
      <c r="X934" s="7"/>
      <c r="Y934" s="7"/>
      <c r="Z934" s="7"/>
    </row>
    <row r="935" spans="1:26" ht="21" customHeight="1" x14ac:dyDescent="0.2">
      <c r="A935" s="7"/>
      <c r="B935" s="6"/>
      <c r="C935" s="7"/>
      <c r="D935" s="7"/>
      <c r="E935" s="6"/>
      <c r="F935" s="6"/>
      <c r="G935" s="6"/>
      <c r="H935" s="6"/>
      <c r="I935" s="6"/>
      <c r="J935" s="7"/>
      <c r="K935" s="7"/>
      <c r="L935" s="7"/>
      <c r="M935" s="7"/>
      <c r="N935" s="7"/>
      <c r="O935" s="7"/>
      <c r="P935" s="7"/>
      <c r="Q935" s="7"/>
      <c r="R935" s="7"/>
      <c r="S935" s="7"/>
      <c r="T935" s="7"/>
      <c r="U935" s="7"/>
      <c r="V935" s="7"/>
      <c r="W935" s="7"/>
      <c r="X935" s="7"/>
      <c r="Y935" s="7"/>
      <c r="Z935" s="7"/>
    </row>
    <row r="936" spans="1:26" ht="21" customHeight="1" x14ac:dyDescent="0.2">
      <c r="A936" s="7"/>
      <c r="B936" s="6"/>
      <c r="C936" s="7"/>
      <c r="D936" s="7"/>
      <c r="E936" s="6"/>
      <c r="F936" s="6"/>
      <c r="G936" s="6"/>
      <c r="H936" s="6"/>
      <c r="I936" s="6"/>
      <c r="J936" s="7"/>
      <c r="K936" s="7"/>
      <c r="L936" s="7"/>
      <c r="M936" s="7"/>
      <c r="N936" s="7"/>
      <c r="O936" s="7"/>
      <c r="P936" s="7"/>
      <c r="Q936" s="7"/>
      <c r="R936" s="7"/>
      <c r="S936" s="7"/>
      <c r="T936" s="7"/>
      <c r="U936" s="7"/>
      <c r="V936" s="7"/>
      <c r="W936" s="7"/>
      <c r="X936" s="7"/>
      <c r="Y936" s="7"/>
      <c r="Z936" s="7"/>
    </row>
    <row r="937" spans="1:26" ht="21" customHeight="1" x14ac:dyDescent="0.2">
      <c r="A937" s="7"/>
      <c r="B937" s="6"/>
      <c r="C937" s="7"/>
      <c r="D937" s="7"/>
      <c r="E937" s="6"/>
      <c r="F937" s="6"/>
      <c r="G937" s="6"/>
      <c r="H937" s="6"/>
      <c r="I937" s="6"/>
      <c r="J937" s="7"/>
      <c r="K937" s="7"/>
      <c r="L937" s="7"/>
      <c r="M937" s="7"/>
      <c r="N937" s="7"/>
      <c r="O937" s="7"/>
      <c r="P937" s="7"/>
      <c r="Q937" s="7"/>
      <c r="R937" s="7"/>
      <c r="S937" s="7"/>
      <c r="T937" s="7"/>
      <c r="U937" s="7"/>
      <c r="V937" s="7"/>
      <c r="W937" s="7"/>
      <c r="X937" s="7"/>
      <c r="Y937" s="7"/>
      <c r="Z937" s="7"/>
    </row>
    <row r="938" spans="1:26" ht="21" customHeight="1" x14ac:dyDescent="0.2">
      <c r="A938" s="7"/>
      <c r="B938" s="6"/>
      <c r="C938" s="7"/>
      <c r="D938" s="7"/>
      <c r="E938" s="6"/>
      <c r="F938" s="6"/>
      <c r="G938" s="6"/>
      <c r="H938" s="6"/>
      <c r="I938" s="6"/>
      <c r="J938" s="7"/>
      <c r="K938" s="7"/>
      <c r="L938" s="7"/>
      <c r="M938" s="7"/>
      <c r="N938" s="7"/>
      <c r="O938" s="7"/>
      <c r="P938" s="7"/>
      <c r="Q938" s="7"/>
      <c r="R938" s="7"/>
      <c r="S938" s="7"/>
      <c r="T938" s="7"/>
      <c r="U938" s="7"/>
      <c r="V938" s="7"/>
      <c r="W938" s="7"/>
      <c r="X938" s="7"/>
      <c r="Y938" s="7"/>
      <c r="Z938" s="7"/>
    </row>
    <row r="939" spans="1:26" ht="21" customHeight="1" x14ac:dyDescent="0.2">
      <c r="A939" s="7"/>
      <c r="B939" s="6"/>
      <c r="C939" s="7"/>
      <c r="D939" s="7"/>
      <c r="E939" s="6"/>
      <c r="F939" s="6"/>
      <c r="G939" s="6"/>
      <c r="H939" s="6"/>
      <c r="I939" s="6"/>
      <c r="J939" s="7"/>
      <c r="K939" s="7"/>
      <c r="L939" s="7"/>
      <c r="M939" s="7"/>
      <c r="N939" s="7"/>
      <c r="O939" s="7"/>
      <c r="P939" s="7"/>
      <c r="Q939" s="7"/>
      <c r="R939" s="7"/>
      <c r="S939" s="7"/>
      <c r="T939" s="7"/>
      <c r="U939" s="7"/>
      <c r="V939" s="7"/>
      <c r="W939" s="7"/>
      <c r="X939" s="7"/>
      <c r="Y939" s="7"/>
      <c r="Z939" s="7"/>
    </row>
    <row r="940" spans="1:26" ht="21" customHeight="1" x14ac:dyDescent="0.2">
      <c r="A940" s="7"/>
      <c r="B940" s="6"/>
      <c r="C940" s="7"/>
      <c r="D940" s="7"/>
      <c r="E940" s="6"/>
      <c r="F940" s="6"/>
      <c r="G940" s="6"/>
      <c r="H940" s="6"/>
      <c r="I940" s="6"/>
      <c r="J940" s="7"/>
      <c r="K940" s="7"/>
      <c r="L940" s="7"/>
      <c r="M940" s="7"/>
      <c r="N940" s="7"/>
      <c r="O940" s="7"/>
      <c r="P940" s="7"/>
      <c r="Q940" s="7"/>
      <c r="R940" s="7"/>
      <c r="S940" s="7"/>
      <c r="T940" s="7"/>
      <c r="U940" s="7"/>
      <c r="V940" s="7"/>
      <c r="W940" s="7"/>
      <c r="X940" s="7"/>
      <c r="Y940" s="7"/>
      <c r="Z940" s="7"/>
    </row>
    <row r="941" spans="1:26" ht="21" customHeight="1" x14ac:dyDescent="0.2">
      <c r="A941" s="7"/>
      <c r="B941" s="6"/>
      <c r="C941" s="7"/>
      <c r="D941" s="7"/>
      <c r="E941" s="6"/>
      <c r="F941" s="6"/>
      <c r="G941" s="6"/>
      <c r="H941" s="6"/>
      <c r="I941" s="6"/>
      <c r="J941" s="7"/>
      <c r="K941" s="7"/>
      <c r="L941" s="7"/>
      <c r="M941" s="7"/>
      <c r="N941" s="7"/>
      <c r="O941" s="7"/>
      <c r="P941" s="7"/>
      <c r="Q941" s="7"/>
      <c r="R941" s="7"/>
      <c r="S941" s="7"/>
      <c r="T941" s="7"/>
      <c r="U941" s="7"/>
      <c r="V941" s="7"/>
      <c r="W941" s="7"/>
      <c r="X941" s="7"/>
      <c r="Y941" s="7"/>
      <c r="Z941" s="7"/>
    </row>
    <row r="942" spans="1:26" ht="21" customHeight="1" x14ac:dyDescent="0.2">
      <c r="A942" s="7"/>
      <c r="B942" s="6"/>
      <c r="C942" s="7"/>
      <c r="D942" s="7"/>
      <c r="E942" s="6"/>
      <c r="F942" s="6"/>
      <c r="G942" s="6"/>
      <c r="H942" s="6"/>
      <c r="I942" s="6"/>
      <c r="J942" s="7"/>
      <c r="K942" s="7"/>
      <c r="L942" s="7"/>
      <c r="M942" s="7"/>
      <c r="N942" s="7"/>
      <c r="O942" s="7"/>
      <c r="P942" s="7"/>
      <c r="Q942" s="7"/>
      <c r="R942" s="7"/>
      <c r="S942" s="7"/>
      <c r="T942" s="7"/>
      <c r="U942" s="7"/>
      <c r="V942" s="7"/>
      <c r="W942" s="7"/>
      <c r="X942" s="7"/>
      <c r="Y942" s="7"/>
      <c r="Z942" s="7"/>
    </row>
    <row r="943" spans="1:26" ht="21" customHeight="1" x14ac:dyDescent="0.2">
      <c r="A943" s="7"/>
      <c r="B943" s="6"/>
      <c r="C943" s="7"/>
      <c r="D943" s="7"/>
      <c r="E943" s="6"/>
      <c r="F943" s="6"/>
      <c r="G943" s="6"/>
      <c r="H943" s="6"/>
      <c r="I943" s="6"/>
      <c r="J943" s="7"/>
      <c r="K943" s="7"/>
      <c r="L943" s="7"/>
      <c r="M943" s="7"/>
      <c r="N943" s="7"/>
      <c r="O943" s="7"/>
      <c r="P943" s="7"/>
      <c r="Q943" s="7"/>
      <c r="R943" s="7"/>
      <c r="S943" s="7"/>
      <c r="T943" s="7"/>
      <c r="U943" s="7"/>
      <c r="V943" s="7"/>
      <c r="W943" s="7"/>
      <c r="X943" s="7"/>
      <c r="Y943" s="7"/>
      <c r="Z943" s="7"/>
    </row>
    <row r="944" spans="1:26" ht="21" customHeight="1" x14ac:dyDescent="0.2">
      <c r="A944" s="7"/>
      <c r="B944" s="6"/>
      <c r="C944" s="7"/>
      <c r="D944" s="7"/>
      <c r="E944" s="6"/>
      <c r="F944" s="6"/>
      <c r="G944" s="6"/>
      <c r="H944" s="6"/>
      <c r="I944" s="6"/>
      <c r="J944" s="7"/>
      <c r="K944" s="7"/>
      <c r="L944" s="7"/>
      <c r="M944" s="7"/>
      <c r="N944" s="7"/>
      <c r="O944" s="7"/>
      <c r="P944" s="7"/>
      <c r="Q944" s="7"/>
      <c r="R944" s="7"/>
      <c r="S944" s="7"/>
      <c r="T944" s="7"/>
      <c r="U944" s="7"/>
      <c r="V944" s="7"/>
      <c r="W944" s="7"/>
      <c r="X944" s="7"/>
      <c r="Y944" s="7"/>
      <c r="Z944" s="7"/>
    </row>
    <row r="945" spans="1:26" ht="21" customHeight="1" x14ac:dyDescent="0.2">
      <c r="A945" s="7"/>
      <c r="B945" s="6"/>
      <c r="C945" s="7"/>
      <c r="D945" s="7"/>
      <c r="E945" s="6"/>
      <c r="F945" s="6"/>
      <c r="G945" s="6"/>
      <c r="H945" s="6"/>
      <c r="I945" s="6"/>
      <c r="J945" s="7"/>
      <c r="K945" s="7"/>
      <c r="L945" s="7"/>
      <c r="M945" s="7"/>
      <c r="N945" s="7"/>
      <c r="O945" s="7"/>
      <c r="P945" s="7"/>
      <c r="Q945" s="7"/>
      <c r="R945" s="7"/>
      <c r="S945" s="7"/>
      <c r="T945" s="7"/>
      <c r="U945" s="7"/>
      <c r="V945" s="7"/>
      <c r="W945" s="7"/>
      <c r="X945" s="7"/>
      <c r="Y945" s="7"/>
      <c r="Z945" s="7"/>
    </row>
    <row r="946" spans="1:26" ht="21" customHeight="1" x14ac:dyDescent="0.2">
      <c r="A946" s="7"/>
      <c r="B946" s="6"/>
      <c r="C946" s="7"/>
      <c r="D946" s="7"/>
      <c r="E946" s="6"/>
      <c r="F946" s="6"/>
      <c r="G946" s="6"/>
      <c r="H946" s="6"/>
      <c r="I946" s="6"/>
      <c r="J946" s="7"/>
      <c r="K946" s="7"/>
      <c r="L946" s="7"/>
      <c r="M946" s="7"/>
      <c r="N946" s="7"/>
      <c r="O946" s="7"/>
      <c r="P946" s="7"/>
      <c r="Q946" s="7"/>
      <c r="R946" s="7"/>
      <c r="S946" s="7"/>
      <c r="T946" s="7"/>
      <c r="U946" s="7"/>
      <c r="V946" s="7"/>
      <c r="W946" s="7"/>
      <c r="X946" s="7"/>
      <c r="Y946" s="7"/>
      <c r="Z946" s="7"/>
    </row>
    <row r="947" spans="1:26" ht="21" customHeight="1" x14ac:dyDescent="0.2">
      <c r="A947" s="7"/>
      <c r="B947" s="6"/>
      <c r="C947" s="7"/>
      <c r="D947" s="7"/>
      <c r="E947" s="6"/>
      <c r="F947" s="6"/>
      <c r="G947" s="6"/>
      <c r="H947" s="6"/>
      <c r="I947" s="6"/>
      <c r="J947" s="7"/>
      <c r="K947" s="7"/>
      <c r="L947" s="7"/>
      <c r="M947" s="7"/>
      <c r="N947" s="7"/>
      <c r="O947" s="7"/>
      <c r="P947" s="7"/>
      <c r="Q947" s="7"/>
      <c r="R947" s="7"/>
      <c r="S947" s="7"/>
      <c r="T947" s="7"/>
      <c r="U947" s="7"/>
      <c r="V947" s="7"/>
      <c r="W947" s="7"/>
      <c r="X947" s="7"/>
      <c r="Y947" s="7"/>
      <c r="Z947" s="7"/>
    </row>
    <row r="948" spans="1:26" ht="21" customHeight="1" x14ac:dyDescent="0.2">
      <c r="A948" s="7"/>
      <c r="B948" s="6"/>
      <c r="C948" s="7"/>
      <c r="D948" s="7"/>
      <c r="E948" s="6"/>
      <c r="F948" s="6"/>
      <c r="G948" s="6"/>
      <c r="H948" s="6"/>
      <c r="I948" s="6"/>
      <c r="J948" s="7"/>
      <c r="K948" s="7"/>
      <c r="L948" s="7"/>
      <c r="M948" s="7"/>
      <c r="N948" s="7"/>
      <c r="O948" s="7"/>
      <c r="P948" s="7"/>
      <c r="Q948" s="7"/>
      <c r="R948" s="7"/>
      <c r="S948" s="7"/>
      <c r="T948" s="7"/>
      <c r="U948" s="7"/>
      <c r="V948" s="7"/>
      <c r="W948" s="7"/>
      <c r="X948" s="7"/>
      <c r="Y948" s="7"/>
      <c r="Z948" s="7"/>
    </row>
    <row r="949" spans="1:26" ht="21" customHeight="1" x14ac:dyDescent="0.2">
      <c r="A949" s="7"/>
      <c r="B949" s="6"/>
      <c r="C949" s="7"/>
      <c r="D949" s="7"/>
      <c r="E949" s="6"/>
      <c r="F949" s="6"/>
      <c r="G949" s="6"/>
      <c r="H949" s="6"/>
      <c r="I949" s="6"/>
      <c r="J949" s="7"/>
      <c r="K949" s="7"/>
      <c r="L949" s="7"/>
      <c r="M949" s="7"/>
      <c r="N949" s="7"/>
      <c r="O949" s="7"/>
      <c r="P949" s="7"/>
      <c r="Q949" s="7"/>
      <c r="R949" s="7"/>
      <c r="S949" s="7"/>
      <c r="T949" s="7"/>
      <c r="U949" s="7"/>
      <c r="V949" s="7"/>
      <c r="W949" s="7"/>
      <c r="X949" s="7"/>
      <c r="Y949" s="7"/>
      <c r="Z949" s="7"/>
    </row>
    <row r="950" spans="1:26" ht="21" customHeight="1" x14ac:dyDescent="0.2">
      <c r="A950" s="7"/>
      <c r="B950" s="6"/>
      <c r="C950" s="7"/>
      <c r="D950" s="7"/>
      <c r="E950" s="6"/>
      <c r="F950" s="6"/>
      <c r="G950" s="6"/>
      <c r="H950" s="6"/>
      <c r="I950" s="6"/>
      <c r="J950" s="7"/>
      <c r="K950" s="7"/>
      <c r="L950" s="7"/>
      <c r="M950" s="7"/>
      <c r="N950" s="7"/>
      <c r="O950" s="7"/>
      <c r="P950" s="7"/>
      <c r="Q950" s="7"/>
      <c r="R950" s="7"/>
      <c r="S950" s="7"/>
      <c r="T950" s="7"/>
      <c r="U950" s="7"/>
      <c r="V950" s="7"/>
      <c r="W950" s="7"/>
      <c r="X950" s="7"/>
      <c r="Y950" s="7"/>
      <c r="Z950" s="7"/>
    </row>
    <row r="951" spans="1:26" ht="21" customHeight="1" x14ac:dyDescent="0.2">
      <c r="A951" s="7"/>
      <c r="B951" s="6"/>
      <c r="C951" s="7"/>
      <c r="D951" s="7"/>
      <c r="E951" s="6"/>
      <c r="F951" s="6"/>
      <c r="G951" s="6"/>
      <c r="H951" s="6"/>
      <c r="I951" s="6"/>
      <c r="J951" s="7"/>
      <c r="K951" s="7"/>
      <c r="L951" s="7"/>
      <c r="M951" s="7"/>
      <c r="N951" s="7"/>
      <c r="O951" s="7"/>
      <c r="P951" s="7"/>
      <c r="Q951" s="7"/>
      <c r="R951" s="7"/>
      <c r="S951" s="7"/>
      <c r="T951" s="7"/>
      <c r="U951" s="7"/>
      <c r="V951" s="7"/>
      <c r="W951" s="7"/>
      <c r="X951" s="7"/>
      <c r="Y951" s="7"/>
      <c r="Z951" s="7"/>
    </row>
    <row r="952" spans="1:26" ht="21" customHeight="1" x14ac:dyDescent="0.2">
      <c r="A952" s="7"/>
      <c r="B952" s="6"/>
      <c r="C952" s="7"/>
      <c r="D952" s="7"/>
      <c r="E952" s="6"/>
      <c r="F952" s="6"/>
      <c r="G952" s="6"/>
      <c r="H952" s="6"/>
      <c r="I952" s="6"/>
      <c r="J952" s="7"/>
      <c r="K952" s="7"/>
      <c r="L952" s="7"/>
      <c r="M952" s="7"/>
      <c r="N952" s="7"/>
      <c r="O952" s="7"/>
      <c r="P952" s="7"/>
      <c r="Q952" s="7"/>
      <c r="R952" s="7"/>
      <c r="S952" s="7"/>
      <c r="T952" s="7"/>
      <c r="U952" s="7"/>
      <c r="V952" s="7"/>
      <c r="W952" s="7"/>
      <c r="X952" s="7"/>
      <c r="Y952" s="7"/>
      <c r="Z952" s="7"/>
    </row>
    <row r="953" spans="1:26" ht="21" customHeight="1" x14ac:dyDescent="0.2">
      <c r="A953" s="7"/>
      <c r="B953" s="6"/>
      <c r="C953" s="7"/>
      <c r="D953" s="7"/>
      <c r="E953" s="6"/>
      <c r="F953" s="6"/>
      <c r="G953" s="6"/>
      <c r="H953" s="6"/>
      <c r="I953" s="6"/>
      <c r="J953" s="7"/>
      <c r="K953" s="7"/>
      <c r="L953" s="7"/>
      <c r="M953" s="7"/>
      <c r="N953" s="7"/>
      <c r="O953" s="7"/>
      <c r="P953" s="7"/>
      <c r="Q953" s="7"/>
      <c r="R953" s="7"/>
      <c r="S953" s="7"/>
      <c r="T953" s="7"/>
      <c r="U953" s="7"/>
      <c r="V953" s="7"/>
      <c r="W953" s="7"/>
      <c r="X953" s="7"/>
      <c r="Y953" s="7"/>
      <c r="Z953" s="7"/>
    </row>
    <row r="954" spans="1:26" ht="21" customHeight="1" x14ac:dyDescent="0.2">
      <c r="A954" s="7"/>
      <c r="B954" s="6"/>
      <c r="C954" s="7"/>
      <c r="D954" s="7"/>
      <c r="E954" s="6"/>
      <c r="F954" s="6"/>
      <c r="G954" s="6"/>
      <c r="H954" s="6"/>
      <c r="I954" s="6"/>
      <c r="J954" s="7"/>
      <c r="K954" s="7"/>
      <c r="L954" s="7"/>
      <c r="M954" s="7"/>
      <c r="N954" s="7"/>
      <c r="O954" s="7"/>
      <c r="P954" s="7"/>
      <c r="Q954" s="7"/>
      <c r="R954" s="7"/>
      <c r="S954" s="7"/>
      <c r="T954" s="7"/>
      <c r="U954" s="7"/>
      <c r="V954" s="7"/>
      <c r="W954" s="7"/>
      <c r="X954" s="7"/>
      <c r="Y954" s="7"/>
      <c r="Z954" s="7"/>
    </row>
    <row r="955" spans="1:26" ht="21" customHeight="1" x14ac:dyDescent="0.2">
      <c r="A955" s="7"/>
      <c r="B955" s="6"/>
      <c r="C955" s="7"/>
      <c r="D955" s="7"/>
      <c r="E955" s="6"/>
      <c r="F955" s="6"/>
      <c r="G955" s="6"/>
      <c r="H955" s="6"/>
      <c r="I955" s="6"/>
      <c r="J955" s="7"/>
      <c r="K955" s="7"/>
      <c r="L955" s="7"/>
      <c r="M955" s="7"/>
      <c r="N955" s="7"/>
      <c r="O955" s="7"/>
      <c r="P955" s="7"/>
      <c r="Q955" s="7"/>
      <c r="R955" s="7"/>
      <c r="S955" s="7"/>
      <c r="T955" s="7"/>
      <c r="U955" s="7"/>
      <c r="V955" s="7"/>
      <c r="W955" s="7"/>
      <c r="X955" s="7"/>
      <c r="Y955" s="7"/>
      <c r="Z955" s="7"/>
    </row>
    <row r="956" spans="1:26" ht="21" customHeight="1" x14ac:dyDescent="0.2">
      <c r="A956" s="7"/>
      <c r="B956" s="6"/>
      <c r="C956" s="7"/>
      <c r="D956" s="7"/>
      <c r="E956" s="6"/>
      <c r="F956" s="6"/>
      <c r="G956" s="6"/>
      <c r="H956" s="6"/>
      <c r="I956" s="6"/>
      <c r="J956" s="7"/>
      <c r="K956" s="7"/>
      <c r="L956" s="7"/>
      <c r="M956" s="7"/>
      <c r="N956" s="7"/>
      <c r="O956" s="7"/>
      <c r="P956" s="7"/>
      <c r="Q956" s="7"/>
      <c r="R956" s="7"/>
      <c r="S956" s="7"/>
      <c r="T956" s="7"/>
      <c r="U956" s="7"/>
      <c r="V956" s="7"/>
      <c r="W956" s="7"/>
      <c r="X956" s="7"/>
      <c r="Y956" s="7"/>
      <c r="Z956" s="7"/>
    </row>
    <row r="957" spans="1:26" ht="21" customHeight="1" x14ac:dyDescent="0.2">
      <c r="A957" s="7"/>
      <c r="B957" s="6"/>
      <c r="C957" s="7"/>
      <c r="D957" s="7"/>
      <c r="E957" s="6"/>
      <c r="F957" s="6"/>
      <c r="G957" s="6"/>
      <c r="H957" s="6"/>
      <c r="I957" s="6"/>
      <c r="J957" s="7"/>
      <c r="K957" s="7"/>
      <c r="L957" s="7"/>
      <c r="M957" s="7"/>
      <c r="N957" s="7"/>
      <c r="O957" s="7"/>
      <c r="P957" s="7"/>
      <c r="Q957" s="7"/>
      <c r="R957" s="7"/>
      <c r="S957" s="7"/>
      <c r="T957" s="7"/>
      <c r="U957" s="7"/>
      <c r="V957" s="7"/>
      <c r="W957" s="7"/>
      <c r="X957" s="7"/>
      <c r="Y957" s="7"/>
      <c r="Z957" s="7"/>
    </row>
    <row r="958" spans="1:26" ht="21" customHeight="1" x14ac:dyDescent="0.2">
      <c r="A958" s="7"/>
      <c r="B958" s="6"/>
      <c r="C958" s="7"/>
      <c r="D958" s="7"/>
      <c r="E958" s="6"/>
      <c r="F958" s="6"/>
      <c r="G958" s="6"/>
      <c r="H958" s="6"/>
      <c r="I958" s="6"/>
      <c r="J958" s="7"/>
      <c r="K958" s="7"/>
      <c r="L958" s="7"/>
      <c r="M958" s="7"/>
      <c r="N958" s="7"/>
      <c r="O958" s="7"/>
      <c r="P958" s="7"/>
      <c r="Q958" s="7"/>
      <c r="R958" s="7"/>
      <c r="S958" s="7"/>
      <c r="T958" s="7"/>
      <c r="U958" s="7"/>
      <c r="V958" s="7"/>
      <c r="W958" s="7"/>
      <c r="X958" s="7"/>
      <c r="Y958" s="7"/>
      <c r="Z958" s="7"/>
    </row>
    <row r="959" spans="1:26" ht="21" customHeight="1" x14ac:dyDescent="0.2">
      <c r="A959" s="7"/>
      <c r="B959" s="6"/>
      <c r="C959" s="7"/>
      <c r="D959" s="7"/>
      <c r="E959" s="6"/>
      <c r="F959" s="6"/>
      <c r="G959" s="6"/>
      <c r="H959" s="6"/>
      <c r="I959" s="6"/>
      <c r="J959" s="7"/>
      <c r="K959" s="7"/>
      <c r="L959" s="7"/>
      <c r="M959" s="7"/>
      <c r="N959" s="7"/>
      <c r="O959" s="7"/>
      <c r="P959" s="7"/>
      <c r="Q959" s="7"/>
      <c r="R959" s="7"/>
      <c r="S959" s="7"/>
      <c r="T959" s="7"/>
      <c r="U959" s="7"/>
      <c r="V959" s="7"/>
      <c r="W959" s="7"/>
      <c r="X959" s="7"/>
      <c r="Y959" s="7"/>
      <c r="Z959" s="7"/>
    </row>
    <row r="960" spans="1:26" ht="21" customHeight="1" x14ac:dyDescent="0.2">
      <c r="A960" s="7"/>
      <c r="B960" s="6"/>
      <c r="C960" s="7"/>
      <c r="D960" s="7"/>
      <c r="E960" s="6"/>
      <c r="F960" s="6"/>
      <c r="G960" s="6"/>
      <c r="H960" s="6"/>
      <c r="I960" s="6"/>
      <c r="J960" s="7"/>
      <c r="K960" s="7"/>
      <c r="L960" s="7"/>
      <c r="M960" s="7"/>
      <c r="N960" s="7"/>
      <c r="O960" s="7"/>
      <c r="P960" s="7"/>
      <c r="Q960" s="7"/>
      <c r="R960" s="7"/>
      <c r="S960" s="7"/>
      <c r="T960" s="7"/>
      <c r="U960" s="7"/>
      <c r="V960" s="7"/>
      <c r="W960" s="7"/>
      <c r="X960" s="7"/>
      <c r="Y960" s="7"/>
      <c r="Z960" s="7"/>
    </row>
    <row r="961" spans="1:26" ht="21" customHeight="1" x14ac:dyDescent="0.2">
      <c r="A961" s="7"/>
      <c r="B961" s="6"/>
      <c r="C961" s="7"/>
      <c r="D961" s="7"/>
      <c r="E961" s="6"/>
      <c r="F961" s="6"/>
      <c r="G961" s="6"/>
      <c r="H961" s="6"/>
      <c r="I961" s="6"/>
      <c r="J961" s="7"/>
      <c r="K961" s="7"/>
      <c r="L961" s="7"/>
      <c r="M961" s="7"/>
      <c r="N961" s="7"/>
      <c r="O961" s="7"/>
      <c r="P961" s="7"/>
      <c r="Q961" s="7"/>
      <c r="R961" s="7"/>
      <c r="S961" s="7"/>
      <c r="T961" s="7"/>
      <c r="U961" s="7"/>
      <c r="V961" s="7"/>
      <c r="W961" s="7"/>
      <c r="X961" s="7"/>
      <c r="Y961" s="7"/>
      <c r="Z961" s="7"/>
    </row>
    <row r="962" spans="1:26" ht="21" customHeight="1" x14ac:dyDescent="0.2">
      <c r="A962" s="7"/>
      <c r="B962" s="6"/>
      <c r="C962" s="7"/>
      <c r="D962" s="7"/>
      <c r="E962" s="6"/>
      <c r="F962" s="6"/>
      <c r="G962" s="6"/>
      <c r="H962" s="6"/>
      <c r="I962" s="6"/>
      <c r="J962" s="7"/>
      <c r="K962" s="7"/>
      <c r="L962" s="7"/>
      <c r="M962" s="7"/>
      <c r="N962" s="7"/>
      <c r="O962" s="7"/>
      <c r="P962" s="7"/>
      <c r="Q962" s="7"/>
      <c r="R962" s="7"/>
      <c r="S962" s="7"/>
      <c r="T962" s="7"/>
      <c r="U962" s="7"/>
      <c r="V962" s="7"/>
      <c r="W962" s="7"/>
      <c r="X962" s="7"/>
      <c r="Y962" s="7"/>
      <c r="Z962" s="7"/>
    </row>
    <row r="963" spans="1:26" ht="21" customHeight="1" x14ac:dyDescent="0.2">
      <c r="A963" s="7"/>
      <c r="B963" s="6"/>
      <c r="C963" s="7"/>
      <c r="D963" s="7"/>
      <c r="E963" s="6"/>
      <c r="F963" s="6"/>
      <c r="G963" s="6"/>
      <c r="H963" s="6"/>
      <c r="I963" s="6"/>
      <c r="J963" s="7"/>
      <c r="K963" s="7"/>
      <c r="L963" s="7"/>
      <c r="M963" s="7"/>
      <c r="N963" s="7"/>
      <c r="O963" s="7"/>
      <c r="P963" s="7"/>
      <c r="Q963" s="7"/>
      <c r="R963" s="7"/>
      <c r="S963" s="7"/>
      <c r="T963" s="7"/>
      <c r="U963" s="7"/>
      <c r="V963" s="7"/>
      <c r="W963" s="7"/>
      <c r="X963" s="7"/>
      <c r="Y963" s="7"/>
      <c r="Z963" s="7"/>
    </row>
    <row r="964" spans="1:26" ht="21" customHeight="1" x14ac:dyDescent="0.2">
      <c r="A964" s="7"/>
      <c r="B964" s="6"/>
      <c r="C964" s="7"/>
      <c r="D964" s="7"/>
      <c r="E964" s="6"/>
      <c r="F964" s="6"/>
      <c r="G964" s="6"/>
      <c r="H964" s="6"/>
      <c r="I964" s="6"/>
      <c r="J964" s="7"/>
      <c r="K964" s="7"/>
      <c r="L964" s="7"/>
      <c r="M964" s="7"/>
      <c r="N964" s="7"/>
      <c r="O964" s="7"/>
      <c r="P964" s="7"/>
      <c r="Q964" s="7"/>
      <c r="R964" s="7"/>
      <c r="S964" s="7"/>
      <c r="T964" s="7"/>
      <c r="U964" s="7"/>
      <c r="V964" s="7"/>
      <c r="W964" s="7"/>
      <c r="X964" s="7"/>
      <c r="Y964" s="7"/>
      <c r="Z964" s="7"/>
    </row>
    <row r="965" spans="1:26" ht="21" customHeight="1" x14ac:dyDescent="0.2">
      <c r="A965" s="7"/>
      <c r="B965" s="6"/>
      <c r="C965" s="7"/>
      <c r="D965" s="7"/>
      <c r="E965" s="6"/>
      <c r="F965" s="6"/>
      <c r="G965" s="6"/>
      <c r="H965" s="6"/>
      <c r="I965" s="6"/>
      <c r="J965" s="7"/>
      <c r="K965" s="7"/>
      <c r="L965" s="7"/>
      <c r="M965" s="7"/>
      <c r="N965" s="7"/>
      <c r="O965" s="7"/>
      <c r="P965" s="7"/>
      <c r="Q965" s="7"/>
      <c r="R965" s="7"/>
      <c r="S965" s="7"/>
      <c r="T965" s="7"/>
      <c r="U965" s="7"/>
      <c r="V965" s="7"/>
      <c r="W965" s="7"/>
      <c r="X965" s="7"/>
      <c r="Y965" s="7"/>
      <c r="Z965" s="7"/>
    </row>
    <row r="966" spans="1:26" ht="21" customHeight="1" x14ac:dyDescent="0.2">
      <c r="A966" s="7"/>
      <c r="B966" s="6"/>
      <c r="C966" s="7"/>
      <c r="D966" s="7"/>
      <c r="E966" s="6"/>
      <c r="F966" s="6"/>
      <c r="G966" s="6"/>
      <c r="H966" s="6"/>
      <c r="I966" s="6"/>
      <c r="J966" s="7"/>
      <c r="K966" s="7"/>
      <c r="L966" s="7"/>
      <c r="M966" s="7"/>
      <c r="N966" s="7"/>
      <c r="O966" s="7"/>
      <c r="P966" s="7"/>
      <c r="Q966" s="7"/>
      <c r="R966" s="7"/>
      <c r="S966" s="7"/>
      <c r="T966" s="7"/>
      <c r="U966" s="7"/>
      <c r="V966" s="7"/>
      <c r="W966" s="7"/>
      <c r="X966" s="7"/>
      <c r="Y966" s="7"/>
      <c r="Z966" s="7"/>
    </row>
    <row r="967" spans="1:26" ht="21" customHeight="1" x14ac:dyDescent="0.2">
      <c r="A967" s="7"/>
      <c r="B967" s="6"/>
      <c r="C967" s="7"/>
      <c r="D967" s="7"/>
      <c r="E967" s="6"/>
      <c r="F967" s="6"/>
      <c r="G967" s="6"/>
      <c r="H967" s="6"/>
      <c r="I967" s="6"/>
      <c r="J967" s="7"/>
      <c r="K967" s="7"/>
      <c r="L967" s="7"/>
      <c r="M967" s="7"/>
      <c r="N967" s="7"/>
      <c r="O967" s="7"/>
      <c r="P967" s="7"/>
      <c r="Q967" s="7"/>
      <c r="R967" s="7"/>
      <c r="S967" s="7"/>
      <c r="T967" s="7"/>
      <c r="U967" s="7"/>
      <c r="V967" s="7"/>
      <c r="W967" s="7"/>
      <c r="X967" s="7"/>
      <c r="Y967" s="7"/>
      <c r="Z967" s="7"/>
    </row>
    <row r="968" spans="1:26" ht="21" customHeight="1" x14ac:dyDescent="0.2">
      <c r="A968" s="7"/>
      <c r="B968" s="6"/>
      <c r="C968" s="7"/>
      <c r="D968" s="7"/>
      <c r="E968" s="6"/>
      <c r="F968" s="6"/>
      <c r="G968" s="6"/>
      <c r="H968" s="6"/>
      <c r="I968" s="6"/>
      <c r="J968" s="7"/>
      <c r="K968" s="7"/>
      <c r="L968" s="7"/>
      <c r="M968" s="7"/>
      <c r="N968" s="7"/>
      <c r="O968" s="7"/>
      <c r="P968" s="7"/>
      <c r="Q968" s="7"/>
      <c r="R968" s="7"/>
      <c r="S968" s="7"/>
      <c r="T968" s="7"/>
      <c r="U968" s="7"/>
      <c r="V968" s="7"/>
      <c r="W968" s="7"/>
      <c r="X968" s="7"/>
      <c r="Y968" s="7"/>
      <c r="Z968" s="7"/>
    </row>
    <row r="969" spans="1:26" ht="21" customHeight="1" x14ac:dyDescent="0.2">
      <c r="A969" s="7"/>
      <c r="B969" s="6"/>
      <c r="C969" s="7"/>
      <c r="D969" s="7"/>
      <c r="E969" s="6"/>
      <c r="F969" s="6"/>
      <c r="G969" s="6"/>
      <c r="H969" s="6"/>
      <c r="I969" s="6"/>
      <c r="J969" s="7"/>
      <c r="K969" s="7"/>
      <c r="L969" s="7"/>
      <c r="M969" s="7"/>
      <c r="N969" s="7"/>
      <c r="O969" s="7"/>
      <c r="P969" s="7"/>
      <c r="Q969" s="7"/>
      <c r="R969" s="7"/>
      <c r="S969" s="7"/>
      <c r="T969" s="7"/>
      <c r="U969" s="7"/>
      <c r="V969" s="7"/>
      <c r="W969" s="7"/>
      <c r="X969" s="7"/>
      <c r="Y969" s="7"/>
      <c r="Z969" s="7"/>
    </row>
    <row r="970" spans="1:26" ht="21" customHeight="1" x14ac:dyDescent="0.2">
      <c r="A970" s="7"/>
      <c r="B970" s="6"/>
      <c r="C970" s="7"/>
      <c r="D970" s="7"/>
      <c r="E970" s="6"/>
      <c r="F970" s="6"/>
      <c r="G970" s="6"/>
      <c r="H970" s="6"/>
      <c r="I970" s="6"/>
      <c r="J970" s="7"/>
      <c r="K970" s="7"/>
      <c r="L970" s="7"/>
      <c r="M970" s="7"/>
      <c r="N970" s="7"/>
      <c r="O970" s="7"/>
      <c r="P970" s="7"/>
      <c r="Q970" s="7"/>
      <c r="R970" s="7"/>
      <c r="S970" s="7"/>
      <c r="T970" s="7"/>
      <c r="U970" s="7"/>
      <c r="V970" s="7"/>
      <c r="W970" s="7"/>
      <c r="X970" s="7"/>
      <c r="Y970" s="7"/>
      <c r="Z970" s="7"/>
    </row>
    <row r="971" spans="1:26" ht="21" customHeight="1" x14ac:dyDescent="0.2">
      <c r="A971" s="7"/>
      <c r="B971" s="6"/>
      <c r="C971" s="7"/>
      <c r="D971" s="7"/>
      <c r="E971" s="6"/>
      <c r="F971" s="6"/>
      <c r="G971" s="6"/>
      <c r="H971" s="6"/>
      <c r="I971" s="6"/>
      <c r="J971" s="7"/>
      <c r="K971" s="7"/>
      <c r="L971" s="7"/>
      <c r="M971" s="7"/>
      <c r="N971" s="7"/>
      <c r="O971" s="7"/>
      <c r="P971" s="7"/>
      <c r="Q971" s="7"/>
      <c r="R971" s="7"/>
      <c r="S971" s="7"/>
      <c r="T971" s="7"/>
      <c r="U971" s="7"/>
      <c r="V971" s="7"/>
      <c r="W971" s="7"/>
      <c r="X971" s="7"/>
      <c r="Y971" s="7"/>
      <c r="Z971" s="7"/>
    </row>
    <row r="972" spans="1:26" ht="21" customHeight="1" x14ac:dyDescent="0.2">
      <c r="A972" s="7"/>
      <c r="B972" s="6"/>
      <c r="C972" s="7"/>
      <c r="D972" s="7"/>
      <c r="E972" s="6"/>
      <c r="F972" s="6"/>
      <c r="G972" s="6"/>
      <c r="H972" s="6"/>
      <c r="I972" s="6"/>
      <c r="J972" s="7"/>
      <c r="K972" s="7"/>
      <c r="L972" s="7"/>
      <c r="M972" s="7"/>
      <c r="N972" s="7"/>
      <c r="O972" s="7"/>
      <c r="P972" s="7"/>
      <c r="Q972" s="7"/>
      <c r="R972" s="7"/>
      <c r="S972" s="7"/>
      <c r="T972" s="7"/>
      <c r="U972" s="7"/>
      <c r="V972" s="7"/>
      <c r="W972" s="7"/>
      <c r="X972" s="7"/>
      <c r="Y972" s="7"/>
      <c r="Z972" s="7"/>
    </row>
    <row r="973" spans="1:26" ht="21" customHeight="1" x14ac:dyDescent="0.2">
      <c r="A973" s="7"/>
      <c r="B973" s="6"/>
      <c r="C973" s="7"/>
      <c r="D973" s="7"/>
      <c r="E973" s="6"/>
      <c r="F973" s="6"/>
      <c r="G973" s="6"/>
      <c r="H973" s="6"/>
      <c r="I973" s="6"/>
      <c r="J973" s="7"/>
      <c r="K973" s="7"/>
      <c r="L973" s="7"/>
      <c r="M973" s="7"/>
      <c r="N973" s="7"/>
      <c r="O973" s="7"/>
      <c r="P973" s="7"/>
      <c r="Q973" s="7"/>
      <c r="R973" s="7"/>
      <c r="S973" s="7"/>
      <c r="T973" s="7"/>
      <c r="U973" s="7"/>
      <c r="V973" s="7"/>
      <c r="W973" s="7"/>
      <c r="X973" s="7"/>
      <c r="Y973" s="7"/>
      <c r="Z973" s="7"/>
    </row>
    <row r="974" spans="1:26" ht="21" customHeight="1" x14ac:dyDescent="0.2">
      <c r="A974" s="7"/>
      <c r="B974" s="6"/>
      <c r="C974" s="7"/>
      <c r="D974" s="7"/>
      <c r="E974" s="6"/>
      <c r="F974" s="6"/>
      <c r="G974" s="6"/>
      <c r="H974" s="6"/>
      <c r="I974" s="6"/>
      <c r="J974" s="7"/>
      <c r="K974" s="7"/>
      <c r="L974" s="7"/>
      <c r="M974" s="7"/>
      <c r="N974" s="7"/>
      <c r="O974" s="7"/>
      <c r="P974" s="7"/>
      <c r="Q974" s="7"/>
      <c r="R974" s="7"/>
      <c r="S974" s="7"/>
      <c r="T974" s="7"/>
      <c r="U974" s="7"/>
      <c r="V974" s="7"/>
      <c r="W974" s="7"/>
      <c r="X974" s="7"/>
      <c r="Y974" s="7"/>
      <c r="Z974" s="7"/>
    </row>
    <row r="975" spans="1:26" ht="21" customHeight="1" x14ac:dyDescent="0.2">
      <c r="A975" s="7"/>
      <c r="B975" s="6"/>
      <c r="C975" s="7"/>
      <c r="D975" s="7"/>
      <c r="E975" s="6"/>
      <c r="F975" s="6"/>
      <c r="G975" s="6"/>
      <c r="H975" s="6"/>
      <c r="I975" s="6"/>
      <c r="J975" s="7"/>
      <c r="K975" s="7"/>
      <c r="L975" s="7"/>
      <c r="M975" s="7"/>
      <c r="N975" s="7"/>
      <c r="O975" s="7"/>
      <c r="P975" s="7"/>
      <c r="Q975" s="7"/>
      <c r="R975" s="7"/>
      <c r="S975" s="7"/>
      <c r="T975" s="7"/>
      <c r="U975" s="7"/>
      <c r="V975" s="7"/>
      <c r="W975" s="7"/>
      <c r="X975" s="7"/>
      <c r="Y975" s="7"/>
      <c r="Z975" s="7"/>
    </row>
    <row r="976" spans="1:26" ht="21" customHeight="1" x14ac:dyDescent="0.2">
      <c r="A976" s="7"/>
      <c r="B976" s="6"/>
      <c r="C976" s="7"/>
      <c r="D976" s="7"/>
      <c r="E976" s="6"/>
      <c r="F976" s="6"/>
      <c r="G976" s="6"/>
      <c r="H976" s="6"/>
      <c r="I976" s="6"/>
      <c r="J976" s="7"/>
      <c r="K976" s="7"/>
      <c r="L976" s="7"/>
      <c r="M976" s="7"/>
      <c r="N976" s="7"/>
      <c r="O976" s="7"/>
      <c r="P976" s="7"/>
      <c r="Q976" s="7"/>
      <c r="R976" s="7"/>
      <c r="S976" s="7"/>
      <c r="T976" s="7"/>
      <c r="U976" s="7"/>
      <c r="V976" s="7"/>
      <c r="W976" s="7"/>
      <c r="X976" s="7"/>
      <c r="Y976" s="7"/>
      <c r="Z976" s="7"/>
    </row>
    <row r="977" spans="1:26" ht="21" customHeight="1" x14ac:dyDescent="0.2">
      <c r="A977" s="7"/>
      <c r="B977" s="6"/>
      <c r="C977" s="7"/>
      <c r="D977" s="7"/>
      <c r="E977" s="6"/>
      <c r="F977" s="6"/>
      <c r="G977" s="6"/>
      <c r="H977" s="6"/>
      <c r="I977" s="6"/>
      <c r="J977" s="7"/>
      <c r="K977" s="7"/>
      <c r="L977" s="7"/>
      <c r="M977" s="7"/>
      <c r="N977" s="7"/>
      <c r="O977" s="7"/>
      <c r="P977" s="7"/>
      <c r="Q977" s="7"/>
      <c r="R977" s="7"/>
      <c r="S977" s="7"/>
      <c r="T977" s="7"/>
      <c r="U977" s="7"/>
      <c r="V977" s="7"/>
      <c r="W977" s="7"/>
      <c r="X977" s="7"/>
      <c r="Y977" s="7"/>
      <c r="Z977" s="7"/>
    </row>
    <row r="978" spans="1:26" ht="21" customHeight="1" x14ac:dyDescent="0.2">
      <c r="A978" s="7"/>
      <c r="B978" s="6"/>
      <c r="C978" s="7"/>
      <c r="D978" s="7"/>
      <c r="E978" s="6"/>
      <c r="F978" s="6"/>
      <c r="G978" s="6"/>
      <c r="H978" s="6"/>
      <c r="I978" s="6"/>
      <c r="J978" s="7"/>
      <c r="K978" s="7"/>
      <c r="L978" s="7"/>
      <c r="M978" s="7"/>
      <c r="N978" s="7"/>
      <c r="O978" s="7"/>
      <c r="P978" s="7"/>
      <c r="Q978" s="7"/>
      <c r="R978" s="7"/>
      <c r="S978" s="7"/>
      <c r="T978" s="7"/>
      <c r="U978" s="7"/>
      <c r="V978" s="7"/>
      <c r="W978" s="7"/>
      <c r="X978" s="7"/>
      <c r="Y978" s="7"/>
      <c r="Z978" s="7"/>
    </row>
    <row r="979" spans="1:26" ht="21" customHeight="1" x14ac:dyDescent="0.2">
      <c r="A979" s="7"/>
      <c r="B979" s="6"/>
      <c r="C979" s="7"/>
      <c r="D979" s="7"/>
      <c r="E979" s="6"/>
      <c r="F979" s="6"/>
      <c r="G979" s="6"/>
      <c r="H979" s="6"/>
      <c r="I979" s="6"/>
      <c r="J979" s="7"/>
      <c r="K979" s="7"/>
      <c r="L979" s="7"/>
      <c r="M979" s="7"/>
      <c r="N979" s="7"/>
      <c r="O979" s="7"/>
      <c r="P979" s="7"/>
      <c r="Q979" s="7"/>
      <c r="R979" s="7"/>
      <c r="S979" s="7"/>
      <c r="T979" s="7"/>
      <c r="U979" s="7"/>
      <c r="V979" s="7"/>
      <c r="W979" s="7"/>
      <c r="X979" s="7"/>
      <c r="Y979" s="7"/>
      <c r="Z979" s="7"/>
    </row>
    <row r="980" spans="1:26" ht="21" customHeight="1" x14ac:dyDescent="0.2">
      <c r="A980" s="7"/>
      <c r="B980" s="6"/>
      <c r="C980" s="7"/>
      <c r="D980" s="7"/>
      <c r="E980" s="6"/>
      <c r="F980" s="6"/>
      <c r="G980" s="6"/>
      <c r="H980" s="6"/>
      <c r="I980" s="6"/>
      <c r="J980" s="7"/>
      <c r="K980" s="7"/>
      <c r="L980" s="7"/>
      <c r="M980" s="7"/>
      <c r="N980" s="7"/>
      <c r="O980" s="7"/>
      <c r="P980" s="7"/>
      <c r="Q980" s="7"/>
      <c r="R980" s="7"/>
      <c r="S980" s="7"/>
      <c r="T980" s="7"/>
      <c r="U980" s="7"/>
      <c r="V980" s="7"/>
      <c r="W980" s="7"/>
      <c r="X980" s="7"/>
      <c r="Y980" s="7"/>
      <c r="Z980" s="7"/>
    </row>
    <row r="981" spans="1:26" ht="21" customHeight="1" x14ac:dyDescent="0.2">
      <c r="A981" s="7"/>
      <c r="B981" s="6"/>
      <c r="C981" s="7"/>
      <c r="D981" s="7"/>
      <c r="E981" s="6"/>
      <c r="F981" s="6"/>
      <c r="G981" s="6"/>
      <c r="H981" s="6"/>
      <c r="I981" s="6"/>
      <c r="J981" s="7"/>
      <c r="K981" s="7"/>
      <c r="L981" s="7"/>
      <c r="M981" s="7"/>
      <c r="N981" s="7"/>
      <c r="O981" s="7"/>
      <c r="P981" s="7"/>
      <c r="Q981" s="7"/>
      <c r="R981" s="7"/>
      <c r="S981" s="7"/>
      <c r="T981" s="7"/>
      <c r="U981" s="7"/>
      <c r="V981" s="7"/>
      <c r="W981" s="7"/>
      <c r="X981" s="7"/>
      <c r="Y981" s="7"/>
      <c r="Z981" s="7"/>
    </row>
    <row r="982" spans="1:26" ht="21" customHeight="1" x14ac:dyDescent="0.2">
      <c r="A982" s="7"/>
      <c r="B982" s="6"/>
      <c r="C982" s="7"/>
      <c r="D982" s="7"/>
      <c r="E982" s="6"/>
      <c r="F982" s="6"/>
      <c r="G982" s="6"/>
      <c r="H982" s="6"/>
      <c r="I982" s="6"/>
      <c r="J982" s="7"/>
      <c r="K982" s="7"/>
      <c r="L982" s="7"/>
      <c r="M982" s="7"/>
      <c r="N982" s="7"/>
      <c r="O982" s="7"/>
      <c r="P982" s="7"/>
      <c r="Q982" s="7"/>
      <c r="R982" s="7"/>
      <c r="S982" s="7"/>
      <c r="T982" s="7"/>
      <c r="U982" s="7"/>
      <c r="V982" s="7"/>
      <c r="W982" s="7"/>
      <c r="X982" s="7"/>
      <c r="Y982" s="7"/>
      <c r="Z982" s="7"/>
    </row>
    <row r="983" spans="1:26" ht="21" customHeight="1" x14ac:dyDescent="0.2">
      <c r="A983" s="7"/>
      <c r="B983" s="6"/>
      <c r="C983" s="7"/>
      <c r="D983" s="7"/>
      <c r="E983" s="6"/>
      <c r="F983" s="6"/>
      <c r="G983" s="6"/>
      <c r="H983" s="6"/>
      <c r="I983" s="6"/>
      <c r="J983" s="7"/>
      <c r="K983" s="7"/>
      <c r="L983" s="7"/>
      <c r="M983" s="7"/>
      <c r="N983" s="7"/>
      <c r="O983" s="7"/>
      <c r="P983" s="7"/>
      <c r="Q983" s="7"/>
      <c r="R983" s="7"/>
      <c r="S983" s="7"/>
      <c r="T983" s="7"/>
      <c r="U983" s="7"/>
      <c r="V983" s="7"/>
      <c r="W983" s="7"/>
      <c r="X983" s="7"/>
      <c r="Y983" s="7"/>
      <c r="Z983" s="7"/>
    </row>
    <row r="984" spans="1:26" ht="21" customHeight="1" x14ac:dyDescent="0.2">
      <c r="A984" s="7"/>
      <c r="B984" s="6"/>
      <c r="C984" s="7"/>
      <c r="D984" s="7"/>
      <c r="E984" s="6"/>
      <c r="F984" s="6"/>
      <c r="G984" s="6"/>
      <c r="H984" s="6"/>
      <c r="I984" s="6"/>
      <c r="J984" s="7"/>
      <c r="K984" s="7"/>
      <c r="L984" s="7"/>
      <c r="M984" s="7"/>
      <c r="N984" s="7"/>
      <c r="O984" s="7"/>
      <c r="P984" s="7"/>
      <c r="Q984" s="7"/>
      <c r="R984" s="7"/>
      <c r="S984" s="7"/>
      <c r="T984" s="7"/>
      <c r="U984" s="7"/>
      <c r="V984" s="7"/>
      <c r="W984" s="7"/>
      <c r="X984" s="7"/>
      <c r="Y984" s="7"/>
      <c r="Z984" s="7"/>
    </row>
    <row r="985" spans="1:26" ht="21" customHeight="1" x14ac:dyDescent="0.2">
      <c r="A985" s="7"/>
      <c r="B985" s="6"/>
      <c r="C985" s="7"/>
      <c r="D985" s="7"/>
      <c r="E985" s="6"/>
      <c r="F985" s="6"/>
      <c r="G985" s="6"/>
      <c r="H985" s="6"/>
      <c r="I985" s="6"/>
      <c r="J985" s="7"/>
      <c r="K985" s="7"/>
      <c r="L985" s="7"/>
      <c r="M985" s="7"/>
      <c r="N985" s="7"/>
      <c r="O985" s="7"/>
      <c r="P985" s="7"/>
      <c r="Q985" s="7"/>
      <c r="R985" s="7"/>
      <c r="S985" s="7"/>
      <c r="T985" s="7"/>
      <c r="U985" s="7"/>
      <c r="V985" s="7"/>
      <c r="W985" s="7"/>
      <c r="X985" s="7"/>
      <c r="Y985" s="7"/>
      <c r="Z985" s="7"/>
    </row>
    <row r="986" spans="1:26" ht="21" customHeight="1" x14ac:dyDescent="0.2">
      <c r="A986" s="7"/>
      <c r="B986" s="6"/>
      <c r="C986" s="7"/>
      <c r="D986" s="7"/>
      <c r="E986" s="6"/>
      <c r="F986" s="6"/>
      <c r="G986" s="6"/>
      <c r="H986" s="6"/>
      <c r="I986" s="6"/>
      <c r="J986" s="7"/>
      <c r="K986" s="7"/>
      <c r="L986" s="7"/>
      <c r="M986" s="7"/>
      <c r="N986" s="7"/>
      <c r="O986" s="7"/>
      <c r="P986" s="7"/>
      <c r="Q986" s="7"/>
      <c r="R986" s="7"/>
      <c r="S986" s="7"/>
      <c r="T986" s="7"/>
      <c r="U986" s="7"/>
      <c r="V986" s="7"/>
      <c r="W986" s="7"/>
      <c r="X986" s="7"/>
      <c r="Y986" s="7"/>
      <c r="Z986" s="7"/>
    </row>
    <row r="987" spans="1:26" ht="21" customHeight="1" x14ac:dyDescent="0.2">
      <c r="A987" s="7"/>
      <c r="B987" s="6"/>
      <c r="C987" s="7"/>
      <c r="D987" s="7"/>
      <c r="E987" s="6"/>
      <c r="F987" s="6"/>
      <c r="G987" s="6"/>
      <c r="H987" s="6"/>
      <c r="I987" s="6"/>
      <c r="J987" s="7"/>
      <c r="K987" s="7"/>
      <c r="L987" s="7"/>
      <c r="M987" s="7"/>
      <c r="N987" s="7"/>
      <c r="O987" s="7"/>
      <c r="P987" s="7"/>
      <c r="Q987" s="7"/>
      <c r="R987" s="7"/>
      <c r="S987" s="7"/>
      <c r="T987" s="7"/>
      <c r="U987" s="7"/>
      <c r="V987" s="7"/>
      <c r="W987" s="7"/>
      <c r="X987" s="7"/>
      <c r="Y987" s="7"/>
      <c r="Z987" s="7"/>
    </row>
    <row r="988" spans="1:26" ht="21" customHeight="1" x14ac:dyDescent="0.2">
      <c r="A988" s="7"/>
      <c r="B988" s="6"/>
      <c r="C988" s="7"/>
      <c r="D988" s="7"/>
      <c r="E988" s="6"/>
      <c r="F988" s="6"/>
      <c r="G988" s="6"/>
      <c r="H988" s="6"/>
      <c r="I988" s="6"/>
      <c r="J988" s="7"/>
      <c r="K988" s="7"/>
      <c r="L988" s="7"/>
      <c r="M988" s="7"/>
      <c r="N988" s="7"/>
      <c r="O988" s="7"/>
      <c r="P988" s="7"/>
      <c r="Q988" s="7"/>
      <c r="R988" s="7"/>
      <c r="S988" s="7"/>
      <c r="T988" s="7"/>
      <c r="U988" s="7"/>
      <c r="V988" s="7"/>
      <c r="W988" s="7"/>
      <c r="X988" s="7"/>
      <c r="Y988" s="7"/>
      <c r="Z988" s="7"/>
    </row>
    <row r="989" spans="1:26" ht="21" customHeight="1" x14ac:dyDescent="0.2">
      <c r="A989" s="7"/>
      <c r="B989" s="6"/>
      <c r="C989" s="7"/>
      <c r="D989" s="7"/>
      <c r="E989" s="6"/>
      <c r="F989" s="6"/>
      <c r="G989" s="6"/>
      <c r="H989" s="6"/>
      <c r="I989" s="6"/>
      <c r="J989" s="7"/>
      <c r="K989" s="7"/>
      <c r="L989" s="7"/>
      <c r="M989" s="7"/>
      <c r="N989" s="7"/>
      <c r="O989" s="7"/>
      <c r="P989" s="7"/>
      <c r="Q989" s="7"/>
      <c r="R989" s="7"/>
      <c r="S989" s="7"/>
      <c r="T989" s="7"/>
      <c r="U989" s="7"/>
      <c r="V989" s="7"/>
      <c r="W989" s="7"/>
      <c r="X989" s="7"/>
      <c r="Y989" s="7"/>
      <c r="Z989" s="7"/>
    </row>
    <row r="990" spans="1:26" ht="21" customHeight="1" x14ac:dyDescent="0.2">
      <c r="A990" s="7"/>
      <c r="B990" s="6"/>
      <c r="C990" s="7"/>
      <c r="D990" s="7"/>
      <c r="E990" s="6"/>
      <c r="F990" s="6"/>
      <c r="G990" s="6"/>
      <c r="H990" s="6"/>
      <c r="I990" s="6"/>
      <c r="J990" s="7"/>
      <c r="K990" s="7"/>
      <c r="L990" s="7"/>
      <c r="M990" s="7"/>
      <c r="N990" s="7"/>
      <c r="O990" s="7"/>
      <c r="P990" s="7"/>
      <c r="Q990" s="7"/>
      <c r="R990" s="7"/>
      <c r="S990" s="7"/>
      <c r="T990" s="7"/>
      <c r="U990" s="7"/>
      <c r="V990" s="7"/>
      <c r="W990" s="7"/>
      <c r="X990" s="7"/>
      <c r="Y990" s="7"/>
      <c r="Z990" s="7"/>
    </row>
    <row r="991" spans="1:26" ht="21" customHeight="1" x14ac:dyDescent="0.2">
      <c r="A991" s="7"/>
      <c r="B991" s="6"/>
      <c r="C991" s="7"/>
      <c r="D991" s="7"/>
      <c r="E991" s="6"/>
      <c r="F991" s="6"/>
      <c r="G991" s="6"/>
      <c r="H991" s="6"/>
      <c r="I991" s="6"/>
      <c r="J991" s="7"/>
      <c r="K991" s="7"/>
      <c r="L991" s="7"/>
      <c r="M991" s="7"/>
      <c r="N991" s="7"/>
      <c r="O991" s="7"/>
      <c r="P991" s="7"/>
      <c r="Q991" s="7"/>
      <c r="R991" s="7"/>
      <c r="S991" s="7"/>
      <c r="T991" s="7"/>
      <c r="U991" s="7"/>
      <c r="V991" s="7"/>
      <c r="W991" s="7"/>
      <c r="X991" s="7"/>
      <c r="Y991" s="7"/>
      <c r="Z991" s="7"/>
    </row>
    <row r="992" spans="1:26" ht="21" customHeight="1" x14ac:dyDescent="0.2">
      <c r="A992" s="7"/>
      <c r="B992" s="6"/>
      <c r="C992" s="7"/>
      <c r="D992" s="7"/>
      <c r="E992" s="6"/>
      <c r="F992" s="6"/>
      <c r="G992" s="6"/>
      <c r="H992" s="6"/>
      <c r="I992" s="6"/>
      <c r="J992" s="7"/>
      <c r="K992" s="7"/>
      <c r="L992" s="7"/>
      <c r="M992" s="7"/>
      <c r="N992" s="7"/>
      <c r="O992" s="7"/>
      <c r="P992" s="7"/>
      <c r="Q992" s="7"/>
      <c r="R992" s="7"/>
      <c r="S992" s="7"/>
      <c r="T992" s="7"/>
      <c r="U992" s="7"/>
      <c r="V992" s="7"/>
      <c r="W992" s="7"/>
      <c r="X992" s="7"/>
      <c r="Y992" s="7"/>
      <c r="Z992" s="7"/>
    </row>
    <row r="993" spans="1:26" ht="21" customHeight="1" x14ac:dyDescent="0.2">
      <c r="A993" s="7"/>
      <c r="B993" s="6"/>
      <c r="C993" s="7"/>
      <c r="D993" s="7"/>
      <c r="E993" s="6"/>
      <c r="F993" s="6"/>
      <c r="G993" s="6"/>
      <c r="H993" s="6"/>
      <c r="I993" s="6"/>
      <c r="J993" s="7"/>
      <c r="K993" s="7"/>
      <c r="L993" s="7"/>
      <c r="M993" s="7"/>
      <c r="N993" s="7"/>
      <c r="O993" s="7"/>
      <c r="P993" s="7"/>
      <c r="Q993" s="7"/>
      <c r="R993" s="7"/>
      <c r="S993" s="7"/>
      <c r="T993" s="7"/>
      <c r="U993" s="7"/>
      <c r="V993" s="7"/>
      <c r="W993" s="7"/>
      <c r="X993" s="7"/>
      <c r="Y993" s="7"/>
      <c r="Z993" s="7"/>
    </row>
    <row r="994" spans="1:26" ht="21" customHeight="1" x14ac:dyDescent="0.2">
      <c r="A994" s="7"/>
      <c r="B994" s="6"/>
      <c r="C994" s="7"/>
      <c r="D994" s="7"/>
      <c r="E994" s="6"/>
      <c r="F994" s="6"/>
      <c r="G994" s="6"/>
      <c r="H994" s="6"/>
      <c r="I994" s="6"/>
      <c r="J994" s="7"/>
      <c r="K994" s="7"/>
      <c r="L994" s="7"/>
      <c r="M994" s="7"/>
      <c r="N994" s="7"/>
      <c r="O994" s="7"/>
      <c r="P994" s="7"/>
      <c r="Q994" s="7"/>
      <c r="R994" s="7"/>
      <c r="S994" s="7"/>
      <c r="T994" s="7"/>
      <c r="U994" s="7"/>
      <c r="V994" s="7"/>
      <c r="W994" s="7"/>
      <c r="X994" s="7"/>
      <c r="Y994" s="7"/>
      <c r="Z994" s="7"/>
    </row>
    <row r="995" spans="1:26" ht="21" customHeight="1" x14ac:dyDescent="0.2">
      <c r="A995" s="7"/>
      <c r="B995" s="6"/>
      <c r="C995" s="7"/>
      <c r="D995" s="7"/>
      <c r="E995" s="6"/>
      <c r="F995" s="6"/>
      <c r="G995" s="6"/>
      <c r="H995" s="6"/>
      <c r="I995" s="6"/>
      <c r="J995" s="7"/>
      <c r="K995" s="7"/>
      <c r="L995" s="7"/>
      <c r="M995" s="7"/>
      <c r="N995" s="7"/>
      <c r="O995" s="7"/>
      <c r="P995" s="7"/>
      <c r="Q995" s="7"/>
      <c r="R995" s="7"/>
      <c r="S995" s="7"/>
      <c r="T995" s="7"/>
      <c r="U995" s="7"/>
      <c r="V995" s="7"/>
      <c r="W995" s="7"/>
      <c r="X995" s="7"/>
      <c r="Y995" s="7"/>
      <c r="Z995" s="7"/>
    </row>
    <row r="996" spans="1:26" ht="21" customHeight="1" x14ac:dyDescent="0.2">
      <c r="A996" s="7"/>
      <c r="B996" s="6"/>
      <c r="C996" s="7"/>
      <c r="D996" s="7"/>
      <c r="E996" s="6"/>
      <c r="F996" s="6"/>
      <c r="G996" s="6"/>
      <c r="H996" s="6"/>
      <c r="I996" s="6"/>
      <c r="J996" s="7"/>
      <c r="K996" s="7"/>
      <c r="L996" s="7"/>
      <c r="M996" s="7"/>
      <c r="N996" s="7"/>
      <c r="O996" s="7"/>
      <c r="P996" s="7"/>
      <c r="Q996" s="7"/>
      <c r="R996" s="7"/>
      <c r="S996" s="7"/>
      <c r="T996" s="7"/>
      <c r="U996" s="7"/>
      <c r="V996" s="7"/>
      <c r="W996" s="7"/>
      <c r="X996" s="7"/>
      <c r="Y996" s="7"/>
      <c r="Z996" s="7"/>
    </row>
    <row r="997" spans="1:26" ht="21" customHeight="1" x14ac:dyDescent="0.2">
      <c r="A997" s="7"/>
      <c r="B997" s="6"/>
      <c r="C997" s="7"/>
      <c r="D997" s="7"/>
      <c r="E997" s="6"/>
      <c r="F997" s="6"/>
      <c r="G997" s="6"/>
      <c r="H997" s="6"/>
      <c r="I997" s="6"/>
      <c r="J997" s="7"/>
      <c r="K997" s="7"/>
      <c r="L997" s="7"/>
      <c r="M997" s="7"/>
      <c r="N997" s="7"/>
      <c r="O997" s="7"/>
      <c r="P997" s="7"/>
      <c r="Q997" s="7"/>
      <c r="R997" s="7"/>
      <c r="S997" s="7"/>
      <c r="T997" s="7"/>
      <c r="U997" s="7"/>
      <c r="V997" s="7"/>
      <c r="W997" s="7"/>
      <c r="X997" s="7"/>
      <c r="Y997" s="7"/>
      <c r="Z997" s="7"/>
    </row>
    <row r="998" spans="1:26" ht="21" customHeight="1" x14ac:dyDescent="0.2">
      <c r="A998" s="7"/>
      <c r="B998" s="6"/>
      <c r="C998" s="7"/>
      <c r="D998" s="7"/>
      <c r="E998" s="6"/>
      <c r="F998" s="6"/>
      <c r="G998" s="6"/>
      <c r="H998" s="6"/>
      <c r="I998" s="6"/>
      <c r="J998" s="7"/>
      <c r="K998" s="7"/>
      <c r="L998" s="7"/>
      <c r="M998" s="7"/>
      <c r="N998" s="7"/>
      <c r="O998" s="7"/>
      <c r="P998" s="7"/>
      <c r="Q998" s="7"/>
      <c r="R998" s="7"/>
      <c r="S998" s="7"/>
      <c r="T998" s="7"/>
      <c r="U998" s="7"/>
      <c r="V998" s="7"/>
      <c r="W998" s="7"/>
      <c r="X998" s="7"/>
      <c r="Y998" s="7"/>
      <c r="Z998" s="7"/>
    </row>
    <row r="999" spans="1:26" ht="21" customHeight="1" x14ac:dyDescent="0.2">
      <c r="A999" s="7"/>
      <c r="B999" s="6"/>
      <c r="C999" s="7"/>
      <c r="D999" s="7"/>
      <c r="E999" s="6"/>
      <c r="F999" s="6"/>
      <c r="G999" s="6"/>
      <c r="H999" s="6"/>
      <c r="I999" s="6"/>
      <c r="J999" s="7"/>
      <c r="K999" s="7"/>
      <c r="L999" s="7"/>
      <c r="M999" s="7"/>
      <c r="N999" s="7"/>
      <c r="O999" s="7"/>
      <c r="P999" s="7"/>
      <c r="Q999" s="7"/>
      <c r="R999" s="7"/>
      <c r="S999" s="7"/>
      <c r="T999" s="7"/>
      <c r="U999" s="7"/>
      <c r="V999" s="7"/>
      <c r="W999" s="7"/>
      <c r="X999" s="7"/>
      <c r="Y999" s="7"/>
      <c r="Z999" s="7"/>
    </row>
    <row r="1000" spans="1:26" ht="21" customHeight="1" x14ac:dyDescent="0.2">
      <c r="A1000" s="7"/>
      <c r="B1000" s="6"/>
      <c r="C1000" s="7"/>
      <c r="D1000" s="7"/>
      <c r="E1000" s="6"/>
      <c r="F1000" s="6"/>
      <c r="G1000" s="6"/>
      <c r="H1000" s="6"/>
      <c r="I1000" s="6"/>
      <c r="J1000" s="7"/>
      <c r="K1000" s="7"/>
      <c r="L1000" s="7"/>
      <c r="M1000" s="7"/>
      <c r="N1000" s="7"/>
      <c r="O1000" s="7"/>
      <c r="P1000" s="7"/>
      <c r="Q1000" s="7"/>
      <c r="R1000" s="7"/>
      <c r="S1000" s="7"/>
      <c r="T1000" s="7"/>
      <c r="U1000" s="7"/>
      <c r="V1000" s="7"/>
      <c r="W1000" s="7"/>
      <c r="X1000" s="7"/>
      <c r="Y1000" s="7"/>
      <c r="Z1000" s="7"/>
    </row>
  </sheetData>
  <hyperlinks>
    <hyperlink ref="C2" r:id="rId1" xr:uid="{00000000-0004-0000-0300-000000000000}"/>
    <hyperlink ref="C3" r:id="rId2" xr:uid="{00000000-0004-0000-0300-000001000000}"/>
    <hyperlink ref="C4" r:id="rId3" xr:uid="{00000000-0004-0000-0300-000002000000}"/>
    <hyperlink ref="C5" r:id="rId4" xr:uid="{00000000-0004-0000-0300-000003000000}"/>
    <hyperlink ref="C6" r:id="rId5" xr:uid="{00000000-0004-0000-0300-000004000000}"/>
    <hyperlink ref="C7" r:id="rId6" xr:uid="{00000000-0004-0000-0300-000005000000}"/>
    <hyperlink ref="C8" r:id="rId7" xr:uid="{00000000-0004-0000-0300-000006000000}"/>
    <hyperlink ref="C9" r:id="rId8" xr:uid="{00000000-0004-0000-0300-000007000000}"/>
    <hyperlink ref="C10"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xr:uid="{00000000-0004-0000-0300-00000D000000}"/>
    <hyperlink ref="C16" r:id="rId15" xr:uid="{00000000-0004-0000-0300-00000E000000}"/>
    <hyperlink ref="C17" r:id="rId16" xr:uid="{00000000-0004-0000-0300-00000F000000}"/>
    <hyperlink ref="C18" r:id="rId17" xr:uid="{00000000-0004-0000-0300-000010000000}"/>
    <hyperlink ref="C19" r:id="rId18" xr:uid="{00000000-0004-0000-0300-000011000000}"/>
    <hyperlink ref="C20" r:id="rId19" xr:uid="{00000000-0004-0000-0300-000012000000}"/>
    <hyperlink ref="C21" r:id="rId20" xr:uid="{00000000-0004-0000-0300-000013000000}"/>
    <hyperlink ref="C22" r:id="rId21" xr:uid="{00000000-0004-0000-0300-000014000000}"/>
    <hyperlink ref="C23" r:id="rId22" xr:uid="{00000000-0004-0000-0300-000015000000}"/>
    <hyperlink ref="C24" r:id="rId23" xr:uid="{00000000-0004-0000-0300-000016000000}"/>
    <hyperlink ref="C25" r:id="rId24" xr:uid="{00000000-0004-0000-0300-000017000000}"/>
    <hyperlink ref="C26" r:id="rId25" xr:uid="{00000000-0004-0000-0300-000018000000}"/>
    <hyperlink ref="C28" r:id="rId26" xr:uid="{00000000-0004-0000-0300-000019000000}"/>
    <hyperlink ref="C29" r:id="rId27" xr:uid="{00000000-0004-0000-0300-00001A000000}"/>
    <hyperlink ref="C30" r:id="rId28" xr:uid="{00000000-0004-0000-0300-00001B000000}"/>
    <hyperlink ref="C31" r:id="rId29" xr:uid="{00000000-0004-0000-0300-00001C000000}"/>
    <hyperlink ref="C32" r:id="rId30" xr:uid="{00000000-0004-0000-0300-00001D000000}"/>
    <hyperlink ref="C33" r:id="rId31" xr:uid="{00000000-0004-0000-0300-00001E000000}"/>
    <hyperlink ref="C34" r:id="rId32" xr:uid="{00000000-0004-0000-0300-00001F000000}"/>
    <hyperlink ref="C35" r:id="rId33" xr:uid="{00000000-0004-0000-0300-000020000000}"/>
    <hyperlink ref="C36" r:id="rId34" xr:uid="{00000000-0004-0000-0300-000021000000}"/>
    <hyperlink ref="C37" r:id="rId35" xr:uid="{00000000-0004-0000-0300-000022000000}"/>
    <hyperlink ref="C38" r:id="rId36" xr:uid="{00000000-0004-0000-0300-000023000000}"/>
    <hyperlink ref="C39" r:id="rId37" xr:uid="{00000000-0004-0000-0300-000024000000}"/>
    <hyperlink ref="C40" r:id="rId38" xr:uid="{00000000-0004-0000-0300-000025000000}"/>
    <hyperlink ref="C41" r:id="rId39" xr:uid="{00000000-0004-0000-0300-000026000000}"/>
  </hyperlinks>
  <pageMargins left="0.7" right="0.7" top="0.75" bottom="0.75" header="0.3" footer="0.3"/>
  <drawing r:id="rId4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baseColWidth="10" defaultColWidth="14.5" defaultRowHeight="15" x14ac:dyDescent="0.2"/>
  <cols>
    <col min="1" max="1" width="33" customWidth="1"/>
    <col min="2" max="2" width="21.6640625" customWidth="1"/>
    <col min="3" max="3" width="17" customWidth="1"/>
    <col min="4" max="26" width="10.6640625" customWidth="1"/>
  </cols>
  <sheetData>
    <row r="1" spans="1:3" x14ac:dyDescent="0.2">
      <c r="A1" s="9" t="s">
        <v>1620</v>
      </c>
      <c r="B1" s="9" t="s">
        <v>1621</v>
      </c>
      <c r="C1" s="9" t="s">
        <v>1622</v>
      </c>
    </row>
    <row r="2" spans="1:3" x14ac:dyDescent="0.2">
      <c r="A2" s="9" t="s">
        <v>1623</v>
      </c>
      <c r="B2" s="1" t="s">
        <v>1523</v>
      </c>
      <c r="C2" s="10">
        <v>20</v>
      </c>
    </row>
    <row r="3" spans="1:3" x14ac:dyDescent="0.2">
      <c r="B3" s="1" t="s">
        <v>1514</v>
      </c>
      <c r="C3" s="10">
        <v>11</v>
      </c>
    </row>
    <row r="4" spans="1:3" x14ac:dyDescent="0.2">
      <c r="B4" s="1" t="s">
        <v>1507</v>
      </c>
      <c r="C4" s="10">
        <v>12</v>
      </c>
    </row>
    <row r="5" spans="1:3" x14ac:dyDescent="0.2">
      <c r="B5" s="1" t="s">
        <v>1624</v>
      </c>
      <c r="C5" s="10">
        <v>1</v>
      </c>
    </row>
    <row r="6" spans="1:3" x14ac:dyDescent="0.2">
      <c r="C6" s="9"/>
    </row>
    <row r="7" spans="1:3" x14ac:dyDescent="0.2">
      <c r="A7" s="9" t="s">
        <v>1625</v>
      </c>
      <c r="B7" s="1" t="s">
        <v>1626</v>
      </c>
      <c r="C7" s="10">
        <v>10</v>
      </c>
    </row>
    <row r="8" spans="1:3" x14ac:dyDescent="0.2">
      <c r="B8" s="1" t="s">
        <v>1627</v>
      </c>
      <c r="C8" s="10">
        <v>5</v>
      </c>
    </row>
    <row r="9" spans="1:3" x14ac:dyDescent="0.2">
      <c r="C9" s="9"/>
    </row>
    <row r="10" spans="1:3" x14ac:dyDescent="0.2">
      <c r="A10" s="9" t="s">
        <v>1628</v>
      </c>
      <c r="B10" s="1" t="s">
        <v>1629</v>
      </c>
      <c r="C10" s="10">
        <v>20</v>
      </c>
    </row>
    <row r="11" spans="1:3" x14ac:dyDescent="0.2">
      <c r="B11" s="1" t="s">
        <v>1630</v>
      </c>
      <c r="C11" s="10">
        <v>13</v>
      </c>
    </row>
    <row r="12" spans="1:3" x14ac:dyDescent="0.2">
      <c r="B12" s="1" t="s">
        <v>1631</v>
      </c>
      <c r="C12" s="10">
        <v>10</v>
      </c>
    </row>
    <row r="13" spans="1:3" x14ac:dyDescent="0.2">
      <c r="B13" s="1" t="s">
        <v>1632</v>
      </c>
      <c r="C13" s="10">
        <v>2</v>
      </c>
    </row>
    <row r="14" spans="1:3" x14ac:dyDescent="0.2">
      <c r="C14" s="9"/>
    </row>
    <row r="15" spans="1:3" x14ac:dyDescent="0.2">
      <c r="A15" s="9" t="s">
        <v>1633</v>
      </c>
      <c r="B15" s="1" t="s">
        <v>1634</v>
      </c>
      <c r="C15" s="10">
        <v>7</v>
      </c>
    </row>
    <row r="16" spans="1:3" x14ac:dyDescent="0.2">
      <c r="B16" s="1" t="s">
        <v>1635</v>
      </c>
      <c r="C16" s="10">
        <v>2</v>
      </c>
    </row>
    <row r="17" spans="1:3" x14ac:dyDescent="0.2">
      <c r="B17" s="1" t="s">
        <v>1636</v>
      </c>
      <c r="C17" s="10">
        <v>5</v>
      </c>
    </row>
    <row r="18" spans="1:3" x14ac:dyDescent="0.2">
      <c r="C18" s="9"/>
    </row>
    <row r="19" spans="1:3" x14ac:dyDescent="0.2">
      <c r="A19" s="9" t="s">
        <v>1637</v>
      </c>
      <c r="B19" s="1" t="s">
        <v>1638</v>
      </c>
      <c r="C19" s="10">
        <v>8</v>
      </c>
    </row>
    <row r="20" spans="1:3" x14ac:dyDescent="0.2">
      <c r="B20" s="1" t="s">
        <v>1639</v>
      </c>
      <c r="C20" s="10">
        <v>8</v>
      </c>
    </row>
    <row r="21" spans="1:3" ht="21" customHeight="1" x14ac:dyDescent="0.2">
      <c r="B21" s="1" t="s">
        <v>1640</v>
      </c>
      <c r="C21" s="10">
        <v>6</v>
      </c>
    </row>
    <row r="22" spans="1:3" ht="21" customHeight="1" x14ac:dyDescent="0.2">
      <c r="B22" s="1" t="s">
        <v>1641</v>
      </c>
      <c r="C22" s="10">
        <v>2</v>
      </c>
    </row>
    <row r="23" spans="1:3" ht="21" customHeight="1" x14ac:dyDescent="0.2">
      <c r="C23" s="10"/>
    </row>
    <row r="24" spans="1:3" ht="21" customHeight="1" x14ac:dyDescent="0.2">
      <c r="C24" s="9"/>
    </row>
    <row r="25" spans="1:3" ht="21" customHeight="1" x14ac:dyDescent="0.2">
      <c r="A25" s="9" t="s">
        <v>1642</v>
      </c>
      <c r="B25" s="1" t="s">
        <v>1643</v>
      </c>
      <c r="C25" s="10">
        <v>9</v>
      </c>
    </row>
    <row r="26" spans="1:3" ht="21" customHeight="1" x14ac:dyDescent="0.2">
      <c r="B26" s="1" t="s">
        <v>1644</v>
      </c>
      <c r="C26" s="10">
        <v>4</v>
      </c>
    </row>
    <row r="27" spans="1:3" ht="21" customHeight="1" x14ac:dyDescent="0.2">
      <c r="B27" s="1" t="s">
        <v>1645</v>
      </c>
      <c r="C27" s="10">
        <v>1</v>
      </c>
    </row>
    <row r="28" spans="1:3" ht="21" customHeight="1" x14ac:dyDescent="0.2">
      <c r="C28" s="9"/>
    </row>
    <row r="29" spans="1:3" ht="21" customHeight="1" x14ac:dyDescent="0.2">
      <c r="C29" s="10"/>
    </row>
    <row r="30" spans="1:3" ht="21" customHeight="1" x14ac:dyDescent="0.2">
      <c r="C30" s="10"/>
    </row>
    <row r="31" spans="1:3" ht="21" customHeight="1" x14ac:dyDescent="0.2">
      <c r="C31" s="10"/>
    </row>
    <row r="32" spans="1:3" ht="21" customHeight="1" x14ac:dyDescent="0.2">
      <c r="C32" s="10"/>
    </row>
    <row r="33" spans="3:3" ht="21" customHeight="1" x14ac:dyDescent="0.2">
      <c r="C33" s="10"/>
    </row>
    <row r="34" spans="3:3" ht="21" customHeight="1" x14ac:dyDescent="0.2">
      <c r="C34" s="10"/>
    </row>
    <row r="35" spans="3:3" ht="21" customHeight="1" x14ac:dyDescent="0.2">
      <c r="C35" s="10"/>
    </row>
    <row r="36" spans="3:3" ht="21" customHeight="1" x14ac:dyDescent="0.2">
      <c r="C36" s="10"/>
    </row>
    <row r="37" spans="3:3" ht="21" customHeight="1" x14ac:dyDescent="0.2">
      <c r="C37" s="10"/>
    </row>
    <row r="38" spans="3:3" ht="21" customHeight="1" x14ac:dyDescent="0.2">
      <c r="C38" s="10"/>
    </row>
    <row r="39" spans="3:3" ht="21" customHeight="1" x14ac:dyDescent="0.2">
      <c r="C39" s="10"/>
    </row>
    <row r="40" spans="3:3" ht="21" customHeight="1" x14ac:dyDescent="0.2">
      <c r="C40" s="10"/>
    </row>
    <row r="41" spans="3:3" ht="21" customHeight="1" x14ac:dyDescent="0.2">
      <c r="C41" s="10"/>
    </row>
    <row r="42" spans="3:3" ht="21" customHeight="1" x14ac:dyDescent="0.2">
      <c r="C42" s="10"/>
    </row>
    <row r="43" spans="3:3" ht="21" customHeight="1" x14ac:dyDescent="0.2">
      <c r="C43" s="10"/>
    </row>
    <row r="44" spans="3:3" ht="21" customHeight="1" x14ac:dyDescent="0.2">
      <c r="C44" s="10"/>
    </row>
    <row r="45" spans="3:3" ht="21" customHeight="1" x14ac:dyDescent="0.2">
      <c r="C45" s="10"/>
    </row>
    <row r="46" spans="3:3" ht="21" customHeight="1" x14ac:dyDescent="0.2">
      <c r="C46" s="10"/>
    </row>
    <row r="47" spans="3:3" ht="21" customHeight="1" x14ac:dyDescent="0.2">
      <c r="C47" s="10"/>
    </row>
    <row r="48" spans="3:3" ht="21" customHeight="1" x14ac:dyDescent="0.2">
      <c r="C48" s="10"/>
    </row>
    <row r="49" spans="3:3" ht="21" customHeight="1" x14ac:dyDescent="0.2">
      <c r="C49" s="10"/>
    </row>
    <row r="50" spans="3:3" ht="21" customHeight="1" x14ac:dyDescent="0.2">
      <c r="C50" s="10"/>
    </row>
    <row r="51" spans="3:3" ht="21" customHeight="1" x14ac:dyDescent="0.2">
      <c r="C51" s="10"/>
    </row>
    <row r="52" spans="3:3" ht="21" customHeight="1" x14ac:dyDescent="0.2">
      <c r="C52" s="10"/>
    </row>
    <row r="53" spans="3:3" ht="21" customHeight="1" x14ac:dyDescent="0.2">
      <c r="C53" s="10"/>
    </row>
    <row r="54" spans="3:3" ht="21" customHeight="1" x14ac:dyDescent="0.2">
      <c r="C54" s="10"/>
    </row>
    <row r="55" spans="3:3" ht="21" customHeight="1" x14ac:dyDescent="0.2">
      <c r="C55" s="10"/>
    </row>
    <row r="56" spans="3:3" ht="21" customHeight="1" x14ac:dyDescent="0.2">
      <c r="C56" s="10"/>
    </row>
    <row r="57" spans="3:3" ht="21" customHeight="1" x14ac:dyDescent="0.2">
      <c r="C57" s="10"/>
    </row>
    <row r="58" spans="3:3" ht="21" customHeight="1" x14ac:dyDescent="0.2">
      <c r="C58" s="10"/>
    </row>
    <row r="59" spans="3:3" ht="21" customHeight="1" x14ac:dyDescent="0.2">
      <c r="C59" s="10"/>
    </row>
    <row r="60" spans="3:3" ht="21" customHeight="1" x14ac:dyDescent="0.2">
      <c r="C60" s="10"/>
    </row>
    <row r="61" spans="3:3" ht="21" customHeight="1" x14ac:dyDescent="0.2">
      <c r="C61" s="10"/>
    </row>
    <row r="62" spans="3:3" ht="21" customHeight="1" x14ac:dyDescent="0.2">
      <c r="C62" s="10"/>
    </row>
    <row r="63" spans="3:3" ht="21" customHeight="1" x14ac:dyDescent="0.2">
      <c r="C63" s="10"/>
    </row>
    <row r="64" spans="3:3" ht="21" customHeight="1" x14ac:dyDescent="0.2">
      <c r="C64" s="10"/>
    </row>
    <row r="65" spans="3:3" ht="21" customHeight="1" x14ac:dyDescent="0.2">
      <c r="C65" s="10"/>
    </row>
    <row r="66" spans="3:3" ht="21" customHeight="1" x14ac:dyDescent="0.2">
      <c r="C66" s="10"/>
    </row>
    <row r="67" spans="3:3" ht="21" customHeight="1" x14ac:dyDescent="0.2">
      <c r="C67" s="10"/>
    </row>
    <row r="68" spans="3:3" ht="21" customHeight="1" x14ac:dyDescent="0.2">
      <c r="C68" s="10"/>
    </row>
    <row r="69" spans="3:3" ht="21" customHeight="1" x14ac:dyDescent="0.2">
      <c r="C69" s="10"/>
    </row>
    <row r="70" spans="3:3" ht="21" customHeight="1" x14ac:dyDescent="0.2">
      <c r="C70" s="10"/>
    </row>
    <row r="71" spans="3:3" ht="21" customHeight="1" x14ac:dyDescent="0.2">
      <c r="C71" s="10"/>
    </row>
    <row r="72" spans="3:3" ht="21" customHeight="1" x14ac:dyDescent="0.2">
      <c r="C72" s="10"/>
    </row>
    <row r="73" spans="3:3" ht="21" customHeight="1" x14ac:dyDescent="0.2">
      <c r="C73" s="10"/>
    </row>
    <row r="74" spans="3:3" ht="21" customHeight="1" x14ac:dyDescent="0.2">
      <c r="C74" s="10"/>
    </row>
    <row r="75" spans="3:3" ht="21" customHeight="1" x14ac:dyDescent="0.2">
      <c r="C75" s="10"/>
    </row>
    <row r="76" spans="3:3" ht="21" customHeight="1" x14ac:dyDescent="0.2">
      <c r="C76" s="10"/>
    </row>
    <row r="77" spans="3:3" ht="21" customHeight="1" x14ac:dyDescent="0.2">
      <c r="C77" s="10"/>
    </row>
    <row r="78" spans="3:3" ht="21" customHeight="1" x14ac:dyDescent="0.2">
      <c r="C78" s="10"/>
    </row>
    <row r="79" spans="3:3" ht="21" customHeight="1" x14ac:dyDescent="0.2">
      <c r="C79" s="10"/>
    </row>
    <row r="80" spans="3:3" ht="21" customHeight="1" x14ac:dyDescent="0.2">
      <c r="C80" s="10"/>
    </row>
    <row r="81" spans="3:3" ht="21" customHeight="1" x14ac:dyDescent="0.2">
      <c r="C81" s="10"/>
    </row>
    <row r="82" spans="3:3" ht="21" customHeight="1" x14ac:dyDescent="0.2">
      <c r="C82" s="10"/>
    </row>
    <row r="83" spans="3:3" ht="21" customHeight="1" x14ac:dyDescent="0.2">
      <c r="C83" s="10"/>
    </row>
    <row r="84" spans="3:3" ht="21" customHeight="1" x14ac:dyDescent="0.2">
      <c r="C84" s="10"/>
    </row>
    <row r="85" spans="3:3" ht="21" customHeight="1" x14ac:dyDescent="0.2">
      <c r="C85" s="10"/>
    </row>
    <row r="86" spans="3:3" ht="21" customHeight="1" x14ac:dyDescent="0.2">
      <c r="C86" s="10"/>
    </row>
    <row r="87" spans="3:3" ht="21" customHeight="1" x14ac:dyDescent="0.2">
      <c r="C87" s="10"/>
    </row>
    <row r="88" spans="3:3" ht="21" customHeight="1" x14ac:dyDescent="0.2">
      <c r="C88" s="10"/>
    </row>
    <row r="89" spans="3:3" ht="21" customHeight="1" x14ac:dyDescent="0.2">
      <c r="C89" s="10"/>
    </row>
    <row r="90" spans="3:3" ht="21" customHeight="1" x14ac:dyDescent="0.2">
      <c r="C90" s="10"/>
    </row>
    <row r="91" spans="3:3" ht="21" customHeight="1" x14ac:dyDescent="0.2">
      <c r="C91" s="10"/>
    </row>
    <row r="92" spans="3:3" ht="21" customHeight="1" x14ac:dyDescent="0.2">
      <c r="C92" s="10"/>
    </row>
    <row r="93" spans="3:3" ht="21" customHeight="1" x14ac:dyDescent="0.2">
      <c r="C93" s="10"/>
    </row>
    <row r="94" spans="3:3" ht="21" customHeight="1" x14ac:dyDescent="0.2">
      <c r="C94" s="10"/>
    </row>
    <row r="95" spans="3:3" ht="21" customHeight="1" x14ac:dyDescent="0.2">
      <c r="C95" s="10"/>
    </row>
    <row r="96" spans="3:3" ht="21" customHeight="1" x14ac:dyDescent="0.2">
      <c r="C96" s="10"/>
    </row>
    <row r="97" spans="3:3" ht="21" customHeight="1" x14ac:dyDescent="0.2">
      <c r="C97" s="10"/>
    </row>
    <row r="98" spans="3:3" ht="21" customHeight="1" x14ac:dyDescent="0.2">
      <c r="C98" s="10"/>
    </row>
    <row r="99" spans="3:3" ht="21" customHeight="1" x14ac:dyDescent="0.2">
      <c r="C99" s="10"/>
    </row>
    <row r="100" spans="3:3" ht="21" customHeight="1" x14ac:dyDescent="0.2">
      <c r="C100" s="10"/>
    </row>
    <row r="101" spans="3:3" ht="21" customHeight="1" x14ac:dyDescent="0.2">
      <c r="C101" s="10"/>
    </row>
    <row r="102" spans="3:3" ht="21" customHeight="1" x14ac:dyDescent="0.2">
      <c r="C102" s="10"/>
    </row>
    <row r="103" spans="3:3" ht="21" customHeight="1" x14ac:dyDescent="0.2">
      <c r="C103" s="10"/>
    </row>
    <row r="104" spans="3:3" ht="21" customHeight="1" x14ac:dyDescent="0.2">
      <c r="C104" s="10"/>
    </row>
    <row r="105" spans="3:3" ht="21" customHeight="1" x14ac:dyDescent="0.2">
      <c r="C105" s="10"/>
    </row>
    <row r="106" spans="3:3" ht="21" customHeight="1" x14ac:dyDescent="0.2">
      <c r="C106" s="10"/>
    </row>
    <row r="107" spans="3:3" ht="21" customHeight="1" x14ac:dyDescent="0.2">
      <c r="C107" s="10"/>
    </row>
    <row r="108" spans="3:3" ht="21" customHeight="1" x14ac:dyDescent="0.2">
      <c r="C108" s="10"/>
    </row>
    <row r="109" spans="3:3" ht="21" customHeight="1" x14ac:dyDescent="0.2">
      <c r="C109" s="10"/>
    </row>
    <row r="110" spans="3:3" ht="21" customHeight="1" x14ac:dyDescent="0.2">
      <c r="C110" s="10"/>
    </row>
    <row r="111" spans="3:3" ht="21" customHeight="1" x14ac:dyDescent="0.2">
      <c r="C111" s="10"/>
    </row>
    <row r="112" spans="3:3" ht="21" customHeight="1" x14ac:dyDescent="0.2">
      <c r="C112" s="10"/>
    </row>
    <row r="113" spans="3:3" ht="21" customHeight="1" x14ac:dyDescent="0.2">
      <c r="C113" s="10"/>
    </row>
    <row r="114" spans="3:3" ht="21" customHeight="1" x14ac:dyDescent="0.2">
      <c r="C114" s="10"/>
    </row>
    <row r="115" spans="3:3" ht="21" customHeight="1" x14ac:dyDescent="0.2">
      <c r="C115" s="10"/>
    </row>
    <row r="116" spans="3:3" ht="21" customHeight="1" x14ac:dyDescent="0.2">
      <c r="C116" s="10"/>
    </row>
    <row r="117" spans="3:3" ht="21" customHeight="1" x14ac:dyDescent="0.2">
      <c r="C117" s="10"/>
    </row>
    <row r="118" spans="3:3" ht="21" customHeight="1" x14ac:dyDescent="0.2">
      <c r="C118" s="10"/>
    </row>
    <row r="119" spans="3:3" ht="21" customHeight="1" x14ac:dyDescent="0.2">
      <c r="C119" s="10"/>
    </row>
    <row r="120" spans="3:3" ht="21" customHeight="1" x14ac:dyDescent="0.2">
      <c r="C120" s="10"/>
    </row>
    <row r="121" spans="3:3" ht="21" customHeight="1" x14ac:dyDescent="0.2">
      <c r="C121" s="10"/>
    </row>
    <row r="122" spans="3:3" ht="21" customHeight="1" x14ac:dyDescent="0.2">
      <c r="C122" s="10"/>
    </row>
    <row r="123" spans="3:3" ht="21" customHeight="1" x14ac:dyDescent="0.2">
      <c r="C123" s="10"/>
    </row>
    <row r="124" spans="3:3" ht="21" customHeight="1" x14ac:dyDescent="0.2">
      <c r="C124" s="10"/>
    </row>
    <row r="125" spans="3:3" ht="21" customHeight="1" x14ac:dyDescent="0.2">
      <c r="C125" s="10"/>
    </row>
    <row r="126" spans="3:3" ht="21" customHeight="1" x14ac:dyDescent="0.2">
      <c r="C126" s="10"/>
    </row>
    <row r="127" spans="3:3" ht="21" customHeight="1" x14ac:dyDescent="0.2">
      <c r="C127" s="10"/>
    </row>
    <row r="128" spans="3:3" ht="21" customHeight="1" x14ac:dyDescent="0.2">
      <c r="C128" s="10"/>
    </row>
    <row r="129" spans="3:3" ht="21" customHeight="1" x14ac:dyDescent="0.2">
      <c r="C129" s="10"/>
    </row>
    <row r="130" spans="3:3" ht="21" customHeight="1" x14ac:dyDescent="0.2">
      <c r="C130" s="10"/>
    </row>
    <row r="131" spans="3:3" ht="21" customHeight="1" x14ac:dyDescent="0.2">
      <c r="C131" s="10"/>
    </row>
    <row r="132" spans="3:3" ht="21" customHeight="1" x14ac:dyDescent="0.2">
      <c r="C132" s="10"/>
    </row>
    <row r="133" spans="3:3" ht="21" customHeight="1" x14ac:dyDescent="0.2">
      <c r="C133" s="10"/>
    </row>
    <row r="134" spans="3:3" ht="21" customHeight="1" x14ac:dyDescent="0.2">
      <c r="C134" s="10"/>
    </row>
    <row r="135" spans="3:3" ht="21" customHeight="1" x14ac:dyDescent="0.2">
      <c r="C135" s="10"/>
    </row>
    <row r="136" spans="3:3" ht="21" customHeight="1" x14ac:dyDescent="0.2">
      <c r="C136" s="10"/>
    </row>
    <row r="137" spans="3:3" ht="21" customHeight="1" x14ac:dyDescent="0.2">
      <c r="C137" s="10"/>
    </row>
    <row r="138" spans="3:3" ht="21" customHeight="1" x14ac:dyDescent="0.2">
      <c r="C138" s="10"/>
    </row>
    <row r="139" spans="3:3" ht="21" customHeight="1" x14ac:dyDescent="0.2">
      <c r="C139" s="10"/>
    </row>
    <row r="140" spans="3:3" ht="21" customHeight="1" x14ac:dyDescent="0.2">
      <c r="C140" s="10"/>
    </row>
    <row r="141" spans="3:3" ht="21" customHeight="1" x14ac:dyDescent="0.2">
      <c r="C141" s="10"/>
    </row>
    <row r="142" spans="3:3" ht="21" customHeight="1" x14ac:dyDescent="0.2">
      <c r="C142" s="10"/>
    </row>
    <row r="143" spans="3:3" ht="21" customHeight="1" x14ac:dyDescent="0.2">
      <c r="C143" s="10"/>
    </row>
    <row r="144" spans="3:3" ht="21" customHeight="1" x14ac:dyDescent="0.2">
      <c r="C144" s="10"/>
    </row>
    <row r="145" spans="3:3" ht="21" customHeight="1" x14ac:dyDescent="0.2">
      <c r="C145" s="10"/>
    </row>
    <row r="146" spans="3:3" ht="21" customHeight="1" x14ac:dyDescent="0.2">
      <c r="C146" s="10"/>
    </row>
    <row r="147" spans="3:3" ht="21" customHeight="1" x14ac:dyDescent="0.2">
      <c r="C147" s="10"/>
    </row>
    <row r="148" spans="3:3" ht="21" customHeight="1" x14ac:dyDescent="0.2">
      <c r="C148" s="10"/>
    </row>
    <row r="149" spans="3:3" ht="21" customHeight="1" x14ac:dyDescent="0.2">
      <c r="C149" s="10"/>
    </row>
    <row r="150" spans="3:3" ht="21" customHeight="1" x14ac:dyDescent="0.2">
      <c r="C150" s="10"/>
    </row>
    <row r="151" spans="3:3" ht="21" customHeight="1" x14ac:dyDescent="0.2">
      <c r="C151" s="10"/>
    </row>
    <row r="152" spans="3:3" ht="21" customHeight="1" x14ac:dyDescent="0.2">
      <c r="C152" s="10"/>
    </row>
    <row r="153" spans="3:3" ht="21" customHeight="1" x14ac:dyDescent="0.2">
      <c r="C153" s="10"/>
    </row>
    <row r="154" spans="3:3" ht="21" customHeight="1" x14ac:dyDescent="0.2">
      <c r="C154" s="10"/>
    </row>
    <row r="155" spans="3:3" ht="21" customHeight="1" x14ac:dyDescent="0.2">
      <c r="C155" s="10"/>
    </row>
    <row r="156" spans="3:3" ht="21" customHeight="1" x14ac:dyDescent="0.2">
      <c r="C156" s="10"/>
    </row>
    <row r="157" spans="3:3" ht="21" customHeight="1" x14ac:dyDescent="0.2">
      <c r="C157" s="10"/>
    </row>
    <row r="158" spans="3:3" ht="21" customHeight="1" x14ac:dyDescent="0.2">
      <c r="C158" s="10"/>
    </row>
    <row r="159" spans="3:3" ht="21" customHeight="1" x14ac:dyDescent="0.2">
      <c r="C159" s="10"/>
    </row>
    <row r="160" spans="3:3" ht="21" customHeight="1" x14ac:dyDescent="0.2">
      <c r="C160" s="10"/>
    </row>
    <row r="161" spans="3:3" ht="21" customHeight="1" x14ac:dyDescent="0.2">
      <c r="C161" s="10"/>
    </row>
    <row r="162" spans="3:3" ht="21" customHeight="1" x14ac:dyDescent="0.2">
      <c r="C162" s="10"/>
    </row>
    <row r="163" spans="3:3" ht="21" customHeight="1" x14ac:dyDescent="0.2">
      <c r="C163" s="10"/>
    </row>
    <row r="164" spans="3:3" ht="21" customHeight="1" x14ac:dyDescent="0.2">
      <c r="C164" s="10"/>
    </row>
    <row r="165" spans="3:3" ht="21" customHeight="1" x14ac:dyDescent="0.2">
      <c r="C165" s="10"/>
    </row>
    <row r="166" spans="3:3" ht="21" customHeight="1" x14ac:dyDescent="0.2">
      <c r="C166" s="10"/>
    </row>
    <row r="167" spans="3:3" ht="21" customHeight="1" x14ac:dyDescent="0.2">
      <c r="C167" s="10"/>
    </row>
    <row r="168" spans="3:3" ht="21" customHeight="1" x14ac:dyDescent="0.2">
      <c r="C168" s="10"/>
    </row>
    <row r="169" spans="3:3" ht="21" customHeight="1" x14ac:dyDescent="0.2">
      <c r="C169" s="10"/>
    </row>
    <row r="170" spans="3:3" ht="21" customHeight="1" x14ac:dyDescent="0.2">
      <c r="C170" s="10"/>
    </row>
    <row r="171" spans="3:3" ht="21" customHeight="1" x14ac:dyDescent="0.2">
      <c r="C171" s="10"/>
    </row>
    <row r="172" spans="3:3" ht="21" customHeight="1" x14ac:dyDescent="0.2">
      <c r="C172" s="10"/>
    </row>
    <row r="173" spans="3:3" ht="21" customHeight="1" x14ac:dyDescent="0.2">
      <c r="C173" s="10"/>
    </row>
    <row r="174" spans="3:3" ht="21" customHeight="1" x14ac:dyDescent="0.2">
      <c r="C174" s="10"/>
    </row>
    <row r="175" spans="3:3" ht="21" customHeight="1" x14ac:dyDescent="0.2">
      <c r="C175" s="10"/>
    </row>
    <row r="176" spans="3:3" ht="21" customHeight="1" x14ac:dyDescent="0.2">
      <c r="C176" s="10"/>
    </row>
    <row r="177" spans="3:3" ht="21" customHeight="1" x14ac:dyDescent="0.2">
      <c r="C177" s="10"/>
    </row>
    <row r="178" spans="3:3" ht="21" customHeight="1" x14ac:dyDescent="0.2">
      <c r="C178" s="10"/>
    </row>
    <row r="179" spans="3:3" ht="21" customHeight="1" x14ac:dyDescent="0.2">
      <c r="C179" s="10"/>
    </row>
    <row r="180" spans="3:3" ht="21" customHeight="1" x14ac:dyDescent="0.2">
      <c r="C180" s="10"/>
    </row>
    <row r="181" spans="3:3" ht="21" customHeight="1" x14ac:dyDescent="0.2">
      <c r="C181" s="10"/>
    </row>
    <row r="182" spans="3:3" ht="21" customHeight="1" x14ac:dyDescent="0.2">
      <c r="C182" s="10"/>
    </row>
    <row r="183" spans="3:3" ht="21" customHeight="1" x14ac:dyDescent="0.2">
      <c r="C183" s="10"/>
    </row>
    <row r="184" spans="3:3" ht="21" customHeight="1" x14ac:dyDescent="0.2">
      <c r="C184" s="10"/>
    </row>
    <row r="185" spans="3:3" ht="21" customHeight="1" x14ac:dyDescent="0.2">
      <c r="C185" s="10"/>
    </row>
    <row r="186" spans="3:3" ht="21" customHeight="1" x14ac:dyDescent="0.2">
      <c r="C186" s="10"/>
    </row>
    <row r="187" spans="3:3" ht="21" customHeight="1" x14ac:dyDescent="0.2">
      <c r="C187" s="10"/>
    </row>
    <row r="188" spans="3:3" ht="21" customHeight="1" x14ac:dyDescent="0.2">
      <c r="C188" s="10"/>
    </row>
    <row r="189" spans="3:3" ht="21" customHeight="1" x14ac:dyDescent="0.2">
      <c r="C189" s="10"/>
    </row>
    <row r="190" spans="3:3" ht="21" customHeight="1" x14ac:dyDescent="0.2">
      <c r="C190" s="10"/>
    </row>
    <row r="191" spans="3:3" ht="21" customHeight="1" x14ac:dyDescent="0.2">
      <c r="C191" s="10"/>
    </row>
    <row r="192" spans="3:3" ht="21" customHeight="1" x14ac:dyDescent="0.2">
      <c r="C192" s="10"/>
    </row>
    <row r="193" spans="3:3" ht="21" customHeight="1" x14ac:dyDescent="0.2">
      <c r="C193" s="10"/>
    </row>
    <row r="194" spans="3:3" ht="21" customHeight="1" x14ac:dyDescent="0.2">
      <c r="C194" s="10"/>
    </row>
    <row r="195" spans="3:3" ht="21" customHeight="1" x14ac:dyDescent="0.2">
      <c r="C195" s="10"/>
    </row>
    <row r="196" spans="3:3" ht="21" customHeight="1" x14ac:dyDescent="0.2">
      <c r="C196" s="10"/>
    </row>
    <row r="197" spans="3:3" ht="21" customHeight="1" x14ac:dyDescent="0.2">
      <c r="C197" s="10"/>
    </row>
    <row r="198" spans="3:3" ht="21" customHeight="1" x14ac:dyDescent="0.2">
      <c r="C198" s="10"/>
    </row>
    <row r="199" spans="3:3" ht="21" customHeight="1" x14ac:dyDescent="0.2">
      <c r="C199" s="10"/>
    </row>
    <row r="200" spans="3:3" ht="21" customHeight="1" x14ac:dyDescent="0.2">
      <c r="C200" s="10"/>
    </row>
    <row r="201" spans="3:3" ht="21" customHeight="1" x14ac:dyDescent="0.2">
      <c r="C201" s="10"/>
    </row>
    <row r="202" spans="3:3" ht="21" customHeight="1" x14ac:dyDescent="0.2">
      <c r="C202" s="10"/>
    </row>
    <row r="203" spans="3:3" ht="21" customHeight="1" x14ac:dyDescent="0.2">
      <c r="C203" s="10"/>
    </row>
    <row r="204" spans="3:3" ht="21" customHeight="1" x14ac:dyDescent="0.2">
      <c r="C204" s="10"/>
    </row>
    <row r="205" spans="3:3" ht="21" customHeight="1" x14ac:dyDescent="0.2">
      <c r="C205" s="10"/>
    </row>
    <row r="206" spans="3:3" ht="21" customHeight="1" x14ac:dyDescent="0.2">
      <c r="C206" s="10"/>
    </row>
    <row r="207" spans="3:3" ht="21" customHeight="1" x14ac:dyDescent="0.2">
      <c r="C207" s="10"/>
    </row>
    <row r="208" spans="3:3" ht="21" customHeight="1" x14ac:dyDescent="0.2">
      <c r="C208" s="10"/>
    </row>
    <row r="209" spans="3:3" ht="21" customHeight="1" x14ac:dyDescent="0.2">
      <c r="C209" s="10"/>
    </row>
    <row r="210" spans="3:3" ht="21" customHeight="1" x14ac:dyDescent="0.2">
      <c r="C210" s="10"/>
    </row>
    <row r="211" spans="3:3" ht="21" customHeight="1" x14ac:dyDescent="0.2">
      <c r="C211" s="10"/>
    </row>
    <row r="212" spans="3:3" ht="21" customHeight="1" x14ac:dyDescent="0.2">
      <c r="C212" s="10"/>
    </row>
    <row r="213" spans="3:3" ht="21" customHeight="1" x14ac:dyDescent="0.2">
      <c r="C213" s="10"/>
    </row>
    <row r="214" spans="3:3" ht="21" customHeight="1" x14ac:dyDescent="0.2">
      <c r="C214" s="10"/>
    </row>
    <row r="215" spans="3:3" ht="21" customHeight="1" x14ac:dyDescent="0.2">
      <c r="C215" s="10"/>
    </row>
    <row r="216" spans="3:3" ht="21" customHeight="1" x14ac:dyDescent="0.2">
      <c r="C216" s="10"/>
    </row>
    <row r="217" spans="3:3" ht="21" customHeight="1" x14ac:dyDescent="0.2">
      <c r="C217" s="10"/>
    </row>
    <row r="218" spans="3:3" ht="21" customHeight="1" x14ac:dyDescent="0.2">
      <c r="C218" s="10"/>
    </row>
    <row r="219" spans="3:3" ht="21" customHeight="1" x14ac:dyDescent="0.2">
      <c r="C219" s="10"/>
    </row>
    <row r="220" spans="3:3" ht="21" customHeight="1" x14ac:dyDescent="0.2">
      <c r="C220" s="10"/>
    </row>
    <row r="221" spans="3:3" ht="21" customHeight="1" x14ac:dyDescent="0.2">
      <c r="C221" s="10"/>
    </row>
    <row r="222" spans="3:3" ht="21" customHeight="1" x14ac:dyDescent="0.2">
      <c r="C222" s="10"/>
    </row>
    <row r="223" spans="3:3" ht="21" customHeight="1" x14ac:dyDescent="0.2">
      <c r="C223" s="10"/>
    </row>
    <row r="224" spans="3:3" ht="21" customHeight="1" x14ac:dyDescent="0.2">
      <c r="C224" s="10"/>
    </row>
    <row r="225" spans="3:3" ht="21" customHeight="1" x14ac:dyDescent="0.2">
      <c r="C225" s="10"/>
    </row>
    <row r="226" spans="3:3" ht="21" customHeight="1" x14ac:dyDescent="0.2">
      <c r="C226" s="10"/>
    </row>
    <row r="227" spans="3:3" ht="21" customHeight="1" x14ac:dyDescent="0.2">
      <c r="C227" s="10"/>
    </row>
    <row r="228" spans="3:3" ht="21" customHeight="1" x14ac:dyDescent="0.2">
      <c r="C228" s="10"/>
    </row>
    <row r="229" spans="3:3" ht="21" customHeight="1" x14ac:dyDescent="0.2">
      <c r="C229" s="10"/>
    </row>
    <row r="230" spans="3:3" ht="21" customHeight="1" x14ac:dyDescent="0.2">
      <c r="C230" s="10"/>
    </row>
    <row r="231" spans="3:3" ht="21" customHeight="1" x14ac:dyDescent="0.2">
      <c r="C231" s="10"/>
    </row>
    <row r="232" spans="3:3" ht="21" customHeight="1" x14ac:dyDescent="0.2">
      <c r="C232" s="10"/>
    </row>
    <row r="233" spans="3:3" ht="21" customHeight="1" x14ac:dyDescent="0.2">
      <c r="C233" s="10"/>
    </row>
    <row r="234" spans="3:3" ht="21" customHeight="1" x14ac:dyDescent="0.2">
      <c r="C234" s="10"/>
    </row>
    <row r="235" spans="3:3" ht="21" customHeight="1" x14ac:dyDescent="0.2">
      <c r="C235" s="10"/>
    </row>
    <row r="236" spans="3:3" ht="21" customHeight="1" x14ac:dyDescent="0.2">
      <c r="C236" s="10"/>
    </row>
    <row r="237" spans="3:3" ht="21" customHeight="1" x14ac:dyDescent="0.2">
      <c r="C237" s="10"/>
    </row>
    <row r="238" spans="3:3" ht="21" customHeight="1" x14ac:dyDescent="0.2">
      <c r="C238" s="10"/>
    </row>
    <row r="239" spans="3:3" ht="21" customHeight="1" x14ac:dyDescent="0.2">
      <c r="C239" s="10"/>
    </row>
    <row r="240" spans="3:3" ht="21" customHeight="1" x14ac:dyDescent="0.2">
      <c r="C240" s="10"/>
    </row>
    <row r="241" spans="3:3" ht="21" customHeight="1" x14ac:dyDescent="0.2">
      <c r="C241" s="10"/>
    </row>
    <row r="242" spans="3:3" ht="21" customHeight="1" x14ac:dyDescent="0.2">
      <c r="C242" s="10"/>
    </row>
    <row r="243" spans="3:3" ht="21" customHeight="1" x14ac:dyDescent="0.2">
      <c r="C243" s="10"/>
    </row>
    <row r="244" spans="3:3" ht="21" customHeight="1" x14ac:dyDescent="0.2">
      <c r="C244" s="10"/>
    </row>
    <row r="245" spans="3:3" ht="21" customHeight="1" x14ac:dyDescent="0.2">
      <c r="C245" s="10"/>
    </row>
    <row r="246" spans="3:3" ht="21" customHeight="1" x14ac:dyDescent="0.2">
      <c r="C246" s="10"/>
    </row>
    <row r="247" spans="3:3" ht="21" customHeight="1" x14ac:dyDescent="0.2">
      <c r="C247" s="10"/>
    </row>
    <row r="248" spans="3:3" ht="21" customHeight="1" x14ac:dyDescent="0.2">
      <c r="C248" s="10"/>
    </row>
    <row r="249" spans="3:3" ht="21" customHeight="1" x14ac:dyDescent="0.2">
      <c r="C249" s="10"/>
    </row>
    <row r="250" spans="3:3" ht="21" customHeight="1" x14ac:dyDescent="0.2">
      <c r="C250" s="10"/>
    </row>
    <row r="251" spans="3:3" ht="21" customHeight="1" x14ac:dyDescent="0.2">
      <c r="C251" s="10"/>
    </row>
    <row r="252" spans="3:3" ht="21" customHeight="1" x14ac:dyDescent="0.2">
      <c r="C252" s="10"/>
    </row>
    <row r="253" spans="3:3" ht="21" customHeight="1" x14ac:dyDescent="0.2">
      <c r="C253" s="10"/>
    </row>
    <row r="254" spans="3:3" ht="21" customHeight="1" x14ac:dyDescent="0.2">
      <c r="C254" s="10"/>
    </row>
    <row r="255" spans="3:3" ht="21" customHeight="1" x14ac:dyDescent="0.2">
      <c r="C255" s="10"/>
    </row>
    <row r="256" spans="3:3" ht="21" customHeight="1" x14ac:dyDescent="0.2">
      <c r="C256" s="10"/>
    </row>
    <row r="257" spans="3:3" ht="21" customHeight="1" x14ac:dyDescent="0.2">
      <c r="C257" s="10"/>
    </row>
    <row r="258" spans="3:3" ht="21" customHeight="1" x14ac:dyDescent="0.2">
      <c r="C258" s="10"/>
    </row>
    <row r="259" spans="3:3" ht="21" customHeight="1" x14ac:dyDescent="0.2">
      <c r="C259" s="10"/>
    </row>
    <row r="260" spans="3:3" ht="21" customHeight="1" x14ac:dyDescent="0.2">
      <c r="C260" s="10"/>
    </row>
    <row r="261" spans="3:3" ht="21" customHeight="1" x14ac:dyDescent="0.2">
      <c r="C261" s="10"/>
    </row>
    <row r="262" spans="3:3" ht="21" customHeight="1" x14ac:dyDescent="0.2">
      <c r="C262" s="10"/>
    </row>
    <row r="263" spans="3:3" ht="21" customHeight="1" x14ac:dyDescent="0.2">
      <c r="C263" s="10"/>
    </row>
    <row r="264" spans="3:3" ht="21" customHeight="1" x14ac:dyDescent="0.2">
      <c r="C264" s="10"/>
    </row>
    <row r="265" spans="3:3" ht="21" customHeight="1" x14ac:dyDescent="0.2">
      <c r="C265" s="10"/>
    </row>
    <row r="266" spans="3:3" ht="21" customHeight="1" x14ac:dyDescent="0.2">
      <c r="C266" s="10"/>
    </row>
    <row r="267" spans="3:3" ht="21" customHeight="1" x14ac:dyDescent="0.2">
      <c r="C267" s="10"/>
    </row>
    <row r="268" spans="3:3" ht="21" customHeight="1" x14ac:dyDescent="0.2">
      <c r="C268" s="10"/>
    </row>
    <row r="269" spans="3:3" ht="21" customHeight="1" x14ac:dyDescent="0.2">
      <c r="C269" s="10"/>
    </row>
    <row r="270" spans="3:3" ht="21" customHeight="1" x14ac:dyDescent="0.2">
      <c r="C270" s="10"/>
    </row>
    <row r="271" spans="3:3" ht="21" customHeight="1" x14ac:dyDescent="0.2">
      <c r="C271" s="10"/>
    </row>
    <row r="272" spans="3:3" ht="21" customHeight="1" x14ac:dyDescent="0.2">
      <c r="C272" s="10"/>
    </row>
    <row r="273" spans="3:3" ht="21" customHeight="1" x14ac:dyDescent="0.2">
      <c r="C273" s="10"/>
    </row>
    <row r="274" spans="3:3" ht="21" customHeight="1" x14ac:dyDescent="0.2">
      <c r="C274" s="10"/>
    </row>
    <row r="275" spans="3:3" ht="21" customHeight="1" x14ac:dyDescent="0.2">
      <c r="C275" s="10"/>
    </row>
    <row r="276" spans="3:3" ht="21" customHeight="1" x14ac:dyDescent="0.2">
      <c r="C276" s="10"/>
    </row>
    <row r="277" spans="3:3" ht="21" customHeight="1" x14ac:dyDescent="0.2">
      <c r="C277" s="10"/>
    </row>
    <row r="278" spans="3:3" ht="21" customHeight="1" x14ac:dyDescent="0.2">
      <c r="C278" s="10"/>
    </row>
    <row r="279" spans="3:3" ht="21" customHeight="1" x14ac:dyDescent="0.2">
      <c r="C279" s="10"/>
    </row>
    <row r="280" spans="3:3" ht="21" customHeight="1" x14ac:dyDescent="0.2">
      <c r="C280" s="10"/>
    </row>
    <row r="281" spans="3:3" ht="21" customHeight="1" x14ac:dyDescent="0.2">
      <c r="C281" s="10"/>
    </row>
    <row r="282" spans="3:3" ht="21" customHeight="1" x14ac:dyDescent="0.2">
      <c r="C282" s="10"/>
    </row>
    <row r="283" spans="3:3" ht="21" customHeight="1" x14ac:dyDescent="0.2">
      <c r="C283" s="10"/>
    </row>
    <row r="284" spans="3:3" ht="21" customHeight="1" x14ac:dyDescent="0.2">
      <c r="C284" s="10"/>
    </row>
    <row r="285" spans="3:3" ht="21" customHeight="1" x14ac:dyDescent="0.2">
      <c r="C285" s="10"/>
    </row>
    <row r="286" spans="3:3" ht="21" customHeight="1" x14ac:dyDescent="0.2">
      <c r="C286" s="10"/>
    </row>
    <row r="287" spans="3:3" ht="21" customHeight="1" x14ac:dyDescent="0.2">
      <c r="C287" s="10"/>
    </row>
    <row r="288" spans="3:3" ht="21" customHeight="1" x14ac:dyDescent="0.2">
      <c r="C288" s="10"/>
    </row>
    <row r="289" spans="3:3" ht="21" customHeight="1" x14ac:dyDescent="0.2">
      <c r="C289" s="10"/>
    </row>
    <row r="290" spans="3:3" ht="21" customHeight="1" x14ac:dyDescent="0.2">
      <c r="C290" s="10"/>
    </row>
    <row r="291" spans="3:3" ht="21" customHeight="1" x14ac:dyDescent="0.2">
      <c r="C291" s="10"/>
    </row>
    <row r="292" spans="3:3" ht="21" customHeight="1" x14ac:dyDescent="0.2">
      <c r="C292" s="10"/>
    </row>
    <row r="293" spans="3:3" ht="21" customHeight="1" x14ac:dyDescent="0.2">
      <c r="C293" s="10"/>
    </row>
    <row r="294" spans="3:3" ht="21" customHeight="1" x14ac:dyDescent="0.2">
      <c r="C294" s="10"/>
    </row>
    <row r="295" spans="3:3" ht="21" customHeight="1" x14ac:dyDescent="0.2">
      <c r="C295" s="10"/>
    </row>
    <row r="296" spans="3:3" ht="21" customHeight="1" x14ac:dyDescent="0.2">
      <c r="C296" s="10"/>
    </row>
    <row r="297" spans="3:3" ht="21" customHeight="1" x14ac:dyDescent="0.2">
      <c r="C297" s="10"/>
    </row>
    <row r="298" spans="3:3" ht="21" customHeight="1" x14ac:dyDescent="0.2">
      <c r="C298" s="10"/>
    </row>
    <row r="299" spans="3:3" ht="21" customHeight="1" x14ac:dyDescent="0.2">
      <c r="C299" s="10"/>
    </row>
    <row r="300" spans="3:3" ht="21" customHeight="1" x14ac:dyDescent="0.2">
      <c r="C300" s="10"/>
    </row>
    <row r="301" spans="3:3" ht="21" customHeight="1" x14ac:dyDescent="0.2">
      <c r="C301" s="10"/>
    </row>
    <row r="302" spans="3:3" ht="21" customHeight="1" x14ac:dyDescent="0.2">
      <c r="C302" s="10"/>
    </row>
    <row r="303" spans="3:3" ht="21" customHeight="1" x14ac:dyDescent="0.2">
      <c r="C303" s="10"/>
    </row>
    <row r="304" spans="3:3" ht="21" customHeight="1" x14ac:dyDescent="0.2">
      <c r="C304" s="10"/>
    </row>
    <row r="305" spans="3:3" ht="21" customHeight="1" x14ac:dyDescent="0.2">
      <c r="C305" s="10"/>
    </row>
    <row r="306" spans="3:3" ht="21" customHeight="1" x14ac:dyDescent="0.2">
      <c r="C306" s="10"/>
    </row>
    <row r="307" spans="3:3" ht="21" customHeight="1" x14ac:dyDescent="0.2">
      <c r="C307" s="10"/>
    </row>
    <row r="308" spans="3:3" ht="21" customHeight="1" x14ac:dyDescent="0.2">
      <c r="C308" s="10"/>
    </row>
    <row r="309" spans="3:3" ht="21" customHeight="1" x14ac:dyDescent="0.2">
      <c r="C309" s="10"/>
    </row>
    <row r="310" spans="3:3" ht="21" customHeight="1" x14ac:dyDescent="0.2">
      <c r="C310" s="10"/>
    </row>
    <row r="311" spans="3:3" ht="21" customHeight="1" x14ac:dyDescent="0.2">
      <c r="C311" s="10"/>
    </row>
    <row r="312" spans="3:3" ht="21" customHeight="1" x14ac:dyDescent="0.2">
      <c r="C312" s="10"/>
    </row>
    <row r="313" spans="3:3" ht="21" customHeight="1" x14ac:dyDescent="0.2">
      <c r="C313" s="10"/>
    </row>
    <row r="314" spans="3:3" ht="21" customHeight="1" x14ac:dyDescent="0.2">
      <c r="C314" s="10"/>
    </row>
    <row r="315" spans="3:3" ht="21" customHeight="1" x14ac:dyDescent="0.2">
      <c r="C315" s="10"/>
    </row>
    <row r="316" spans="3:3" ht="21" customHeight="1" x14ac:dyDescent="0.2">
      <c r="C316" s="10"/>
    </row>
    <row r="317" spans="3:3" ht="21" customHeight="1" x14ac:dyDescent="0.2">
      <c r="C317" s="10"/>
    </row>
    <row r="318" spans="3:3" ht="21" customHeight="1" x14ac:dyDescent="0.2">
      <c r="C318" s="10"/>
    </row>
    <row r="319" spans="3:3" ht="21" customHeight="1" x14ac:dyDescent="0.2">
      <c r="C319" s="10"/>
    </row>
    <row r="320" spans="3:3" ht="21" customHeight="1" x14ac:dyDescent="0.2">
      <c r="C320" s="10"/>
    </row>
    <row r="321" spans="3:3" ht="21" customHeight="1" x14ac:dyDescent="0.2">
      <c r="C321" s="10"/>
    </row>
    <row r="322" spans="3:3" ht="21" customHeight="1" x14ac:dyDescent="0.2">
      <c r="C322" s="10"/>
    </row>
    <row r="323" spans="3:3" ht="21" customHeight="1" x14ac:dyDescent="0.2">
      <c r="C323" s="10"/>
    </row>
    <row r="324" spans="3:3" ht="21" customHeight="1" x14ac:dyDescent="0.2">
      <c r="C324" s="10"/>
    </row>
    <row r="325" spans="3:3" ht="21" customHeight="1" x14ac:dyDescent="0.2">
      <c r="C325" s="10"/>
    </row>
    <row r="326" spans="3:3" ht="21" customHeight="1" x14ac:dyDescent="0.2">
      <c r="C326" s="10"/>
    </row>
    <row r="327" spans="3:3" ht="21" customHeight="1" x14ac:dyDescent="0.2">
      <c r="C327" s="10"/>
    </row>
    <row r="328" spans="3:3" ht="21" customHeight="1" x14ac:dyDescent="0.2">
      <c r="C328" s="10"/>
    </row>
    <row r="329" spans="3:3" ht="21" customHeight="1" x14ac:dyDescent="0.2">
      <c r="C329" s="10"/>
    </row>
    <row r="330" spans="3:3" ht="21" customHeight="1" x14ac:dyDescent="0.2">
      <c r="C330" s="10"/>
    </row>
    <row r="331" spans="3:3" ht="21" customHeight="1" x14ac:dyDescent="0.2">
      <c r="C331" s="10"/>
    </row>
    <row r="332" spans="3:3" ht="21" customHeight="1" x14ac:dyDescent="0.2">
      <c r="C332" s="10"/>
    </row>
    <row r="333" spans="3:3" ht="21" customHeight="1" x14ac:dyDescent="0.2">
      <c r="C333" s="10"/>
    </row>
    <row r="334" spans="3:3" ht="21" customHeight="1" x14ac:dyDescent="0.2">
      <c r="C334" s="10"/>
    </row>
    <row r="335" spans="3:3" ht="21" customHeight="1" x14ac:dyDescent="0.2">
      <c r="C335" s="10"/>
    </row>
    <row r="336" spans="3:3" ht="21" customHeight="1" x14ac:dyDescent="0.2">
      <c r="C336" s="10"/>
    </row>
    <row r="337" spans="3:3" ht="21" customHeight="1" x14ac:dyDescent="0.2">
      <c r="C337" s="10"/>
    </row>
    <row r="338" spans="3:3" ht="21" customHeight="1" x14ac:dyDescent="0.2">
      <c r="C338" s="10"/>
    </row>
    <row r="339" spans="3:3" ht="21" customHeight="1" x14ac:dyDescent="0.2">
      <c r="C339" s="10"/>
    </row>
    <row r="340" spans="3:3" ht="21" customHeight="1" x14ac:dyDescent="0.2">
      <c r="C340" s="10"/>
    </row>
    <row r="341" spans="3:3" ht="21" customHeight="1" x14ac:dyDescent="0.2">
      <c r="C341" s="10"/>
    </row>
    <row r="342" spans="3:3" ht="21" customHeight="1" x14ac:dyDescent="0.2">
      <c r="C342" s="10"/>
    </row>
    <row r="343" spans="3:3" ht="21" customHeight="1" x14ac:dyDescent="0.2">
      <c r="C343" s="10"/>
    </row>
    <row r="344" spans="3:3" ht="21" customHeight="1" x14ac:dyDescent="0.2">
      <c r="C344" s="10"/>
    </row>
    <row r="345" spans="3:3" ht="21" customHeight="1" x14ac:dyDescent="0.2">
      <c r="C345" s="10"/>
    </row>
    <row r="346" spans="3:3" ht="21" customHeight="1" x14ac:dyDescent="0.2">
      <c r="C346" s="10"/>
    </row>
    <row r="347" spans="3:3" ht="21" customHeight="1" x14ac:dyDescent="0.2">
      <c r="C347" s="10"/>
    </row>
    <row r="348" spans="3:3" ht="21" customHeight="1" x14ac:dyDescent="0.2">
      <c r="C348" s="10"/>
    </row>
    <row r="349" spans="3:3" ht="21" customHeight="1" x14ac:dyDescent="0.2">
      <c r="C349" s="10"/>
    </row>
    <row r="350" spans="3:3" ht="21" customHeight="1" x14ac:dyDescent="0.2">
      <c r="C350" s="10"/>
    </row>
    <row r="351" spans="3:3" ht="21" customHeight="1" x14ac:dyDescent="0.2">
      <c r="C351" s="10"/>
    </row>
    <row r="352" spans="3:3" ht="21" customHeight="1" x14ac:dyDescent="0.2">
      <c r="C352" s="10"/>
    </row>
    <row r="353" spans="3:3" ht="21" customHeight="1" x14ac:dyDescent="0.2">
      <c r="C353" s="10"/>
    </row>
    <row r="354" spans="3:3" ht="21" customHeight="1" x14ac:dyDescent="0.2">
      <c r="C354" s="10"/>
    </row>
    <row r="355" spans="3:3" ht="21" customHeight="1" x14ac:dyDescent="0.2">
      <c r="C355" s="10"/>
    </row>
    <row r="356" spans="3:3" ht="21" customHeight="1" x14ac:dyDescent="0.2">
      <c r="C356" s="10"/>
    </row>
    <row r="357" spans="3:3" ht="21" customHeight="1" x14ac:dyDescent="0.2">
      <c r="C357" s="10"/>
    </row>
    <row r="358" spans="3:3" ht="21" customHeight="1" x14ac:dyDescent="0.2">
      <c r="C358" s="10"/>
    </row>
    <row r="359" spans="3:3" ht="21" customHeight="1" x14ac:dyDescent="0.2">
      <c r="C359" s="10"/>
    </row>
    <row r="360" spans="3:3" ht="21" customHeight="1" x14ac:dyDescent="0.2">
      <c r="C360" s="10"/>
    </row>
    <row r="361" spans="3:3" ht="21" customHeight="1" x14ac:dyDescent="0.2">
      <c r="C361" s="10"/>
    </row>
    <row r="362" spans="3:3" ht="21" customHeight="1" x14ac:dyDescent="0.2">
      <c r="C362" s="10"/>
    </row>
    <row r="363" spans="3:3" ht="21" customHeight="1" x14ac:dyDescent="0.2">
      <c r="C363" s="10"/>
    </row>
    <row r="364" spans="3:3" ht="21" customHeight="1" x14ac:dyDescent="0.2">
      <c r="C364" s="10"/>
    </row>
    <row r="365" spans="3:3" ht="21" customHeight="1" x14ac:dyDescent="0.2">
      <c r="C365" s="10"/>
    </row>
    <row r="366" spans="3:3" ht="21" customHeight="1" x14ac:dyDescent="0.2">
      <c r="C366" s="10"/>
    </row>
    <row r="367" spans="3:3" ht="21" customHeight="1" x14ac:dyDescent="0.2">
      <c r="C367" s="10"/>
    </row>
    <row r="368" spans="3:3" ht="21" customHeight="1" x14ac:dyDescent="0.2">
      <c r="C368" s="10"/>
    </row>
    <row r="369" spans="3:3" ht="21" customHeight="1" x14ac:dyDescent="0.2">
      <c r="C369" s="10"/>
    </row>
    <row r="370" spans="3:3" ht="21" customHeight="1" x14ac:dyDescent="0.2">
      <c r="C370" s="10"/>
    </row>
    <row r="371" spans="3:3" ht="21" customHeight="1" x14ac:dyDescent="0.2">
      <c r="C371" s="10"/>
    </row>
    <row r="372" spans="3:3" ht="21" customHeight="1" x14ac:dyDescent="0.2">
      <c r="C372" s="10"/>
    </row>
    <row r="373" spans="3:3" ht="21" customHeight="1" x14ac:dyDescent="0.2">
      <c r="C373" s="10"/>
    </row>
    <row r="374" spans="3:3" ht="21" customHeight="1" x14ac:dyDescent="0.2">
      <c r="C374" s="10"/>
    </row>
    <row r="375" spans="3:3" ht="21" customHeight="1" x14ac:dyDescent="0.2">
      <c r="C375" s="10"/>
    </row>
    <row r="376" spans="3:3" ht="21" customHeight="1" x14ac:dyDescent="0.2">
      <c r="C376" s="10"/>
    </row>
    <row r="377" spans="3:3" ht="21" customHeight="1" x14ac:dyDescent="0.2">
      <c r="C377" s="10"/>
    </row>
    <row r="378" spans="3:3" ht="21" customHeight="1" x14ac:dyDescent="0.2">
      <c r="C378" s="10"/>
    </row>
    <row r="379" spans="3:3" ht="21" customHeight="1" x14ac:dyDescent="0.2">
      <c r="C379" s="10"/>
    </row>
    <row r="380" spans="3:3" ht="21" customHeight="1" x14ac:dyDescent="0.2">
      <c r="C380" s="10"/>
    </row>
    <row r="381" spans="3:3" ht="21" customHeight="1" x14ac:dyDescent="0.2">
      <c r="C381" s="10"/>
    </row>
    <row r="382" spans="3:3" ht="21" customHeight="1" x14ac:dyDescent="0.2">
      <c r="C382" s="10"/>
    </row>
    <row r="383" spans="3:3" ht="21" customHeight="1" x14ac:dyDescent="0.2">
      <c r="C383" s="10"/>
    </row>
    <row r="384" spans="3:3" ht="21" customHeight="1" x14ac:dyDescent="0.2">
      <c r="C384" s="10"/>
    </row>
    <row r="385" spans="3:3" ht="21" customHeight="1" x14ac:dyDescent="0.2">
      <c r="C385" s="10"/>
    </row>
    <row r="386" spans="3:3" ht="21" customHeight="1" x14ac:dyDescent="0.2">
      <c r="C386" s="10"/>
    </row>
    <row r="387" spans="3:3" ht="21" customHeight="1" x14ac:dyDescent="0.2">
      <c r="C387" s="10"/>
    </row>
    <row r="388" spans="3:3" ht="21" customHeight="1" x14ac:dyDescent="0.2">
      <c r="C388" s="10"/>
    </row>
    <row r="389" spans="3:3" ht="21" customHeight="1" x14ac:dyDescent="0.2">
      <c r="C389" s="10"/>
    </row>
    <row r="390" spans="3:3" ht="21" customHeight="1" x14ac:dyDescent="0.2">
      <c r="C390" s="10"/>
    </row>
    <row r="391" spans="3:3" ht="21" customHeight="1" x14ac:dyDescent="0.2">
      <c r="C391" s="10"/>
    </row>
    <row r="392" spans="3:3" ht="21" customHeight="1" x14ac:dyDescent="0.2">
      <c r="C392" s="10"/>
    </row>
    <row r="393" spans="3:3" ht="21" customHeight="1" x14ac:dyDescent="0.2">
      <c r="C393" s="10"/>
    </row>
    <row r="394" spans="3:3" ht="21" customHeight="1" x14ac:dyDescent="0.2">
      <c r="C394" s="10"/>
    </row>
    <row r="395" spans="3:3" ht="21" customHeight="1" x14ac:dyDescent="0.2">
      <c r="C395" s="10"/>
    </row>
    <row r="396" spans="3:3" ht="21" customHeight="1" x14ac:dyDescent="0.2">
      <c r="C396" s="10"/>
    </row>
    <row r="397" spans="3:3" ht="21" customHeight="1" x14ac:dyDescent="0.2">
      <c r="C397" s="10"/>
    </row>
    <row r="398" spans="3:3" ht="21" customHeight="1" x14ac:dyDescent="0.2">
      <c r="C398" s="10"/>
    </row>
    <row r="399" spans="3:3" ht="21" customHeight="1" x14ac:dyDescent="0.2">
      <c r="C399" s="10"/>
    </row>
    <row r="400" spans="3:3" ht="21" customHeight="1" x14ac:dyDescent="0.2">
      <c r="C400" s="10"/>
    </row>
    <row r="401" spans="3:3" ht="21" customHeight="1" x14ac:dyDescent="0.2">
      <c r="C401" s="10"/>
    </row>
    <row r="402" spans="3:3" ht="21" customHeight="1" x14ac:dyDescent="0.2">
      <c r="C402" s="10"/>
    </row>
    <row r="403" spans="3:3" ht="21" customHeight="1" x14ac:dyDescent="0.2">
      <c r="C403" s="10"/>
    </row>
    <row r="404" spans="3:3" ht="21" customHeight="1" x14ac:dyDescent="0.2">
      <c r="C404" s="10"/>
    </row>
    <row r="405" spans="3:3" ht="21" customHeight="1" x14ac:dyDescent="0.2">
      <c r="C405" s="10"/>
    </row>
    <row r="406" spans="3:3" ht="21" customHeight="1" x14ac:dyDescent="0.2">
      <c r="C406" s="10"/>
    </row>
    <row r="407" spans="3:3" ht="21" customHeight="1" x14ac:dyDescent="0.2">
      <c r="C407" s="10"/>
    </row>
    <row r="408" spans="3:3" ht="21" customHeight="1" x14ac:dyDescent="0.2">
      <c r="C408" s="10"/>
    </row>
    <row r="409" spans="3:3" ht="21" customHeight="1" x14ac:dyDescent="0.2">
      <c r="C409" s="10"/>
    </row>
    <row r="410" spans="3:3" ht="21" customHeight="1" x14ac:dyDescent="0.2">
      <c r="C410" s="10"/>
    </row>
    <row r="411" spans="3:3" ht="21" customHeight="1" x14ac:dyDescent="0.2">
      <c r="C411" s="10"/>
    </row>
    <row r="412" spans="3:3" ht="21" customHeight="1" x14ac:dyDescent="0.2">
      <c r="C412" s="10"/>
    </row>
    <row r="413" spans="3:3" ht="21" customHeight="1" x14ac:dyDescent="0.2">
      <c r="C413" s="10"/>
    </row>
    <row r="414" spans="3:3" ht="21" customHeight="1" x14ac:dyDescent="0.2">
      <c r="C414" s="10"/>
    </row>
    <row r="415" spans="3:3" ht="21" customHeight="1" x14ac:dyDescent="0.2">
      <c r="C415" s="10"/>
    </row>
    <row r="416" spans="3:3" ht="21" customHeight="1" x14ac:dyDescent="0.2">
      <c r="C416" s="10"/>
    </row>
    <row r="417" spans="3:3" ht="21" customHeight="1" x14ac:dyDescent="0.2">
      <c r="C417" s="10"/>
    </row>
    <row r="418" spans="3:3" ht="21" customHeight="1" x14ac:dyDescent="0.2">
      <c r="C418" s="10"/>
    </row>
    <row r="419" spans="3:3" ht="21" customHeight="1" x14ac:dyDescent="0.2">
      <c r="C419" s="10"/>
    </row>
    <row r="420" spans="3:3" ht="21" customHeight="1" x14ac:dyDescent="0.2">
      <c r="C420" s="10"/>
    </row>
    <row r="421" spans="3:3" ht="21" customHeight="1" x14ac:dyDescent="0.2">
      <c r="C421" s="10"/>
    </row>
    <row r="422" spans="3:3" ht="21" customHeight="1" x14ac:dyDescent="0.2">
      <c r="C422" s="10"/>
    </row>
    <row r="423" spans="3:3" ht="21" customHeight="1" x14ac:dyDescent="0.2">
      <c r="C423" s="10"/>
    </row>
    <row r="424" spans="3:3" ht="21" customHeight="1" x14ac:dyDescent="0.2">
      <c r="C424" s="10"/>
    </row>
    <row r="425" spans="3:3" ht="21" customHeight="1" x14ac:dyDescent="0.2">
      <c r="C425" s="10"/>
    </row>
    <row r="426" spans="3:3" ht="21" customHeight="1" x14ac:dyDescent="0.2">
      <c r="C426" s="10"/>
    </row>
    <row r="427" spans="3:3" ht="21" customHeight="1" x14ac:dyDescent="0.2">
      <c r="C427" s="10"/>
    </row>
    <row r="428" spans="3:3" ht="21" customHeight="1" x14ac:dyDescent="0.2">
      <c r="C428" s="10"/>
    </row>
    <row r="429" spans="3:3" ht="21" customHeight="1" x14ac:dyDescent="0.2">
      <c r="C429" s="10"/>
    </row>
    <row r="430" spans="3:3" ht="21" customHeight="1" x14ac:dyDescent="0.2">
      <c r="C430" s="10"/>
    </row>
    <row r="431" spans="3:3" ht="21" customHeight="1" x14ac:dyDescent="0.2">
      <c r="C431" s="10"/>
    </row>
    <row r="432" spans="3:3" ht="21" customHeight="1" x14ac:dyDescent="0.2">
      <c r="C432" s="10"/>
    </row>
    <row r="433" spans="3:3" ht="21" customHeight="1" x14ac:dyDescent="0.2">
      <c r="C433" s="10"/>
    </row>
    <row r="434" spans="3:3" ht="21" customHeight="1" x14ac:dyDescent="0.2">
      <c r="C434" s="10"/>
    </row>
    <row r="435" spans="3:3" ht="21" customHeight="1" x14ac:dyDescent="0.2">
      <c r="C435" s="10"/>
    </row>
    <row r="436" spans="3:3" ht="21" customHeight="1" x14ac:dyDescent="0.2">
      <c r="C436" s="10"/>
    </row>
    <row r="437" spans="3:3" ht="21" customHeight="1" x14ac:dyDescent="0.2">
      <c r="C437" s="10"/>
    </row>
    <row r="438" spans="3:3" ht="21" customHeight="1" x14ac:dyDescent="0.2">
      <c r="C438" s="10"/>
    </row>
    <row r="439" spans="3:3" ht="21" customHeight="1" x14ac:dyDescent="0.2">
      <c r="C439" s="10"/>
    </row>
    <row r="440" spans="3:3" ht="21" customHeight="1" x14ac:dyDescent="0.2">
      <c r="C440" s="10"/>
    </row>
    <row r="441" spans="3:3" ht="21" customHeight="1" x14ac:dyDescent="0.2">
      <c r="C441" s="10"/>
    </row>
    <row r="442" spans="3:3" ht="21" customHeight="1" x14ac:dyDescent="0.2">
      <c r="C442" s="10"/>
    </row>
    <row r="443" spans="3:3" ht="21" customHeight="1" x14ac:dyDescent="0.2">
      <c r="C443" s="10"/>
    </row>
    <row r="444" spans="3:3" ht="21" customHeight="1" x14ac:dyDescent="0.2">
      <c r="C444" s="10"/>
    </row>
    <row r="445" spans="3:3" ht="21" customHeight="1" x14ac:dyDescent="0.2">
      <c r="C445" s="10"/>
    </row>
    <row r="446" spans="3:3" ht="21" customHeight="1" x14ac:dyDescent="0.2">
      <c r="C446" s="10"/>
    </row>
    <row r="447" spans="3:3" ht="21" customHeight="1" x14ac:dyDescent="0.2">
      <c r="C447" s="10"/>
    </row>
    <row r="448" spans="3:3" ht="21" customHeight="1" x14ac:dyDescent="0.2">
      <c r="C448" s="10"/>
    </row>
    <row r="449" spans="3:3" ht="21" customHeight="1" x14ac:dyDescent="0.2">
      <c r="C449" s="10"/>
    </row>
    <row r="450" spans="3:3" ht="21" customHeight="1" x14ac:dyDescent="0.2">
      <c r="C450" s="10"/>
    </row>
    <row r="451" spans="3:3" ht="21" customHeight="1" x14ac:dyDescent="0.2">
      <c r="C451" s="10"/>
    </row>
    <row r="452" spans="3:3" ht="21" customHeight="1" x14ac:dyDescent="0.2">
      <c r="C452" s="10"/>
    </row>
    <row r="453" spans="3:3" ht="21" customHeight="1" x14ac:dyDescent="0.2">
      <c r="C453" s="10"/>
    </row>
    <row r="454" spans="3:3" ht="21" customHeight="1" x14ac:dyDescent="0.2">
      <c r="C454" s="10"/>
    </row>
    <row r="455" spans="3:3" ht="21" customHeight="1" x14ac:dyDescent="0.2">
      <c r="C455" s="10"/>
    </row>
    <row r="456" spans="3:3" ht="21" customHeight="1" x14ac:dyDescent="0.2">
      <c r="C456" s="10"/>
    </row>
    <row r="457" spans="3:3" ht="21" customHeight="1" x14ac:dyDescent="0.2">
      <c r="C457" s="10"/>
    </row>
    <row r="458" spans="3:3" ht="21" customHeight="1" x14ac:dyDescent="0.2">
      <c r="C458" s="10"/>
    </row>
    <row r="459" spans="3:3" ht="21" customHeight="1" x14ac:dyDescent="0.2">
      <c r="C459" s="10"/>
    </row>
    <row r="460" spans="3:3" ht="21" customHeight="1" x14ac:dyDescent="0.2">
      <c r="C460" s="10"/>
    </row>
    <row r="461" spans="3:3" ht="21" customHeight="1" x14ac:dyDescent="0.2">
      <c r="C461" s="10"/>
    </row>
    <row r="462" spans="3:3" ht="21" customHeight="1" x14ac:dyDescent="0.2">
      <c r="C462" s="10"/>
    </row>
    <row r="463" spans="3:3" ht="21" customHeight="1" x14ac:dyDescent="0.2">
      <c r="C463" s="10"/>
    </row>
    <row r="464" spans="3:3" ht="21" customHeight="1" x14ac:dyDescent="0.2">
      <c r="C464" s="10"/>
    </row>
    <row r="465" spans="3:3" ht="21" customHeight="1" x14ac:dyDescent="0.2">
      <c r="C465" s="10"/>
    </row>
    <row r="466" spans="3:3" ht="21" customHeight="1" x14ac:dyDescent="0.2">
      <c r="C466" s="10"/>
    </row>
    <row r="467" spans="3:3" ht="21" customHeight="1" x14ac:dyDescent="0.2">
      <c r="C467" s="10"/>
    </row>
    <row r="468" spans="3:3" ht="21" customHeight="1" x14ac:dyDescent="0.2">
      <c r="C468" s="10"/>
    </row>
    <row r="469" spans="3:3" ht="21" customHeight="1" x14ac:dyDescent="0.2">
      <c r="C469" s="10"/>
    </row>
    <row r="470" spans="3:3" ht="21" customHeight="1" x14ac:dyDescent="0.2">
      <c r="C470" s="10"/>
    </row>
    <row r="471" spans="3:3" ht="21" customHeight="1" x14ac:dyDescent="0.2">
      <c r="C471" s="10"/>
    </row>
    <row r="472" spans="3:3" ht="21" customHeight="1" x14ac:dyDescent="0.2">
      <c r="C472" s="10"/>
    </row>
    <row r="473" spans="3:3" ht="21" customHeight="1" x14ac:dyDescent="0.2">
      <c r="C473" s="10"/>
    </row>
    <row r="474" spans="3:3" ht="21" customHeight="1" x14ac:dyDescent="0.2">
      <c r="C474" s="10"/>
    </row>
    <row r="475" spans="3:3" ht="21" customHeight="1" x14ac:dyDescent="0.2">
      <c r="C475" s="10"/>
    </row>
    <row r="476" spans="3:3" ht="21" customHeight="1" x14ac:dyDescent="0.2">
      <c r="C476" s="10"/>
    </row>
    <row r="477" spans="3:3" ht="21" customHeight="1" x14ac:dyDescent="0.2">
      <c r="C477" s="10"/>
    </row>
    <row r="478" spans="3:3" ht="21" customHeight="1" x14ac:dyDescent="0.2">
      <c r="C478" s="10"/>
    </row>
    <row r="479" spans="3:3" ht="21" customHeight="1" x14ac:dyDescent="0.2">
      <c r="C479" s="10"/>
    </row>
    <row r="480" spans="3:3" ht="21" customHeight="1" x14ac:dyDescent="0.2">
      <c r="C480" s="10"/>
    </row>
    <row r="481" spans="3:3" ht="21" customHeight="1" x14ac:dyDescent="0.2">
      <c r="C481" s="10"/>
    </row>
    <row r="482" spans="3:3" ht="21" customHeight="1" x14ac:dyDescent="0.2">
      <c r="C482" s="10"/>
    </row>
    <row r="483" spans="3:3" ht="21" customHeight="1" x14ac:dyDescent="0.2">
      <c r="C483" s="10"/>
    </row>
    <row r="484" spans="3:3" ht="21" customHeight="1" x14ac:dyDescent="0.2">
      <c r="C484" s="10"/>
    </row>
    <row r="485" spans="3:3" ht="21" customHeight="1" x14ac:dyDescent="0.2">
      <c r="C485" s="10"/>
    </row>
    <row r="486" spans="3:3" ht="21" customHeight="1" x14ac:dyDescent="0.2">
      <c r="C486" s="10"/>
    </row>
    <row r="487" spans="3:3" ht="21" customHeight="1" x14ac:dyDescent="0.2">
      <c r="C487" s="10"/>
    </row>
    <row r="488" spans="3:3" ht="21" customHeight="1" x14ac:dyDescent="0.2">
      <c r="C488" s="10"/>
    </row>
    <row r="489" spans="3:3" ht="21" customHeight="1" x14ac:dyDescent="0.2">
      <c r="C489" s="10"/>
    </row>
    <row r="490" spans="3:3" ht="21" customHeight="1" x14ac:dyDescent="0.2">
      <c r="C490" s="10"/>
    </row>
    <row r="491" spans="3:3" ht="21" customHeight="1" x14ac:dyDescent="0.2">
      <c r="C491" s="10"/>
    </row>
    <row r="492" spans="3:3" ht="21" customHeight="1" x14ac:dyDescent="0.2">
      <c r="C492" s="10"/>
    </row>
    <row r="493" spans="3:3" ht="21" customHeight="1" x14ac:dyDescent="0.2">
      <c r="C493" s="10"/>
    </row>
    <row r="494" spans="3:3" ht="21" customHeight="1" x14ac:dyDescent="0.2">
      <c r="C494" s="10"/>
    </row>
    <row r="495" spans="3:3" ht="21" customHeight="1" x14ac:dyDescent="0.2">
      <c r="C495" s="10"/>
    </row>
    <row r="496" spans="3:3" ht="21" customHeight="1" x14ac:dyDescent="0.2">
      <c r="C496" s="10"/>
    </row>
    <row r="497" spans="3:3" ht="21" customHeight="1" x14ac:dyDescent="0.2">
      <c r="C497" s="10"/>
    </row>
    <row r="498" spans="3:3" ht="21" customHeight="1" x14ac:dyDescent="0.2">
      <c r="C498" s="10"/>
    </row>
    <row r="499" spans="3:3" ht="21" customHeight="1" x14ac:dyDescent="0.2">
      <c r="C499" s="10"/>
    </row>
    <row r="500" spans="3:3" ht="21" customHeight="1" x14ac:dyDescent="0.2">
      <c r="C500" s="10"/>
    </row>
    <row r="501" spans="3:3" ht="21" customHeight="1" x14ac:dyDescent="0.2">
      <c r="C501" s="10"/>
    </row>
    <row r="502" spans="3:3" ht="21" customHeight="1" x14ac:dyDescent="0.2">
      <c r="C502" s="10"/>
    </row>
    <row r="503" spans="3:3" ht="21" customHeight="1" x14ac:dyDescent="0.2">
      <c r="C503" s="10"/>
    </row>
    <row r="504" spans="3:3" ht="21" customHeight="1" x14ac:dyDescent="0.2">
      <c r="C504" s="10"/>
    </row>
    <row r="505" spans="3:3" ht="21" customHeight="1" x14ac:dyDescent="0.2">
      <c r="C505" s="10"/>
    </row>
    <row r="506" spans="3:3" ht="21" customHeight="1" x14ac:dyDescent="0.2">
      <c r="C506" s="10"/>
    </row>
    <row r="507" spans="3:3" ht="21" customHeight="1" x14ac:dyDescent="0.2">
      <c r="C507" s="10"/>
    </row>
    <row r="508" spans="3:3" ht="21" customHeight="1" x14ac:dyDescent="0.2">
      <c r="C508" s="10"/>
    </row>
    <row r="509" spans="3:3" ht="21" customHeight="1" x14ac:dyDescent="0.2">
      <c r="C509" s="10"/>
    </row>
    <row r="510" spans="3:3" ht="21" customHeight="1" x14ac:dyDescent="0.2">
      <c r="C510" s="10"/>
    </row>
    <row r="511" spans="3:3" ht="21" customHeight="1" x14ac:dyDescent="0.2">
      <c r="C511" s="10"/>
    </row>
    <row r="512" spans="3:3" ht="21" customHeight="1" x14ac:dyDescent="0.2">
      <c r="C512" s="10"/>
    </row>
    <row r="513" spans="3:3" ht="21" customHeight="1" x14ac:dyDescent="0.2">
      <c r="C513" s="10"/>
    </row>
    <row r="514" spans="3:3" ht="21" customHeight="1" x14ac:dyDescent="0.2">
      <c r="C514" s="10"/>
    </row>
    <row r="515" spans="3:3" ht="21" customHeight="1" x14ac:dyDescent="0.2">
      <c r="C515" s="10"/>
    </row>
    <row r="516" spans="3:3" ht="21" customHeight="1" x14ac:dyDescent="0.2">
      <c r="C516" s="10"/>
    </row>
    <row r="517" spans="3:3" ht="21" customHeight="1" x14ac:dyDescent="0.2">
      <c r="C517" s="10"/>
    </row>
    <row r="518" spans="3:3" ht="21" customHeight="1" x14ac:dyDescent="0.2">
      <c r="C518" s="10"/>
    </row>
    <row r="519" spans="3:3" ht="21" customHeight="1" x14ac:dyDescent="0.2">
      <c r="C519" s="10"/>
    </row>
    <row r="520" spans="3:3" ht="21" customHeight="1" x14ac:dyDescent="0.2">
      <c r="C520" s="10"/>
    </row>
    <row r="521" spans="3:3" ht="21" customHeight="1" x14ac:dyDescent="0.2">
      <c r="C521" s="10"/>
    </row>
    <row r="522" spans="3:3" ht="21" customHeight="1" x14ac:dyDescent="0.2">
      <c r="C522" s="10"/>
    </row>
    <row r="523" spans="3:3" ht="21" customHeight="1" x14ac:dyDescent="0.2">
      <c r="C523" s="10"/>
    </row>
    <row r="524" spans="3:3" ht="21" customHeight="1" x14ac:dyDescent="0.2">
      <c r="C524" s="10"/>
    </row>
    <row r="525" spans="3:3" ht="21" customHeight="1" x14ac:dyDescent="0.2">
      <c r="C525" s="10"/>
    </row>
    <row r="526" spans="3:3" ht="21" customHeight="1" x14ac:dyDescent="0.2">
      <c r="C526" s="10"/>
    </row>
    <row r="527" spans="3:3" ht="21" customHeight="1" x14ac:dyDescent="0.2">
      <c r="C527" s="10"/>
    </row>
    <row r="528" spans="3:3" ht="21" customHeight="1" x14ac:dyDescent="0.2">
      <c r="C528" s="10"/>
    </row>
    <row r="529" spans="3:3" ht="21" customHeight="1" x14ac:dyDescent="0.2">
      <c r="C529" s="10"/>
    </row>
    <row r="530" spans="3:3" ht="21" customHeight="1" x14ac:dyDescent="0.2">
      <c r="C530" s="10"/>
    </row>
    <row r="531" spans="3:3" ht="21" customHeight="1" x14ac:dyDescent="0.2">
      <c r="C531" s="10"/>
    </row>
    <row r="532" spans="3:3" ht="21" customHeight="1" x14ac:dyDescent="0.2">
      <c r="C532" s="10"/>
    </row>
    <row r="533" spans="3:3" ht="21" customHeight="1" x14ac:dyDescent="0.2">
      <c r="C533" s="10"/>
    </row>
    <row r="534" spans="3:3" ht="21" customHeight="1" x14ac:dyDescent="0.2">
      <c r="C534" s="10"/>
    </row>
    <row r="535" spans="3:3" ht="21" customHeight="1" x14ac:dyDescent="0.2">
      <c r="C535" s="10"/>
    </row>
    <row r="536" spans="3:3" ht="21" customHeight="1" x14ac:dyDescent="0.2">
      <c r="C536" s="10"/>
    </row>
    <row r="537" spans="3:3" ht="21" customHeight="1" x14ac:dyDescent="0.2">
      <c r="C537" s="10"/>
    </row>
    <row r="538" spans="3:3" ht="21" customHeight="1" x14ac:dyDescent="0.2">
      <c r="C538" s="10"/>
    </row>
    <row r="539" spans="3:3" ht="21" customHeight="1" x14ac:dyDescent="0.2">
      <c r="C539" s="10"/>
    </row>
    <row r="540" spans="3:3" ht="21" customHeight="1" x14ac:dyDescent="0.2">
      <c r="C540" s="10"/>
    </row>
    <row r="541" spans="3:3" ht="21" customHeight="1" x14ac:dyDescent="0.2">
      <c r="C541" s="10"/>
    </row>
    <row r="542" spans="3:3" ht="21" customHeight="1" x14ac:dyDescent="0.2">
      <c r="C542" s="10"/>
    </row>
    <row r="543" spans="3:3" ht="21" customHeight="1" x14ac:dyDescent="0.2">
      <c r="C543" s="10"/>
    </row>
    <row r="544" spans="3:3" ht="21" customHeight="1" x14ac:dyDescent="0.2">
      <c r="C544" s="10"/>
    </row>
    <row r="545" spans="3:3" ht="21" customHeight="1" x14ac:dyDescent="0.2">
      <c r="C545" s="10"/>
    </row>
    <row r="546" spans="3:3" ht="21" customHeight="1" x14ac:dyDescent="0.2">
      <c r="C546" s="10"/>
    </row>
    <row r="547" spans="3:3" ht="21" customHeight="1" x14ac:dyDescent="0.2">
      <c r="C547" s="10"/>
    </row>
    <row r="548" spans="3:3" ht="21" customHeight="1" x14ac:dyDescent="0.2">
      <c r="C548" s="10"/>
    </row>
    <row r="549" spans="3:3" ht="21" customHeight="1" x14ac:dyDescent="0.2">
      <c r="C549" s="10"/>
    </row>
    <row r="550" spans="3:3" ht="21" customHeight="1" x14ac:dyDescent="0.2">
      <c r="C550" s="10"/>
    </row>
    <row r="551" spans="3:3" ht="21" customHeight="1" x14ac:dyDescent="0.2">
      <c r="C551" s="10"/>
    </row>
    <row r="552" spans="3:3" ht="21" customHeight="1" x14ac:dyDescent="0.2">
      <c r="C552" s="10"/>
    </row>
    <row r="553" spans="3:3" ht="21" customHeight="1" x14ac:dyDescent="0.2">
      <c r="C553" s="10"/>
    </row>
    <row r="554" spans="3:3" ht="21" customHeight="1" x14ac:dyDescent="0.2">
      <c r="C554" s="10"/>
    </row>
    <row r="555" spans="3:3" ht="21" customHeight="1" x14ac:dyDescent="0.2">
      <c r="C555" s="10"/>
    </row>
    <row r="556" spans="3:3" ht="21" customHeight="1" x14ac:dyDescent="0.2">
      <c r="C556" s="10"/>
    </row>
    <row r="557" spans="3:3" ht="21" customHeight="1" x14ac:dyDescent="0.2">
      <c r="C557" s="10"/>
    </row>
    <row r="558" spans="3:3" ht="21" customHeight="1" x14ac:dyDescent="0.2">
      <c r="C558" s="10"/>
    </row>
    <row r="559" spans="3:3" ht="21" customHeight="1" x14ac:dyDescent="0.2">
      <c r="C559" s="10"/>
    </row>
    <row r="560" spans="3:3" ht="21" customHeight="1" x14ac:dyDescent="0.2">
      <c r="C560" s="10"/>
    </row>
    <row r="561" spans="3:3" ht="21" customHeight="1" x14ac:dyDescent="0.2">
      <c r="C561" s="10"/>
    </row>
    <row r="562" spans="3:3" ht="21" customHeight="1" x14ac:dyDescent="0.2">
      <c r="C562" s="10"/>
    </row>
    <row r="563" spans="3:3" ht="21" customHeight="1" x14ac:dyDescent="0.2">
      <c r="C563" s="10"/>
    </row>
    <row r="564" spans="3:3" ht="21" customHeight="1" x14ac:dyDescent="0.2">
      <c r="C564" s="10"/>
    </row>
    <row r="565" spans="3:3" ht="21" customHeight="1" x14ac:dyDescent="0.2">
      <c r="C565" s="10"/>
    </row>
    <row r="566" spans="3:3" ht="21" customHeight="1" x14ac:dyDescent="0.2">
      <c r="C566" s="10"/>
    </row>
    <row r="567" spans="3:3" ht="21" customHeight="1" x14ac:dyDescent="0.2">
      <c r="C567" s="10"/>
    </row>
    <row r="568" spans="3:3" ht="21" customHeight="1" x14ac:dyDescent="0.2">
      <c r="C568" s="10"/>
    </row>
    <row r="569" spans="3:3" ht="21" customHeight="1" x14ac:dyDescent="0.2">
      <c r="C569" s="10"/>
    </row>
    <row r="570" spans="3:3" ht="21" customHeight="1" x14ac:dyDescent="0.2">
      <c r="C570" s="10"/>
    </row>
    <row r="571" spans="3:3" ht="21" customHeight="1" x14ac:dyDescent="0.2">
      <c r="C571" s="10"/>
    </row>
    <row r="572" spans="3:3" ht="21" customHeight="1" x14ac:dyDescent="0.2">
      <c r="C572" s="10"/>
    </row>
    <row r="573" spans="3:3" ht="21" customHeight="1" x14ac:dyDescent="0.2">
      <c r="C573" s="10"/>
    </row>
    <row r="574" spans="3:3" ht="21" customHeight="1" x14ac:dyDescent="0.2">
      <c r="C574" s="10"/>
    </row>
    <row r="575" spans="3:3" ht="21" customHeight="1" x14ac:dyDescent="0.2">
      <c r="C575" s="10"/>
    </row>
    <row r="576" spans="3:3" ht="21" customHeight="1" x14ac:dyDescent="0.2">
      <c r="C576" s="10"/>
    </row>
    <row r="577" spans="3:3" ht="21" customHeight="1" x14ac:dyDescent="0.2">
      <c r="C577" s="10"/>
    </row>
    <row r="578" spans="3:3" ht="21" customHeight="1" x14ac:dyDescent="0.2">
      <c r="C578" s="10"/>
    </row>
    <row r="579" spans="3:3" ht="21" customHeight="1" x14ac:dyDescent="0.2">
      <c r="C579" s="10"/>
    </row>
    <row r="580" spans="3:3" ht="21" customHeight="1" x14ac:dyDescent="0.2">
      <c r="C580" s="10"/>
    </row>
    <row r="581" spans="3:3" ht="21" customHeight="1" x14ac:dyDescent="0.2">
      <c r="C581" s="10"/>
    </row>
    <row r="582" spans="3:3" ht="21" customHeight="1" x14ac:dyDescent="0.2">
      <c r="C582" s="10"/>
    </row>
    <row r="583" spans="3:3" ht="21" customHeight="1" x14ac:dyDescent="0.2">
      <c r="C583" s="10"/>
    </row>
    <row r="584" spans="3:3" ht="21" customHeight="1" x14ac:dyDescent="0.2">
      <c r="C584" s="10"/>
    </row>
    <row r="585" spans="3:3" ht="21" customHeight="1" x14ac:dyDescent="0.2">
      <c r="C585" s="10"/>
    </row>
    <row r="586" spans="3:3" ht="21" customHeight="1" x14ac:dyDescent="0.2">
      <c r="C586" s="10"/>
    </row>
    <row r="587" spans="3:3" ht="21" customHeight="1" x14ac:dyDescent="0.2">
      <c r="C587" s="10"/>
    </row>
    <row r="588" spans="3:3" ht="21" customHeight="1" x14ac:dyDescent="0.2">
      <c r="C588" s="10"/>
    </row>
    <row r="589" spans="3:3" ht="21" customHeight="1" x14ac:dyDescent="0.2">
      <c r="C589" s="10"/>
    </row>
    <row r="590" spans="3:3" ht="21" customHeight="1" x14ac:dyDescent="0.2">
      <c r="C590" s="10"/>
    </row>
    <row r="591" spans="3:3" ht="21" customHeight="1" x14ac:dyDescent="0.2">
      <c r="C591" s="10"/>
    </row>
    <row r="592" spans="3:3" ht="21" customHeight="1" x14ac:dyDescent="0.2">
      <c r="C592" s="10"/>
    </row>
    <row r="593" spans="3:3" ht="21" customHeight="1" x14ac:dyDescent="0.2">
      <c r="C593" s="10"/>
    </row>
    <row r="594" spans="3:3" ht="21" customHeight="1" x14ac:dyDescent="0.2">
      <c r="C594" s="10"/>
    </row>
    <row r="595" spans="3:3" ht="21" customHeight="1" x14ac:dyDescent="0.2">
      <c r="C595" s="10"/>
    </row>
    <row r="596" spans="3:3" ht="21" customHeight="1" x14ac:dyDescent="0.2">
      <c r="C596" s="10"/>
    </row>
    <row r="597" spans="3:3" ht="21" customHeight="1" x14ac:dyDescent="0.2">
      <c r="C597" s="10"/>
    </row>
    <row r="598" spans="3:3" ht="21" customHeight="1" x14ac:dyDescent="0.2">
      <c r="C598" s="10"/>
    </row>
    <row r="599" spans="3:3" ht="21" customHeight="1" x14ac:dyDescent="0.2">
      <c r="C599" s="10"/>
    </row>
    <row r="600" spans="3:3" ht="21" customHeight="1" x14ac:dyDescent="0.2">
      <c r="C600" s="10"/>
    </row>
    <row r="601" spans="3:3" ht="21" customHeight="1" x14ac:dyDescent="0.2">
      <c r="C601" s="10"/>
    </row>
    <row r="602" spans="3:3" ht="21" customHeight="1" x14ac:dyDescent="0.2">
      <c r="C602" s="10"/>
    </row>
    <row r="603" spans="3:3" ht="21" customHeight="1" x14ac:dyDescent="0.2">
      <c r="C603" s="10"/>
    </row>
    <row r="604" spans="3:3" ht="21" customHeight="1" x14ac:dyDescent="0.2">
      <c r="C604" s="10"/>
    </row>
    <row r="605" spans="3:3" ht="21" customHeight="1" x14ac:dyDescent="0.2">
      <c r="C605" s="10"/>
    </row>
    <row r="606" spans="3:3" ht="21" customHeight="1" x14ac:dyDescent="0.2">
      <c r="C606" s="10"/>
    </row>
    <row r="607" spans="3:3" ht="21" customHeight="1" x14ac:dyDescent="0.2">
      <c r="C607" s="10"/>
    </row>
    <row r="608" spans="3:3" ht="21" customHeight="1" x14ac:dyDescent="0.2">
      <c r="C608" s="10"/>
    </row>
    <row r="609" spans="3:3" ht="21" customHeight="1" x14ac:dyDescent="0.2">
      <c r="C609" s="10"/>
    </row>
    <row r="610" spans="3:3" ht="21" customHeight="1" x14ac:dyDescent="0.2">
      <c r="C610" s="10"/>
    </row>
    <row r="611" spans="3:3" ht="21" customHeight="1" x14ac:dyDescent="0.2">
      <c r="C611" s="10"/>
    </row>
    <row r="612" spans="3:3" ht="21" customHeight="1" x14ac:dyDescent="0.2">
      <c r="C612" s="10"/>
    </row>
    <row r="613" spans="3:3" ht="21" customHeight="1" x14ac:dyDescent="0.2">
      <c r="C613" s="10"/>
    </row>
    <row r="614" spans="3:3" ht="21" customHeight="1" x14ac:dyDescent="0.2">
      <c r="C614" s="10"/>
    </row>
    <row r="615" spans="3:3" ht="21" customHeight="1" x14ac:dyDescent="0.2">
      <c r="C615" s="10"/>
    </row>
    <row r="616" spans="3:3" ht="21" customHeight="1" x14ac:dyDescent="0.2">
      <c r="C616" s="10"/>
    </row>
    <row r="617" spans="3:3" ht="21" customHeight="1" x14ac:dyDescent="0.2">
      <c r="C617" s="10"/>
    </row>
    <row r="618" spans="3:3" ht="21" customHeight="1" x14ac:dyDescent="0.2">
      <c r="C618" s="10"/>
    </row>
    <row r="619" spans="3:3" ht="21" customHeight="1" x14ac:dyDescent="0.2">
      <c r="C619" s="10"/>
    </row>
    <row r="620" spans="3:3" ht="21" customHeight="1" x14ac:dyDescent="0.2">
      <c r="C620" s="10"/>
    </row>
    <row r="621" spans="3:3" ht="21" customHeight="1" x14ac:dyDescent="0.2">
      <c r="C621" s="10"/>
    </row>
    <row r="622" spans="3:3" ht="21" customHeight="1" x14ac:dyDescent="0.2">
      <c r="C622" s="10"/>
    </row>
    <row r="623" spans="3:3" ht="21" customHeight="1" x14ac:dyDescent="0.2">
      <c r="C623" s="10"/>
    </row>
    <row r="624" spans="3:3" ht="21" customHeight="1" x14ac:dyDescent="0.2">
      <c r="C624" s="10"/>
    </row>
    <row r="625" spans="3:3" ht="21" customHeight="1" x14ac:dyDescent="0.2">
      <c r="C625" s="10"/>
    </row>
    <row r="626" spans="3:3" ht="21" customHeight="1" x14ac:dyDescent="0.2">
      <c r="C626" s="10"/>
    </row>
    <row r="627" spans="3:3" ht="21" customHeight="1" x14ac:dyDescent="0.2">
      <c r="C627" s="10"/>
    </row>
    <row r="628" spans="3:3" ht="21" customHeight="1" x14ac:dyDescent="0.2">
      <c r="C628" s="10"/>
    </row>
    <row r="629" spans="3:3" ht="21" customHeight="1" x14ac:dyDescent="0.2">
      <c r="C629" s="10"/>
    </row>
    <row r="630" spans="3:3" ht="21" customHeight="1" x14ac:dyDescent="0.2">
      <c r="C630" s="10"/>
    </row>
    <row r="631" spans="3:3" ht="21" customHeight="1" x14ac:dyDescent="0.2">
      <c r="C631" s="10"/>
    </row>
    <row r="632" spans="3:3" ht="21" customHeight="1" x14ac:dyDescent="0.2">
      <c r="C632" s="10"/>
    </row>
    <row r="633" spans="3:3" ht="21" customHeight="1" x14ac:dyDescent="0.2">
      <c r="C633" s="10"/>
    </row>
    <row r="634" spans="3:3" ht="21" customHeight="1" x14ac:dyDescent="0.2">
      <c r="C634" s="10"/>
    </row>
    <row r="635" spans="3:3" ht="21" customHeight="1" x14ac:dyDescent="0.2">
      <c r="C635" s="10"/>
    </row>
    <row r="636" spans="3:3" ht="21" customHeight="1" x14ac:dyDescent="0.2">
      <c r="C636" s="10"/>
    </row>
    <row r="637" spans="3:3" ht="21" customHeight="1" x14ac:dyDescent="0.2">
      <c r="C637" s="10"/>
    </row>
    <row r="638" spans="3:3" ht="21" customHeight="1" x14ac:dyDescent="0.2">
      <c r="C638" s="10"/>
    </row>
    <row r="639" spans="3:3" ht="21" customHeight="1" x14ac:dyDescent="0.2">
      <c r="C639" s="10"/>
    </row>
    <row r="640" spans="3:3" ht="21" customHeight="1" x14ac:dyDescent="0.2">
      <c r="C640" s="10"/>
    </row>
    <row r="641" spans="3:3" ht="21" customHeight="1" x14ac:dyDescent="0.2">
      <c r="C641" s="10"/>
    </row>
    <row r="642" spans="3:3" ht="21" customHeight="1" x14ac:dyDescent="0.2">
      <c r="C642" s="10"/>
    </row>
    <row r="643" spans="3:3" ht="21" customHeight="1" x14ac:dyDescent="0.2">
      <c r="C643" s="10"/>
    </row>
    <row r="644" spans="3:3" ht="21" customHeight="1" x14ac:dyDescent="0.2">
      <c r="C644" s="10"/>
    </row>
    <row r="645" spans="3:3" ht="21" customHeight="1" x14ac:dyDescent="0.2">
      <c r="C645" s="10"/>
    </row>
    <row r="646" spans="3:3" ht="21" customHeight="1" x14ac:dyDescent="0.2">
      <c r="C646" s="10"/>
    </row>
    <row r="647" spans="3:3" ht="21" customHeight="1" x14ac:dyDescent="0.2">
      <c r="C647" s="10"/>
    </row>
    <row r="648" spans="3:3" ht="21" customHeight="1" x14ac:dyDescent="0.2">
      <c r="C648" s="10"/>
    </row>
    <row r="649" spans="3:3" ht="21" customHeight="1" x14ac:dyDescent="0.2">
      <c r="C649" s="10"/>
    </row>
    <row r="650" spans="3:3" ht="21" customHeight="1" x14ac:dyDescent="0.2">
      <c r="C650" s="10"/>
    </row>
    <row r="651" spans="3:3" ht="21" customHeight="1" x14ac:dyDescent="0.2">
      <c r="C651" s="10"/>
    </row>
    <row r="652" spans="3:3" ht="21" customHeight="1" x14ac:dyDescent="0.2">
      <c r="C652" s="10"/>
    </row>
    <row r="653" spans="3:3" ht="21" customHeight="1" x14ac:dyDescent="0.2">
      <c r="C653" s="10"/>
    </row>
    <row r="654" spans="3:3" ht="21" customHeight="1" x14ac:dyDescent="0.2">
      <c r="C654" s="10"/>
    </row>
    <row r="655" spans="3:3" ht="21" customHeight="1" x14ac:dyDescent="0.2">
      <c r="C655" s="10"/>
    </row>
    <row r="656" spans="3:3" ht="21" customHeight="1" x14ac:dyDescent="0.2">
      <c r="C656" s="10"/>
    </row>
    <row r="657" spans="3:3" ht="21" customHeight="1" x14ac:dyDescent="0.2">
      <c r="C657" s="10"/>
    </row>
    <row r="658" spans="3:3" ht="21" customHeight="1" x14ac:dyDescent="0.2">
      <c r="C658" s="10"/>
    </row>
    <row r="659" spans="3:3" ht="21" customHeight="1" x14ac:dyDescent="0.2">
      <c r="C659" s="10"/>
    </row>
    <row r="660" spans="3:3" ht="21" customHeight="1" x14ac:dyDescent="0.2">
      <c r="C660" s="10"/>
    </row>
    <row r="661" spans="3:3" ht="21" customHeight="1" x14ac:dyDescent="0.2">
      <c r="C661" s="10"/>
    </row>
    <row r="662" spans="3:3" ht="21" customHeight="1" x14ac:dyDescent="0.2">
      <c r="C662" s="10"/>
    </row>
    <row r="663" spans="3:3" ht="21" customHeight="1" x14ac:dyDescent="0.2">
      <c r="C663" s="10"/>
    </row>
    <row r="664" spans="3:3" ht="21" customHeight="1" x14ac:dyDescent="0.2">
      <c r="C664" s="10"/>
    </row>
    <row r="665" spans="3:3" ht="21" customHeight="1" x14ac:dyDescent="0.2">
      <c r="C665" s="10"/>
    </row>
    <row r="666" spans="3:3" ht="21" customHeight="1" x14ac:dyDescent="0.2">
      <c r="C666" s="10"/>
    </row>
    <row r="667" spans="3:3" ht="21" customHeight="1" x14ac:dyDescent="0.2">
      <c r="C667" s="10"/>
    </row>
    <row r="668" spans="3:3" ht="21" customHeight="1" x14ac:dyDescent="0.2">
      <c r="C668" s="10"/>
    </row>
    <row r="669" spans="3:3" ht="21" customHeight="1" x14ac:dyDescent="0.2">
      <c r="C669" s="10"/>
    </row>
    <row r="670" spans="3:3" ht="21" customHeight="1" x14ac:dyDescent="0.2">
      <c r="C670" s="10"/>
    </row>
    <row r="671" spans="3:3" ht="21" customHeight="1" x14ac:dyDescent="0.2">
      <c r="C671" s="10"/>
    </row>
    <row r="672" spans="3:3" ht="21" customHeight="1" x14ac:dyDescent="0.2">
      <c r="C672" s="10"/>
    </row>
    <row r="673" spans="3:3" ht="21" customHeight="1" x14ac:dyDescent="0.2">
      <c r="C673" s="10"/>
    </row>
    <row r="674" spans="3:3" ht="21" customHeight="1" x14ac:dyDescent="0.2">
      <c r="C674" s="10"/>
    </row>
    <row r="675" spans="3:3" ht="21" customHeight="1" x14ac:dyDescent="0.2">
      <c r="C675" s="10"/>
    </row>
    <row r="676" spans="3:3" ht="21" customHeight="1" x14ac:dyDescent="0.2">
      <c r="C676" s="10"/>
    </row>
    <row r="677" spans="3:3" ht="21" customHeight="1" x14ac:dyDescent="0.2">
      <c r="C677" s="10"/>
    </row>
    <row r="678" spans="3:3" ht="21" customHeight="1" x14ac:dyDescent="0.2">
      <c r="C678" s="10"/>
    </row>
    <row r="679" spans="3:3" ht="21" customHeight="1" x14ac:dyDescent="0.2">
      <c r="C679" s="10"/>
    </row>
    <row r="680" spans="3:3" ht="21" customHeight="1" x14ac:dyDescent="0.2">
      <c r="C680" s="10"/>
    </row>
    <row r="681" spans="3:3" ht="21" customHeight="1" x14ac:dyDescent="0.2">
      <c r="C681" s="10"/>
    </row>
    <row r="682" spans="3:3" ht="21" customHeight="1" x14ac:dyDescent="0.2">
      <c r="C682" s="10"/>
    </row>
    <row r="683" spans="3:3" ht="21" customHeight="1" x14ac:dyDescent="0.2">
      <c r="C683" s="10"/>
    </row>
    <row r="684" spans="3:3" ht="21" customHeight="1" x14ac:dyDescent="0.2">
      <c r="C684" s="10"/>
    </row>
    <row r="685" spans="3:3" ht="21" customHeight="1" x14ac:dyDescent="0.2">
      <c r="C685" s="10"/>
    </row>
    <row r="686" spans="3:3" ht="21" customHeight="1" x14ac:dyDescent="0.2">
      <c r="C686" s="10"/>
    </row>
    <row r="687" spans="3:3" ht="21" customHeight="1" x14ac:dyDescent="0.2">
      <c r="C687" s="10"/>
    </row>
    <row r="688" spans="3:3" ht="21" customHeight="1" x14ac:dyDescent="0.2">
      <c r="C688" s="10"/>
    </row>
    <row r="689" spans="3:3" ht="21" customHeight="1" x14ac:dyDescent="0.2">
      <c r="C689" s="10"/>
    </row>
    <row r="690" spans="3:3" ht="21" customHeight="1" x14ac:dyDescent="0.2">
      <c r="C690" s="10"/>
    </row>
    <row r="691" spans="3:3" ht="21" customHeight="1" x14ac:dyDescent="0.2">
      <c r="C691" s="10"/>
    </row>
    <row r="692" spans="3:3" ht="21" customHeight="1" x14ac:dyDescent="0.2">
      <c r="C692" s="10"/>
    </row>
    <row r="693" spans="3:3" ht="21" customHeight="1" x14ac:dyDescent="0.2">
      <c r="C693" s="10"/>
    </row>
    <row r="694" spans="3:3" ht="21" customHeight="1" x14ac:dyDescent="0.2">
      <c r="C694" s="10"/>
    </row>
    <row r="695" spans="3:3" ht="21" customHeight="1" x14ac:dyDescent="0.2">
      <c r="C695" s="10"/>
    </row>
    <row r="696" spans="3:3" ht="21" customHeight="1" x14ac:dyDescent="0.2">
      <c r="C696" s="10"/>
    </row>
    <row r="697" spans="3:3" ht="21" customHeight="1" x14ac:dyDescent="0.2">
      <c r="C697" s="10"/>
    </row>
    <row r="698" spans="3:3" ht="21" customHeight="1" x14ac:dyDescent="0.2">
      <c r="C698" s="10"/>
    </row>
    <row r="699" spans="3:3" ht="21" customHeight="1" x14ac:dyDescent="0.2">
      <c r="C699" s="10"/>
    </row>
    <row r="700" spans="3:3" ht="21" customHeight="1" x14ac:dyDescent="0.2">
      <c r="C700" s="10"/>
    </row>
    <row r="701" spans="3:3" ht="21" customHeight="1" x14ac:dyDescent="0.2">
      <c r="C701" s="10"/>
    </row>
    <row r="702" spans="3:3" ht="21" customHeight="1" x14ac:dyDescent="0.2">
      <c r="C702" s="10"/>
    </row>
    <row r="703" spans="3:3" ht="21" customHeight="1" x14ac:dyDescent="0.2">
      <c r="C703" s="10"/>
    </row>
    <row r="704" spans="3:3" ht="21" customHeight="1" x14ac:dyDescent="0.2">
      <c r="C704" s="10"/>
    </row>
    <row r="705" spans="3:3" ht="21" customHeight="1" x14ac:dyDescent="0.2">
      <c r="C705" s="10"/>
    </row>
    <row r="706" spans="3:3" ht="21" customHeight="1" x14ac:dyDescent="0.2">
      <c r="C706" s="10"/>
    </row>
    <row r="707" spans="3:3" ht="21" customHeight="1" x14ac:dyDescent="0.2">
      <c r="C707" s="10"/>
    </row>
    <row r="708" spans="3:3" ht="21" customHeight="1" x14ac:dyDescent="0.2">
      <c r="C708" s="10"/>
    </row>
    <row r="709" spans="3:3" ht="21" customHeight="1" x14ac:dyDescent="0.2">
      <c r="C709" s="10"/>
    </row>
    <row r="710" spans="3:3" ht="21" customHeight="1" x14ac:dyDescent="0.2">
      <c r="C710" s="10"/>
    </row>
    <row r="711" spans="3:3" ht="21" customHeight="1" x14ac:dyDescent="0.2">
      <c r="C711" s="10"/>
    </row>
    <row r="712" spans="3:3" ht="21" customHeight="1" x14ac:dyDescent="0.2">
      <c r="C712" s="10"/>
    </row>
    <row r="713" spans="3:3" ht="21" customHeight="1" x14ac:dyDescent="0.2">
      <c r="C713" s="10"/>
    </row>
    <row r="714" spans="3:3" ht="21" customHeight="1" x14ac:dyDescent="0.2">
      <c r="C714" s="10"/>
    </row>
    <row r="715" spans="3:3" ht="21" customHeight="1" x14ac:dyDescent="0.2">
      <c r="C715" s="10"/>
    </row>
    <row r="716" spans="3:3" ht="21" customHeight="1" x14ac:dyDescent="0.2">
      <c r="C716" s="10"/>
    </row>
    <row r="717" spans="3:3" ht="21" customHeight="1" x14ac:dyDescent="0.2">
      <c r="C717" s="10"/>
    </row>
    <row r="718" spans="3:3" ht="21" customHeight="1" x14ac:dyDescent="0.2">
      <c r="C718" s="10"/>
    </row>
    <row r="719" spans="3:3" ht="21" customHeight="1" x14ac:dyDescent="0.2">
      <c r="C719" s="10"/>
    </row>
    <row r="720" spans="3:3" ht="21" customHeight="1" x14ac:dyDescent="0.2">
      <c r="C720" s="10"/>
    </row>
    <row r="721" spans="3:3" ht="21" customHeight="1" x14ac:dyDescent="0.2">
      <c r="C721" s="10"/>
    </row>
    <row r="722" spans="3:3" ht="21" customHeight="1" x14ac:dyDescent="0.2">
      <c r="C722" s="10"/>
    </row>
    <row r="723" spans="3:3" ht="21" customHeight="1" x14ac:dyDescent="0.2">
      <c r="C723" s="10"/>
    </row>
    <row r="724" spans="3:3" ht="21" customHeight="1" x14ac:dyDescent="0.2">
      <c r="C724" s="10"/>
    </row>
    <row r="725" spans="3:3" ht="21" customHeight="1" x14ac:dyDescent="0.2">
      <c r="C725" s="10"/>
    </row>
    <row r="726" spans="3:3" ht="21" customHeight="1" x14ac:dyDescent="0.2">
      <c r="C726" s="10"/>
    </row>
    <row r="727" spans="3:3" ht="21" customHeight="1" x14ac:dyDescent="0.2">
      <c r="C727" s="10"/>
    </row>
    <row r="728" spans="3:3" ht="21" customHeight="1" x14ac:dyDescent="0.2">
      <c r="C728" s="10"/>
    </row>
    <row r="729" spans="3:3" ht="21" customHeight="1" x14ac:dyDescent="0.2">
      <c r="C729" s="10"/>
    </row>
    <row r="730" spans="3:3" ht="21" customHeight="1" x14ac:dyDescent="0.2">
      <c r="C730" s="10"/>
    </row>
    <row r="731" spans="3:3" ht="21" customHeight="1" x14ac:dyDescent="0.2">
      <c r="C731" s="10"/>
    </row>
    <row r="732" spans="3:3" ht="21" customHeight="1" x14ac:dyDescent="0.2">
      <c r="C732" s="10"/>
    </row>
    <row r="733" spans="3:3" ht="21" customHeight="1" x14ac:dyDescent="0.2">
      <c r="C733" s="10"/>
    </row>
    <row r="734" spans="3:3" ht="21" customHeight="1" x14ac:dyDescent="0.2">
      <c r="C734" s="10"/>
    </row>
    <row r="735" spans="3:3" ht="21" customHeight="1" x14ac:dyDescent="0.2">
      <c r="C735" s="10"/>
    </row>
    <row r="736" spans="3:3" ht="21" customHeight="1" x14ac:dyDescent="0.2">
      <c r="C736" s="10"/>
    </row>
    <row r="737" spans="3:3" ht="21" customHeight="1" x14ac:dyDescent="0.2">
      <c r="C737" s="10"/>
    </row>
    <row r="738" spans="3:3" ht="21" customHeight="1" x14ac:dyDescent="0.2">
      <c r="C738" s="10"/>
    </row>
    <row r="739" spans="3:3" ht="21" customHeight="1" x14ac:dyDescent="0.2">
      <c r="C739" s="10"/>
    </row>
    <row r="740" spans="3:3" ht="21" customHeight="1" x14ac:dyDescent="0.2">
      <c r="C740" s="10"/>
    </row>
    <row r="741" spans="3:3" ht="21" customHeight="1" x14ac:dyDescent="0.2">
      <c r="C741" s="10"/>
    </row>
    <row r="742" spans="3:3" ht="21" customHeight="1" x14ac:dyDescent="0.2">
      <c r="C742" s="10"/>
    </row>
    <row r="743" spans="3:3" ht="21" customHeight="1" x14ac:dyDescent="0.2">
      <c r="C743" s="10"/>
    </row>
    <row r="744" spans="3:3" ht="21" customHeight="1" x14ac:dyDescent="0.2">
      <c r="C744" s="10"/>
    </row>
    <row r="745" spans="3:3" ht="21" customHeight="1" x14ac:dyDescent="0.2">
      <c r="C745" s="10"/>
    </row>
    <row r="746" spans="3:3" ht="21" customHeight="1" x14ac:dyDescent="0.2">
      <c r="C746" s="10"/>
    </row>
    <row r="747" spans="3:3" ht="21" customHeight="1" x14ac:dyDescent="0.2">
      <c r="C747" s="10"/>
    </row>
    <row r="748" spans="3:3" ht="21" customHeight="1" x14ac:dyDescent="0.2">
      <c r="C748" s="10"/>
    </row>
    <row r="749" spans="3:3" ht="21" customHeight="1" x14ac:dyDescent="0.2">
      <c r="C749" s="10"/>
    </row>
    <row r="750" spans="3:3" ht="21" customHeight="1" x14ac:dyDescent="0.2">
      <c r="C750" s="10"/>
    </row>
    <row r="751" spans="3:3" ht="21" customHeight="1" x14ac:dyDescent="0.2">
      <c r="C751" s="10"/>
    </row>
    <row r="752" spans="3:3" ht="21" customHeight="1" x14ac:dyDescent="0.2">
      <c r="C752" s="10"/>
    </row>
    <row r="753" spans="3:3" ht="21" customHeight="1" x14ac:dyDescent="0.2">
      <c r="C753" s="10"/>
    </row>
    <row r="754" spans="3:3" ht="21" customHeight="1" x14ac:dyDescent="0.2">
      <c r="C754" s="10"/>
    </row>
    <row r="755" spans="3:3" ht="21" customHeight="1" x14ac:dyDescent="0.2">
      <c r="C755" s="10"/>
    </row>
    <row r="756" spans="3:3" ht="21" customHeight="1" x14ac:dyDescent="0.2">
      <c r="C756" s="10"/>
    </row>
    <row r="757" spans="3:3" ht="21" customHeight="1" x14ac:dyDescent="0.2">
      <c r="C757" s="10"/>
    </row>
    <row r="758" spans="3:3" ht="21" customHeight="1" x14ac:dyDescent="0.2">
      <c r="C758" s="10"/>
    </row>
    <row r="759" spans="3:3" ht="21" customHeight="1" x14ac:dyDescent="0.2">
      <c r="C759" s="10"/>
    </row>
    <row r="760" spans="3:3" ht="21" customHeight="1" x14ac:dyDescent="0.2">
      <c r="C760" s="10"/>
    </row>
    <row r="761" spans="3:3" ht="21" customHeight="1" x14ac:dyDescent="0.2">
      <c r="C761" s="10"/>
    </row>
    <row r="762" spans="3:3" ht="21" customHeight="1" x14ac:dyDescent="0.2">
      <c r="C762" s="10"/>
    </row>
    <row r="763" spans="3:3" ht="21" customHeight="1" x14ac:dyDescent="0.2">
      <c r="C763" s="10"/>
    </row>
    <row r="764" spans="3:3" ht="21" customHeight="1" x14ac:dyDescent="0.2">
      <c r="C764" s="10"/>
    </row>
    <row r="765" spans="3:3" ht="21" customHeight="1" x14ac:dyDescent="0.2">
      <c r="C765" s="10"/>
    </row>
    <row r="766" spans="3:3" ht="21" customHeight="1" x14ac:dyDescent="0.2">
      <c r="C766" s="10"/>
    </row>
    <row r="767" spans="3:3" ht="21" customHeight="1" x14ac:dyDescent="0.2">
      <c r="C767" s="10"/>
    </row>
    <row r="768" spans="3:3" ht="21" customHeight="1" x14ac:dyDescent="0.2">
      <c r="C768" s="10"/>
    </row>
    <row r="769" spans="3:3" ht="21" customHeight="1" x14ac:dyDescent="0.2">
      <c r="C769" s="10"/>
    </row>
    <row r="770" spans="3:3" ht="21" customHeight="1" x14ac:dyDescent="0.2">
      <c r="C770" s="10"/>
    </row>
    <row r="771" spans="3:3" ht="21" customHeight="1" x14ac:dyDescent="0.2">
      <c r="C771" s="10"/>
    </row>
    <row r="772" spans="3:3" ht="21" customHeight="1" x14ac:dyDescent="0.2">
      <c r="C772" s="10"/>
    </row>
    <row r="773" spans="3:3" ht="21" customHeight="1" x14ac:dyDescent="0.2">
      <c r="C773" s="10"/>
    </row>
    <row r="774" spans="3:3" ht="21" customHeight="1" x14ac:dyDescent="0.2">
      <c r="C774" s="10"/>
    </row>
    <row r="775" spans="3:3" ht="21" customHeight="1" x14ac:dyDescent="0.2">
      <c r="C775" s="10"/>
    </row>
    <row r="776" spans="3:3" ht="21" customHeight="1" x14ac:dyDescent="0.2">
      <c r="C776" s="10"/>
    </row>
    <row r="777" spans="3:3" ht="21" customHeight="1" x14ac:dyDescent="0.2">
      <c r="C777" s="10"/>
    </row>
    <row r="778" spans="3:3" ht="21" customHeight="1" x14ac:dyDescent="0.2">
      <c r="C778" s="10"/>
    </row>
    <row r="779" spans="3:3" ht="21" customHeight="1" x14ac:dyDescent="0.2">
      <c r="C779" s="10"/>
    </row>
    <row r="780" spans="3:3" ht="21" customHeight="1" x14ac:dyDescent="0.2">
      <c r="C780" s="10"/>
    </row>
    <row r="781" spans="3:3" ht="21" customHeight="1" x14ac:dyDescent="0.2">
      <c r="C781" s="10"/>
    </row>
    <row r="782" spans="3:3" ht="21" customHeight="1" x14ac:dyDescent="0.2">
      <c r="C782" s="10"/>
    </row>
    <row r="783" spans="3:3" ht="21" customHeight="1" x14ac:dyDescent="0.2">
      <c r="C783" s="10"/>
    </row>
    <row r="784" spans="3:3" ht="21" customHeight="1" x14ac:dyDescent="0.2">
      <c r="C784" s="10"/>
    </row>
    <row r="785" spans="3:3" ht="21" customHeight="1" x14ac:dyDescent="0.2">
      <c r="C785" s="10"/>
    </row>
    <row r="786" spans="3:3" ht="21" customHeight="1" x14ac:dyDescent="0.2">
      <c r="C786" s="10"/>
    </row>
    <row r="787" spans="3:3" ht="21" customHeight="1" x14ac:dyDescent="0.2">
      <c r="C787" s="10"/>
    </row>
    <row r="788" spans="3:3" ht="21" customHeight="1" x14ac:dyDescent="0.2">
      <c r="C788" s="10"/>
    </row>
    <row r="789" spans="3:3" ht="21" customHeight="1" x14ac:dyDescent="0.2">
      <c r="C789" s="10"/>
    </row>
    <row r="790" spans="3:3" ht="21" customHeight="1" x14ac:dyDescent="0.2">
      <c r="C790" s="10"/>
    </row>
    <row r="791" spans="3:3" ht="21" customHeight="1" x14ac:dyDescent="0.2">
      <c r="C791" s="10"/>
    </row>
    <row r="792" spans="3:3" ht="21" customHeight="1" x14ac:dyDescent="0.2">
      <c r="C792" s="10"/>
    </row>
    <row r="793" spans="3:3" ht="21" customHeight="1" x14ac:dyDescent="0.2">
      <c r="C793" s="10"/>
    </row>
    <row r="794" spans="3:3" ht="21" customHeight="1" x14ac:dyDescent="0.2">
      <c r="C794" s="10"/>
    </row>
    <row r="795" spans="3:3" ht="21" customHeight="1" x14ac:dyDescent="0.2">
      <c r="C795" s="10"/>
    </row>
    <row r="796" spans="3:3" ht="21" customHeight="1" x14ac:dyDescent="0.2">
      <c r="C796" s="10"/>
    </row>
    <row r="797" spans="3:3" ht="21" customHeight="1" x14ac:dyDescent="0.2">
      <c r="C797" s="10"/>
    </row>
    <row r="798" spans="3:3" ht="21" customHeight="1" x14ac:dyDescent="0.2">
      <c r="C798" s="10"/>
    </row>
    <row r="799" spans="3:3" ht="21" customHeight="1" x14ac:dyDescent="0.2">
      <c r="C799" s="10"/>
    </row>
    <row r="800" spans="3:3" ht="21" customHeight="1" x14ac:dyDescent="0.2">
      <c r="C800" s="10"/>
    </row>
    <row r="801" spans="3:3" ht="21" customHeight="1" x14ac:dyDescent="0.2">
      <c r="C801" s="10"/>
    </row>
    <row r="802" spans="3:3" ht="21" customHeight="1" x14ac:dyDescent="0.2">
      <c r="C802" s="10"/>
    </row>
    <row r="803" spans="3:3" ht="21" customHeight="1" x14ac:dyDescent="0.2">
      <c r="C803" s="10"/>
    </row>
    <row r="804" spans="3:3" ht="21" customHeight="1" x14ac:dyDescent="0.2">
      <c r="C804" s="10"/>
    </row>
    <row r="805" spans="3:3" ht="21" customHeight="1" x14ac:dyDescent="0.2">
      <c r="C805" s="10"/>
    </row>
    <row r="806" spans="3:3" ht="21" customHeight="1" x14ac:dyDescent="0.2">
      <c r="C806" s="10"/>
    </row>
    <row r="807" spans="3:3" ht="21" customHeight="1" x14ac:dyDescent="0.2">
      <c r="C807" s="10"/>
    </row>
    <row r="808" spans="3:3" ht="21" customHeight="1" x14ac:dyDescent="0.2">
      <c r="C808" s="10"/>
    </row>
    <row r="809" spans="3:3" ht="21" customHeight="1" x14ac:dyDescent="0.2">
      <c r="C809" s="10"/>
    </row>
    <row r="810" spans="3:3" ht="21" customHeight="1" x14ac:dyDescent="0.2">
      <c r="C810" s="10"/>
    </row>
    <row r="811" spans="3:3" ht="21" customHeight="1" x14ac:dyDescent="0.2">
      <c r="C811" s="10"/>
    </row>
    <row r="812" spans="3:3" ht="21" customHeight="1" x14ac:dyDescent="0.2">
      <c r="C812" s="10"/>
    </row>
    <row r="813" spans="3:3" ht="21" customHeight="1" x14ac:dyDescent="0.2">
      <c r="C813" s="10"/>
    </row>
    <row r="814" spans="3:3" ht="21" customHeight="1" x14ac:dyDescent="0.2">
      <c r="C814" s="10"/>
    </row>
    <row r="815" spans="3:3" ht="21" customHeight="1" x14ac:dyDescent="0.2">
      <c r="C815" s="10"/>
    </row>
    <row r="816" spans="3:3" ht="21" customHeight="1" x14ac:dyDescent="0.2">
      <c r="C816" s="10"/>
    </row>
    <row r="817" spans="3:3" ht="21" customHeight="1" x14ac:dyDescent="0.2">
      <c r="C817" s="10"/>
    </row>
    <row r="818" spans="3:3" ht="21" customHeight="1" x14ac:dyDescent="0.2">
      <c r="C818" s="10"/>
    </row>
    <row r="819" spans="3:3" ht="21" customHeight="1" x14ac:dyDescent="0.2">
      <c r="C819" s="10"/>
    </row>
    <row r="820" spans="3:3" ht="21" customHeight="1" x14ac:dyDescent="0.2">
      <c r="C820" s="10"/>
    </row>
    <row r="821" spans="3:3" ht="21" customHeight="1" x14ac:dyDescent="0.2">
      <c r="C821" s="10"/>
    </row>
    <row r="822" spans="3:3" ht="21" customHeight="1" x14ac:dyDescent="0.2">
      <c r="C822" s="10"/>
    </row>
    <row r="823" spans="3:3" ht="21" customHeight="1" x14ac:dyDescent="0.2">
      <c r="C823" s="10"/>
    </row>
    <row r="824" spans="3:3" ht="21" customHeight="1" x14ac:dyDescent="0.2">
      <c r="C824" s="10"/>
    </row>
    <row r="825" spans="3:3" ht="21" customHeight="1" x14ac:dyDescent="0.2">
      <c r="C825" s="10"/>
    </row>
    <row r="826" spans="3:3" ht="21" customHeight="1" x14ac:dyDescent="0.2">
      <c r="C826" s="10"/>
    </row>
    <row r="827" spans="3:3" ht="21" customHeight="1" x14ac:dyDescent="0.2">
      <c r="C827" s="10"/>
    </row>
    <row r="828" spans="3:3" ht="21" customHeight="1" x14ac:dyDescent="0.2">
      <c r="C828" s="10"/>
    </row>
    <row r="829" spans="3:3" ht="21" customHeight="1" x14ac:dyDescent="0.2">
      <c r="C829" s="10"/>
    </row>
    <row r="830" spans="3:3" ht="21" customHeight="1" x14ac:dyDescent="0.2">
      <c r="C830" s="10"/>
    </row>
    <row r="831" spans="3:3" ht="21" customHeight="1" x14ac:dyDescent="0.2">
      <c r="C831" s="10"/>
    </row>
    <row r="832" spans="3:3" ht="21" customHeight="1" x14ac:dyDescent="0.2">
      <c r="C832" s="10"/>
    </row>
    <row r="833" spans="3:3" ht="21" customHeight="1" x14ac:dyDescent="0.2">
      <c r="C833" s="10"/>
    </row>
    <row r="834" spans="3:3" ht="21" customHeight="1" x14ac:dyDescent="0.2">
      <c r="C834" s="10"/>
    </row>
    <row r="835" spans="3:3" ht="21" customHeight="1" x14ac:dyDescent="0.2">
      <c r="C835" s="10"/>
    </row>
    <row r="836" spans="3:3" ht="21" customHeight="1" x14ac:dyDescent="0.2">
      <c r="C836" s="10"/>
    </row>
    <row r="837" spans="3:3" ht="21" customHeight="1" x14ac:dyDescent="0.2">
      <c r="C837" s="10"/>
    </row>
    <row r="838" spans="3:3" ht="21" customHeight="1" x14ac:dyDescent="0.2">
      <c r="C838" s="10"/>
    </row>
    <row r="839" spans="3:3" ht="21" customHeight="1" x14ac:dyDescent="0.2">
      <c r="C839" s="10"/>
    </row>
    <row r="840" spans="3:3" ht="21" customHeight="1" x14ac:dyDescent="0.2">
      <c r="C840" s="10"/>
    </row>
    <row r="841" spans="3:3" ht="21" customHeight="1" x14ac:dyDescent="0.2">
      <c r="C841" s="10"/>
    </row>
    <row r="842" spans="3:3" ht="21" customHeight="1" x14ac:dyDescent="0.2">
      <c r="C842" s="10"/>
    </row>
    <row r="843" spans="3:3" ht="21" customHeight="1" x14ac:dyDescent="0.2">
      <c r="C843" s="10"/>
    </row>
    <row r="844" spans="3:3" ht="21" customHeight="1" x14ac:dyDescent="0.2">
      <c r="C844" s="10"/>
    </row>
    <row r="845" spans="3:3" ht="21" customHeight="1" x14ac:dyDescent="0.2">
      <c r="C845" s="10"/>
    </row>
    <row r="846" spans="3:3" ht="21" customHeight="1" x14ac:dyDescent="0.2">
      <c r="C846" s="10"/>
    </row>
    <row r="847" spans="3:3" ht="21" customHeight="1" x14ac:dyDescent="0.2">
      <c r="C847" s="10"/>
    </row>
    <row r="848" spans="3:3" ht="21" customHeight="1" x14ac:dyDescent="0.2">
      <c r="C848" s="10"/>
    </row>
    <row r="849" spans="3:3" ht="21" customHeight="1" x14ac:dyDescent="0.2">
      <c r="C849" s="10"/>
    </row>
    <row r="850" spans="3:3" ht="21" customHeight="1" x14ac:dyDescent="0.2">
      <c r="C850" s="10"/>
    </row>
    <row r="851" spans="3:3" ht="21" customHeight="1" x14ac:dyDescent="0.2">
      <c r="C851" s="10"/>
    </row>
    <row r="852" spans="3:3" ht="21" customHeight="1" x14ac:dyDescent="0.2">
      <c r="C852" s="10"/>
    </row>
    <row r="853" spans="3:3" ht="21" customHeight="1" x14ac:dyDescent="0.2">
      <c r="C853" s="10"/>
    </row>
    <row r="854" spans="3:3" ht="21" customHeight="1" x14ac:dyDescent="0.2">
      <c r="C854" s="10"/>
    </row>
    <row r="855" spans="3:3" ht="21" customHeight="1" x14ac:dyDescent="0.2">
      <c r="C855" s="10"/>
    </row>
    <row r="856" spans="3:3" ht="21" customHeight="1" x14ac:dyDescent="0.2">
      <c r="C856" s="10"/>
    </row>
    <row r="857" spans="3:3" ht="21" customHeight="1" x14ac:dyDescent="0.2">
      <c r="C857" s="10"/>
    </row>
    <row r="858" spans="3:3" ht="21" customHeight="1" x14ac:dyDescent="0.2">
      <c r="C858" s="10"/>
    </row>
    <row r="859" spans="3:3" ht="21" customHeight="1" x14ac:dyDescent="0.2">
      <c r="C859" s="10"/>
    </row>
    <row r="860" spans="3:3" ht="21" customHeight="1" x14ac:dyDescent="0.2">
      <c r="C860" s="10"/>
    </row>
    <row r="861" spans="3:3" ht="21" customHeight="1" x14ac:dyDescent="0.2">
      <c r="C861" s="10"/>
    </row>
    <row r="862" spans="3:3" ht="21" customHeight="1" x14ac:dyDescent="0.2">
      <c r="C862" s="10"/>
    </row>
    <row r="863" spans="3:3" ht="21" customHeight="1" x14ac:dyDescent="0.2">
      <c r="C863" s="10"/>
    </row>
    <row r="864" spans="3:3" ht="21" customHeight="1" x14ac:dyDescent="0.2">
      <c r="C864" s="10"/>
    </row>
    <row r="865" spans="3:3" ht="21" customHeight="1" x14ac:dyDescent="0.2">
      <c r="C865" s="10"/>
    </row>
    <row r="866" spans="3:3" ht="21" customHeight="1" x14ac:dyDescent="0.2">
      <c r="C866" s="10"/>
    </row>
    <row r="867" spans="3:3" ht="21" customHeight="1" x14ac:dyDescent="0.2">
      <c r="C867" s="10"/>
    </row>
    <row r="868" spans="3:3" ht="21" customHeight="1" x14ac:dyDescent="0.2">
      <c r="C868" s="10"/>
    </row>
    <row r="869" spans="3:3" ht="21" customHeight="1" x14ac:dyDescent="0.2">
      <c r="C869" s="10"/>
    </row>
    <row r="870" spans="3:3" ht="21" customHeight="1" x14ac:dyDescent="0.2">
      <c r="C870" s="10"/>
    </row>
    <row r="871" spans="3:3" ht="21" customHeight="1" x14ac:dyDescent="0.2">
      <c r="C871" s="10"/>
    </row>
    <row r="872" spans="3:3" ht="21" customHeight="1" x14ac:dyDescent="0.2">
      <c r="C872" s="10"/>
    </row>
    <row r="873" spans="3:3" ht="21" customHeight="1" x14ac:dyDescent="0.2">
      <c r="C873" s="10"/>
    </row>
    <row r="874" spans="3:3" ht="21" customHeight="1" x14ac:dyDescent="0.2">
      <c r="C874" s="10"/>
    </row>
    <row r="875" spans="3:3" ht="21" customHeight="1" x14ac:dyDescent="0.2">
      <c r="C875" s="10"/>
    </row>
    <row r="876" spans="3:3" ht="21" customHeight="1" x14ac:dyDescent="0.2">
      <c r="C876" s="10"/>
    </row>
    <row r="877" spans="3:3" ht="21" customHeight="1" x14ac:dyDescent="0.2">
      <c r="C877" s="10"/>
    </row>
    <row r="878" spans="3:3" ht="21" customHeight="1" x14ac:dyDescent="0.2">
      <c r="C878" s="10"/>
    </row>
    <row r="879" spans="3:3" ht="21" customHeight="1" x14ac:dyDescent="0.2">
      <c r="C879" s="10"/>
    </row>
    <row r="880" spans="3:3" ht="21" customHeight="1" x14ac:dyDescent="0.2">
      <c r="C880" s="10"/>
    </row>
    <row r="881" spans="3:3" ht="21" customHeight="1" x14ac:dyDescent="0.2">
      <c r="C881" s="10"/>
    </row>
    <row r="882" spans="3:3" ht="21" customHeight="1" x14ac:dyDescent="0.2">
      <c r="C882" s="10"/>
    </row>
    <row r="883" spans="3:3" ht="21" customHeight="1" x14ac:dyDescent="0.2">
      <c r="C883" s="10"/>
    </row>
    <row r="884" spans="3:3" ht="21" customHeight="1" x14ac:dyDescent="0.2">
      <c r="C884" s="10"/>
    </row>
    <row r="885" spans="3:3" ht="21" customHeight="1" x14ac:dyDescent="0.2">
      <c r="C885" s="10"/>
    </row>
    <row r="886" spans="3:3" ht="21" customHeight="1" x14ac:dyDescent="0.2">
      <c r="C886" s="10"/>
    </row>
    <row r="887" spans="3:3" ht="21" customHeight="1" x14ac:dyDescent="0.2">
      <c r="C887" s="10"/>
    </row>
    <row r="888" spans="3:3" ht="21" customHeight="1" x14ac:dyDescent="0.2">
      <c r="C888" s="10"/>
    </row>
    <row r="889" spans="3:3" ht="21" customHeight="1" x14ac:dyDescent="0.2">
      <c r="C889" s="10"/>
    </row>
    <row r="890" spans="3:3" ht="21" customHeight="1" x14ac:dyDescent="0.2">
      <c r="C890" s="10"/>
    </row>
    <row r="891" spans="3:3" ht="21" customHeight="1" x14ac:dyDescent="0.2">
      <c r="C891" s="10"/>
    </row>
    <row r="892" spans="3:3" ht="21" customHeight="1" x14ac:dyDescent="0.2">
      <c r="C892" s="10"/>
    </row>
    <row r="893" spans="3:3" ht="21" customHeight="1" x14ac:dyDescent="0.2">
      <c r="C893" s="10"/>
    </row>
    <row r="894" spans="3:3" ht="21" customHeight="1" x14ac:dyDescent="0.2">
      <c r="C894" s="10"/>
    </row>
    <row r="895" spans="3:3" ht="21" customHeight="1" x14ac:dyDescent="0.2">
      <c r="C895" s="10"/>
    </row>
    <row r="896" spans="3:3" ht="21" customHeight="1" x14ac:dyDescent="0.2">
      <c r="C896" s="10"/>
    </row>
    <row r="897" spans="3:3" ht="21" customHeight="1" x14ac:dyDescent="0.2">
      <c r="C897" s="10"/>
    </row>
    <row r="898" spans="3:3" ht="21" customHeight="1" x14ac:dyDescent="0.2">
      <c r="C898" s="10"/>
    </row>
    <row r="899" spans="3:3" ht="21" customHeight="1" x14ac:dyDescent="0.2">
      <c r="C899" s="10"/>
    </row>
    <row r="900" spans="3:3" ht="21" customHeight="1" x14ac:dyDescent="0.2">
      <c r="C900" s="10"/>
    </row>
    <row r="901" spans="3:3" ht="21" customHeight="1" x14ac:dyDescent="0.2">
      <c r="C901" s="10"/>
    </row>
    <row r="902" spans="3:3" ht="21" customHeight="1" x14ac:dyDescent="0.2">
      <c r="C902" s="10"/>
    </row>
    <row r="903" spans="3:3" ht="21" customHeight="1" x14ac:dyDescent="0.2">
      <c r="C903" s="10"/>
    </row>
    <row r="904" spans="3:3" ht="21" customHeight="1" x14ac:dyDescent="0.2">
      <c r="C904" s="10"/>
    </row>
    <row r="905" spans="3:3" ht="21" customHeight="1" x14ac:dyDescent="0.2">
      <c r="C905" s="10"/>
    </row>
    <row r="906" spans="3:3" ht="21" customHeight="1" x14ac:dyDescent="0.2">
      <c r="C906" s="10"/>
    </row>
    <row r="907" spans="3:3" ht="21" customHeight="1" x14ac:dyDescent="0.2">
      <c r="C907" s="10"/>
    </row>
    <row r="908" spans="3:3" ht="21" customHeight="1" x14ac:dyDescent="0.2">
      <c r="C908" s="10"/>
    </row>
    <row r="909" spans="3:3" ht="21" customHeight="1" x14ac:dyDescent="0.2">
      <c r="C909" s="10"/>
    </row>
    <row r="910" spans="3:3" ht="21" customHeight="1" x14ac:dyDescent="0.2">
      <c r="C910" s="10"/>
    </row>
    <row r="911" spans="3:3" ht="21" customHeight="1" x14ac:dyDescent="0.2">
      <c r="C911" s="10"/>
    </row>
    <row r="912" spans="3:3" ht="21" customHeight="1" x14ac:dyDescent="0.2">
      <c r="C912" s="10"/>
    </row>
    <row r="913" spans="3:3" ht="21" customHeight="1" x14ac:dyDescent="0.2">
      <c r="C913" s="10"/>
    </row>
    <row r="914" spans="3:3" ht="21" customHeight="1" x14ac:dyDescent="0.2">
      <c r="C914" s="10"/>
    </row>
    <row r="915" spans="3:3" ht="21" customHeight="1" x14ac:dyDescent="0.2">
      <c r="C915" s="10"/>
    </row>
    <row r="916" spans="3:3" ht="21" customHeight="1" x14ac:dyDescent="0.2">
      <c r="C916" s="10"/>
    </row>
    <row r="917" spans="3:3" ht="21" customHeight="1" x14ac:dyDescent="0.2">
      <c r="C917" s="10"/>
    </row>
    <row r="918" spans="3:3" ht="21" customHeight="1" x14ac:dyDescent="0.2">
      <c r="C918" s="10"/>
    </row>
    <row r="919" spans="3:3" ht="21" customHeight="1" x14ac:dyDescent="0.2">
      <c r="C919" s="10"/>
    </row>
    <row r="920" spans="3:3" ht="21" customHeight="1" x14ac:dyDescent="0.2">
      <c r="C920" s="10"/>
    </row>
    <row r="921" spans="3:3" ht="21" customHeight="1" x14ac:dyDescent="0.2">
      <c r="C921" s="10"/>
    </row>
    <row r="922" spans="3:3" ht="21" customHeight="1" x14ac:dyDescent="0.2">
      <c r="C922" s="10"/>
    </row>
    <row r="923" spans="3:3" ht="21" customHeight="1" x14ac:dyDescent="0.2">
      <c r="C923" s="10"/>
    </row>
    <row r="924" spans="3:3" ht="21" customHeight="1" x14ac:dyDescent="0.2">
      <c r="C924" s="10"/>
    </row>
    <row r="925" spans="3:3" ht="21" customHeight="1" x14ac:dyDescent="0.2">
      <c r="C925" s="10"/>
    </row>
    <row r="926" spans="3:3" ht="21" customHeight="1" x14ac:dyDescent="0.2">
      <c r="C926" s="10"/>
    </row>
    <row r="927" spans="3:3" ht="21" customHeight="1" x14ac:dyDescent="0.2">
      <c r="C927" s="10"/>
    </row>
    <row r="928" spans="3:3" ht="21" customHeight="1" x14ac:dyDescent="0.2">
      <c r="C928" s="10"/>
    </row>
    <row r="929" spans="3:3" ht="21" customHeight="1" x14ac:dyDescent="0.2">
      <c r="C929" s="10"/>
    </row>
    <row r="930" spans="3:3" ht="21" customHeight="1" x14ac:dyDescent="0.2">
      <c r="C930" s="10"/>
    </row>
    <row r="931" spans="3:3" ht="21" customHeight="1" x14ac:dyDescent="0.2">
      <c r="C931" s="10"/>
    </row>
    <row r="932" spans="3:3" ht="21" customHeight="1" x14ac:dyDescent="0.2">
      <c r="C932" s="10"/>
    </row>
    <row r="933" spans="3:3" ht="21" customHeight="1" x14ac:dyDescent="0.2">
      <c r="C933" s="10"/>
    </row>
    <row r="934" spans="3:3" ht="21" customHeight="1" x14ac:dyDescent="0.2">
      <c r="C934" s="10"/>
    </row>
    <row r="935" spans="3:3" ht="21" customHeight="1" x14ac:dyDescent="0.2">
      <c r="C935" s="10"/>
    </row>
    <row r="936" spans="3:3" ht="21" customHeight="1" x14ac:dyDescent="0.2">
      <c r="C936" s="10"/>
    </row>
    <row r="937" spans="3:3" ht="21" customHeight="1" x14ac:dyDescent="0.2">
      <c r="C937" s="10"/>
    </row>
    <row r="938" spans="3:3" ht="21" customHeight="1" x14ac:dyDescent="0.2">
      <c r="C938" s="10"/>
    </row>
    <row r="939" spans="3:3" ht="21" customHeight="1" x14ac:dyDescent="0.2">
      <c r="C939" s="10"/>
    </row>
    <row r="940" spans="3:3" ht="21" customHeight="1" x14ac:dyDescent="0.2">
      <c r="C940" s="10"/>
    </row>
    <row r="941" spans="3:3" ht="21" customHeight="1" x14ac:dyDescent="0.2">
      <c r="C941" s="10"/>
    </row>
    <row r="942" spans="3:3" ht="21" customHeight="1" x14ac:dyDescent="0.2">
      <c r="C942" s="10"/>
    </row>
    <row r="943" spans="3:3" ht="21" customHeight="1" x14ac:dyDescent="0.2">
      <c r="C943" s="10"/>
    </row>
    <row r="944" spans="3:3" ht="21" customHeight="1" x14ac:dyDescent="0.2">
      <c r="C944" s="10"/>
    </row>
    <row r="945" spans="3:3" ht="21" customHeight="1" x14ac:dyDescent="0.2">
      <c r="C945" s="10"/>
    </row>
    <row r="946" spans="3:3" ht="21" customHeight="1" x14ac:dyDescent="0.2">
      <c r="C946" s="10"/>
    </row>
    <row r="947" spans="3:3" ht="21" customHeight="1" x14ac:dyDescent="0.2">
      <c r="C947" s="10"/>
    </row>
    <row r="948" spans="3:3" ht="21" customHeight="1" x14ac:dyDescent="0.2">
      <c r="C948" s="10"/>
    </row>
    <row r="949" spans="3:3" ht="21" customHeight="1" x14ac:dyDescent="0.2">
      <c r="C949" s="10"/>
    </row>
    <row r="950" spans="3:3" ht="21" customHeight="1" x14ac:dyDescent="0.2">
      <c r="C950" s="10"/>
    </row>
    <row r="951" spans="3:3" ht="21" customHeight="1" x14ac:dyDescent="0.2">
      <c r="C951" s="10"/>
    </row>
    <row r="952" spans="3:3" ht="21" customHeight="1" x14ac:dyDescent="0.2">
      <c r="C952" s="10"/>
    </row>
    <row r="953" spans="3:3" ht="21" customHeight="1" x14ac:dyDescent="0.2">
      <c r="C953" s="10"/>
    </row>
    <row r="954" spans="3:3" ht="21" customHeight="1" x14ac:dyDescent="0.2">
      <c r="C954" s="10"/>
    </row>
    <row r="955" spans="3:3" ht="21" customHeight="1" x14ac:dyDescent="0.2">
      <c r="C955" s="10"/>
    </row>
    <row r="956" spans="3:3" ht="21" customHeight="1" x14ac:dyDescent="0.2">
      <c r="C956" s="10"/>
    </row>
    <row r="957" spans="3:3" ht="21" customHeight="1" x14ac:dyDescent="0.2">
      <c r="C957" s="10"/>
    </row>
    <row r="958" spans="3:3" ht="21" customHeight="1" x14ac:dyDescent="0.2">
      <c r="C958" s="10"/>
    </row>
    <row r="959" spans="3:3" ht="21" customHeight="1" x14ac:dyDescent="0.2">
      <c r="C959" s="10"/>
    </row>
    <row r="960" spans="3:3" ht="21" customHeight="1" x14ac:dyDescent="0.2">
      <c r="C960" s="10"/>
    </row>
    <row r="961" spans="3:3" ht="21" customHeight="1" x14ac:dyDescent="0.2">
      <c r="C961" s="10"/>
    </row>
    <row r="962" spans="3:3" ht="21" customHeight="1" x14ac:dyDescent="0.2">
      <c r="C962" s="10"/>
    </row>
    <row r="963" spans="3:3" ht="21" customHeight="1" x14ac:dyDescent="0.2">
      <c r="C963" s="10"/>
    </row>
    <row r="964" spans="3:3" ht="21" customHeight="1" x14ac:dyDescent="0.2">
      <c r="C964" s="10"/>
    </row>
    <row r="965" spans="3:3" ht="21" customHeight="1" x14ac:dyDescent="0.2">
      <c r="C965" s="10"/>
    </row>
    <row r="966" spans="3:3" ht="21" customHeight="1" x14ac:dyDescent="0.2">
      <c r="C966" s="10"/>
    </row>
    <row r="967" spans="3:3" ht="21" customHeight="1" x14ac:dyDescent="0.2">
      <c r="C967" s="10"/>
    </row>
    <row r="968" spans="3:3" ht="21" customHeight="1" x14ac:dyDescent="0.2">
      <c r="C968" s="10"/>
    </row>
    <row r="969" spans="3:3" ht="21" customHeight="1" x14ac:dyDescent="0.2">
      <c r="C969" s="10"/>
    </row>
    <row r="970" spans="3:3" ht="21" customHeight="1" x14ac:dyDescent="0.2">
      <c r="C970" s="10"/>
    </row>
    <row r="971" spans="3:3" ht="21" customHeight="1" x14ac:dyDescent="0.2">
      <c r="C971" s="10"/>
    </row>
    <row r="972" spans="3:3" ht="21" customHeight="1" x14ac:dyDescent="0.2">
      <c r="C972" s="10"/>
    </row>
    <row r="973" spans="3:3" ht="21" customHeight="1" x14ac:dyDescent="0.2">
      <c r="C973" s="10"/>
    </row>
    <row r="974" spans="3:3" ht="21" customHeight="1" x14ac:dyDescent="0.2">
      <c r="C974" s="10"/>
    </row>
    <row r="975" spans="3:3" ht="21" customHeight="1" x14ac:dyDescent="0.2">
      <c r="C975" s="10"/>
    </row>
    <row r="976" spans="3:3" ht="21" customHeight="1" x14ac:dyDescent="0.2">
      <c r="C976" s="10"/>
    </row>
    <row r="977" spans="3:3" ht="21" customHeight="1" x14ac:dyDescent="0.2">
      <c r="C977" s="10"/>
    </row>
    <row r="978" spans="3:3" ht="21" customHeight="1" x14ac:dyDescent="0.2">
      <c r="C978" s="10"/>
    </row>
    <row r="979" spans="3:3" ht="21" customHeight="1" x14ac:dyDescent="0.2">
      <c r="C979" s="10"/>
    </row>
    <row r="980" spans="3:3" ht="21" customHeight="1" x14ac:dyDescent="0.2">
      <c r="C980" s="10"/>
    </row>
    <row r="981" spans="3:3" ht="21" customHeight="1" x14ac:dyDescent="0.2">
      <c r="C981" s="10"/>
    </row>
    <row r="982" spans="3:3" ht="21" customHeight="1" x14ac:dyDescent="0.2">
      <c r="C982" s="10"/>
    </row>
    <row r="983" spans="3:3" ht="21" customHeight="1" x14ac:dyDescent="0.2">
      <c r="C983" s="10"/>
    </row>
    <row r="984" spans="3:3" ht="21" customHeight="1" x14ac:dyDescent="0.2">
      <c r="C984" s="10"/>
    </row>
    <row r="985" spans="3:3" ht="21" customHeight="1" x14ac:dyDescent="0.2">
      <c r="C985" s="10"/>
    </row>
    <row r="986" spans="3:3" ht="21" customHeight="1" x14ac:dyDescent="0.2">
      <c r="C986" s="10"/>
    </row>
    <row r="987" spans="3:3" ht="21" customHeight="1" x14ac:dyDescent="0.2">
      <c r="C987" s="10"/>
    </row>
    <row r="988" spans="3:3" ht="21" customHeight="1" x14ac:dyDescent="0.2">
      <c r="C988" s="10"/>
    </row>
    <row r="989" spans="3:3" ht="21" customHeight="1" x14ac:dyDescent="0.2">
      <c r="C989" s="10"/>
    </row>
    <row r="990" spans="3:3" ht="21" customHeight="1" x14ac:dyDescent="0.2">
      <c r="C990" s="10"/>
    </row>
    <row r="991" spans="3:3" ht="21" customHeight="1" x14ac:dyDescent="0.2">
      <c r="C991" s="10"/>
    </row>
    <row r="992" spans="3:3" ht="21" customHeight="1" x14ac:dyDescent="0.2">
      <c r="C992" s="10"/>
    </row>
    <row r="993" spans="3:3" ht="21" customHeight="1" x14ac:dyDescent="0.2">
      <c r="C993" s="10"/>
    </row>
    <row r="994" spans="3:3" ht="21" customHeight="1" x14ac:dyDescent="0.2">
      <c r="C994" s="10"/>
    </row>
    <row r="995" spans="3:3" ht="21" customHeight="1" x14ac:dyDescent="0.2">
      <c r="C995" s="10"/>
    </row>
    <row r="996" spans="3:3" ht="21" customHeight="1" x14ac:dyDescent="0.2">
      <c r="C996" s="10"/>
    </row>
    <row r="997" spans="3:3" ht="21" customHeight="1" x14ac:dyDescent="0.2">
      <c r="C997" s="10"/>
    </row>
    <row r="998" spans="3:3" ht="21" customHeight="1" x14ac:dyDescent="0.2">
      <c r="C998" s="10"/>
    </row>
    <row r="999" spans="3:3" ht="21" customHeight="1" x14ac:dyDescent="0.2">
      <c r="C999" s="10"/>
    </row>
    <row r="1000" spans="3:3" ht="21" customHeight="1" x14ac:dyDescent="0.2">
      <c r="C1000" s="1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87B7B"/>
  </sheetPr>
  <dimension ref="A1:M145"/>
  <sheetViews>
    <sheetView showGridLines="0" tabSelected="1" topLeftCell="E1" zoomScale="50" workbookViewId="0">
      <pane ySplit="1" topLeftCell="A45" activePane="bottomLeft" state="frozen"/>
      <selection pane="bottomLeft" activeCell="K14" sqref="K14"/>
    </sheetView>
  </sheetViews>
  <sheetFormatPr baseColWidth="10" defaultColWidth="8.83203125" defaultRowHeight="15" x14ac:dyDescent="0.2"/>
  <cols>
    <col min="1" max="1" width="7" customWidth="1"/>
    <col min="2" max="2" width="14" customWidth="1"/>
    <col min="3" max="3" width="12" customWidth="1"/>
    <col min="4" max="4" width="54" customWidth="1"/>
    <col min="5" max="5" width="43" customWidth="1"/>
    <col min="6" max="6" width="85" customWidth="1"/>
    <col min="7" max="7" width="34" customWidth="1"/>
    <col min="8" max="8" width="32" customWidth="1"/>
    <col min="9" max="9" width="67" customWidth="1"/>
    <col min="10" max="10" width="23" customWidth="1"/>
    <col min="11" max="12" width="52" customWidth="1"/>
    <col min="13" max="13" width="70" customWidth="1"/>
  </cols>
  <sheetData>
    <row r="1" spans="1:13" ht="33" customHeight="1" x14ac:dyDescent="0.2">
      <c r="A1" s="11" t="s">
        <v>1646</v>
      </c>
      <c r="B1" s="11" t="s">
        <v>1647</v>
      </c>
      <c r="C1" s="11" t="s">
        <v>1648</v>
      </c>
      <c r="D1" s="11" t="s">
        <v>1649</v>
      </c>
      <c r="E1" s="11" t="s">
        <v>1650</v>
      </c>
      <c r="F1" s="11" t="s">
        <v>1651</v>
      </c>
      <c r="G1" s="11" t="s">
        <v>1652</v>
      </c>
      <c r="H1" s="11" t="s">
        <v>1653</v>
      </c>
      <c r="I1" s="11" t="s">
        <v>1654</v>
      </c>
      <c r="J1" s="11" t="s">
        <v>1655</v>
      </c>
      <c r="K1" s="11" t="s">
        <v>1656</v>
      </c>
      <c r="L1" s="11" t="s">
        <v>1657</v>
      </c>
      <c r="M1" s="11" t="s">
        <v>1658</v>
      </c>
    </row>
    <row r="2" spans="1:13" ht="55" customHeight="1" x14ac:dyDescent="0.2">
      <c r="A2" s="12">
        <v>1</v>
      </c>
      <c r="B2" s="12">
        <v>184173</v>
      </c>
      <c r="C2" s="12" t="s">
        <v>415</v>
      </c>
      <c r="D2" s="12" t="s">
        <v>598</v>
      </c>
      <c r="E2" s="12" t="s">
        <v>599</v>
      </c>
      <c r="F2" s="12" t="s">
        <v>600</v>
      </c>
      <c r="G2" s="12" t="s">
        <v>453</v>
      </c>
      <c r="H2" s="12" t="s">
        <v>1659</v>
      </c>
      <c r="I2" s="12" t="s">
        <v>1660</v>
      </c>
      <c r="J2" s="13" t="s">
        <v>1661</v>
      </c>
      <c r="K2" s="12"/>
      <c r="L2" s="12" t="s">
        <v>1662</v>
      </c>
      <c r="M2" s="12" t="s">
        <v>1660</v>
      </c>
    </row>
    <row r="3" spans="1:13" ht="55" customHeight="1" x14ac:dyDescent="0.2">
      <c r="A3" s="12">
        <v>2</v>
      </c>
      <c r="B3" s="12">
        <v>196054</v>
      </c>
      <c r="C3" s="12" t="s">
        <v>11</v>
      </c>
      <c r="D3" s="12" t="s">
        <v>42</v>
      </c>
      <c r="E3" s="12" t="s">
        <v>43</v>
      </c>
      <c r="F3" s="12" t="s">
        <v>44</v>
      </c>
      <c r="G3" s="12" t="s">
        <v>46</v>
      </c>
      <c r="H3" s="12" t="s">
        <v>1663</v>
      </c>
      <c r="I3" s="12" t="s">
        <v>1664</v>
      </c>
      <c r="J3" s="13" t="s">
        <v>1665</v>
      </c>
      <c r="K3" s="12"/>
      <c r="L3" s="12" t="s">
        <v>1666</v>
      </c>
      <c r="M3" s="12" t="s">
        <v>1664</v>
      </c>
    </row>
    <row r="4" spans="1:13" ht="55" customHeight="1" x14ac:dyDescent="0.2">
      <c r="A4" s="12">
        <v>3</v>
      </c>
      <c r="B4" s="12">
        <v>201015</v>
      </c>
      <c r="C4" s="12" t="s">
        <v>1178</v>
      </c>
      <c r="D4" s="12" t="s">
        <v>1324</v>
      </c>
      <c r="E4" s="12" t="s">
        <v>1325</v>
      </c>
      <c r="F4" s="12" t="s">
        <v>1326</v>
      </c>
      <c r="G4" s="12" t="s">
        <v>26</v>
      </c>
      <c r="H4" s="12" t="s">
        <v>1667</v>
      </c>
      <c r="I4" s="12" t="s">
        <v>1668</v>
      </c>
      <c r="J4" s="13" t="s">
        <v>1661</v>
      </c>
      <c r="K4" s="12"/>
      <c r="L4" s="12" t="s">
        <v>1669</v>
      </c>
      <c r="M4" s="12" t="s">
        <v>1668</v>
      </c>
    </row>
    <row r="5" spans="1:13" ht="55" customHeight="1" x14ac:dyDescent="0.2">
      <c r="A5" s="12">
        <v>4</v>
      </c>
      <c r="B5" s="12">
        <v>204798</v>
      </c>
      <c r="C5" s="12" t="s">
        <v>415</v>
      </c>
      <c r="D5" s="12" t="s">
        <v>644</v>
      </c>
      <c r="E5" s="12" t="s">
        <v>645</v>
      </c>
      <c r="F5" s="12" t="s">
        <v>646</v>
      </c>
      <c r="G5" s="12" t="s">
        <v>26</v>
      </c>
      <c r="H5" s="12" t="s">
        <v>1670</v>
      </c>
      <c r="I5" s="12" t="s">
        <v>1671</v>
      </c>
      <c r="J5" s="13" t="s">
        <v>1661</v>
      </c>
      <c r="K5" s="12"/>
      <c r="L5" s="12" t="s">
        <v>1672</v>
      </c>
      <c r="M5" s="12" t="s">
        <v>1671</v>
      </c>
    </row>
    <row r="6" spans="1:13" ht="55" customHeight="1" x14ac:dyDescent="0.2">
      <c r="A6" s="12">
        <v>5</v>
      </c>
      <c r="B6" s="12">
        <v>205978</v>
      </c>
      <c r="C6" s="12" t="s">
        <v>1178</v>
      </c>
      <c r="D6" s="12" t="s">
        <v>1340</v>
      </c>
      <c r="E6" s="12" t="s">
        <v>1341</v>
      </c>
      <c r="F6" s="12" t="s">
        <v>1342</v>
      </c>
      <c r="G6" s="12" t="s">
        <v>1344</v>
      </c>
      <c r="H6" s="12" t="s">
        <v>1673</v>
      </c>
      <c r="I6" s="12" t="s">
        <v>1674</v>
      </c>
      <c r="J6" s="13" t="s">
        <v>1661</v>
      </c>
      <c r="K6" s="12"/>
      <c r="L6" s="12" t="s">
        <v>1675</v>
      </c>
      <c r="M6" s="12" t="s">
        <v>1674</v>
      </c>
    </row>
    <row r="7" spans="1:13" ht="55" customHeight="1" x14ac:dyDescent="0.2">
      <c r="A7" s="12">
        <v>6</v>
      </c>
      <c r="B7" s="12">
        <v>206255</v>
      </c>
      <c r="C7" s="12" t="s">
        <v>666</v>
      </c>
      <c r="D7" s="12" t="s">
        <v>765</v>
      </c>
      <c r="E7" s="12" t="s">
        <v>766</v>
      </c>
      <c r="F7" s="12" t="s">
        <v>767</v>
      </c>
      <c r="G7" s="12" t="s">
        <v>26</v>
      </c>
      <c r="H7" s="12" t="s">
        <v>1560</v>
      </c>
      <c r="I7" s="12" t="s">
        <v>1676</v>
      </c>
      <c r="J7" s="13" t="s">
        <v>1661</v>
      </c>
      <c r="K7" s="12"/>
      <c r="L7" s="12" t="s">
        <v>1677</v>
      </c>
      <c r="M7" s="12" t="s">
        <v>1676</v>
      </c>
    </row>
    <row r="8" spans="1:13" ht="55" customHeight="1" x14ac:dyDescent="0.2">
      <c r="A8" s="12">
        <v>7</v>
      </c>
      <c r="B8" s="12">
        <v>209976</v>
      </c>
      <c r="C8" s="12" t="s">
        <v>415</v>
      </c>
      <c r="D8" s="12" t="s">
        <v>615</v>
      </c>
      <c r="E8" s="12" t="s">
        <v>616</v>
      </c>
      <c r="F8" s="12" t="s">
        <v>617</v>
      </c>
      <c r="G8" s="12" t="s">
        <v>36</v>
      </c>
      <c r="H8" s="12" t="s">
        <v>1678</v>
      </c>
      <c r="I8" s="12" t="s">
        <v>1679</v>
      </c>
      <c r="J8" s="13" t="s">
        <v>1661</v>
      </c>
      <c r="K8" s="12"/>
      <c r="L8" s="12" t="s">
        <v>1680</v>
      </c>
      <c r="M8" s="12" t="s">
        <v>1679</v>
      </c>
    </row>
    <row r="9" spans="1:13" ht="55" customHeight="1" x14ac:dyDescent="0.2">
      <c r="A9" s="12">
        <v>8</v>
      </c>
      <c r="B9" s="12">
        <v>223320</v>
      </c>
      <c r="C9" s="12" t="s">
        <v>666</v>
      </c>
      <c r="D9" s="12" t="s">
        <v>777</v>
      </c>
      <c r="E9" s="12" t="s">
        <v>778</v>
      </c>
      <c r="F9" s="12" t="s">
        <v>779</v>
      </c>
      <c r="G9" s="12" t="s">
        <v>70</v>
      </c>
      <c r="H9" s="12" t="s">
        <v>1681</v>
      </c>
      <c r="I9" s="12" t="s">
        <v>1682</v>
      </c>
      <c r="J9" s="13" t="s">
        <v>1665</v>
      </c>
      <c r="K9" s="12"/>
      <c r="L9" s="12" t="s">
        <v>1683</v>
      </c>
      <c r="M9" s="12" t="s">
        <v>1682</v>
      </c>
    </row>
    <row r="10" spans="1:13" ht="55" customHeight="1" x14ac:dyDescent="0.2">
      <c r="A10" s="12">
        <v>9</v>
      </c>
      <c r="B10" s="12">
        <v>228540</v>
      </c>
      <c r="C10" s="12" t="s">
        <v>415</v>
      </c>
      <c r="D10" s="12" t="s">
        <v>470</v>
      </c>
      <c r="E10" s="12" t="s">
        <v>471</v>
      </c>
      <c r="F10" s="12" t="s">
        <v>472</v>
      </c>
      <c r="G10" s="12" t="s">
        <v>474</v>
      </c>
      <c r="H10" s="12" t="s">
        <v>1684</v>
      </c>
      <c r="I10" s="12" t="s">
        <v>1685</v>
      </c>
      <c r="J10" s="13" t="s">
        <v>1661</v>
      </c>
      <c r="K10" s="12"/>
      <c r="L10" s="12" t="s">
        <v>1686</v>
      </c>
      <c r="M10" s="12" t="s">
        <v>1685</v>
      </c>
    </row>
    <row r="11" spans="1:13" ht="55" customHeight="1" x14ac:dyDescent="0.2">
      <c r="A11" s="12">
        <v>10</v>
      </c>
      <c r="B11" s="12">
        <v>228798</v>
      </c>
      <c r="C11" s="12" t="s">
        <v>11</v>
      </c>
      <c r="D11" s="12" t="s">
        <v>218</v>
      </c>
      <c r="E11" s="12" t="s">
        <v>219</v>
      </c>
      <c r="F11" s="12" t="s">
        <v>220</v>
      </c>
      <c r="G11" s="12" t="s">
        <v>222</v>
      </c>
      <c r="H11" s="12" t="s">
        <v>1687</v>
      </c>
      <c r="I11" s="12" t="s">
        <v>1688</v>
      </c>
      <c r="J11" s="13" t="s">
        <v>1661</v>
      </c>
      <c r="K11" s="12"/>
      <c r="L11" s="12" t="s">
        <v>1689</v>
      </c>
      <c r="M11" s="12" t="s">
        <v>1688</v>
      </c>
    </row>
    <row r="12" spans="1:13" ht="55" customHeight="1" x14ac:dyDescent="0.2">
      <c r="A12" s="12">
        <v>11</v>
      </c>
      <c r="B12" s="12">
        <v>238869</v>
      </c>
      <c r="C12" s="12" t="s">
        <v>666</v>
      </c>
      <c r="D12" s="12" t="s">
        <v>1127</v>
      </c>
      <c r="E12" s="12" t="s">
        <v>1128</v>
      </c>
      <c r="F12" s="12" t="s">
        <v>1129</v>
      </c>
      <c r="G12" s="12" t="s">
        <v>1131</v>
      </c>
      <c r="H12" s="12" t="s">
        <v>1690</v>
      </c>
      <c r="I12" s="12" t="s">
        <v>1691</v>
      </c>
      <c r="J12" s="13" t="s">
        <v>1665</v>
      </c>
      <c r="K12" s="12"/>
      <c r="L12" s="12" t="s">
        <v>1692</v>
      </c>
      <c r="M12" s="12" t="s">
        <v>1691</v>
      </c>
    </row>
    <row r="13" spans="1:13" ht="55" customHeight="1" x14ac:dyDescent="0.2">
      <c r="A13" s="12">
        <v>12</v>
      </c>
      <c r="B13" s="12">
        <v>240389</v>
      </c>
      <c r="C13" s="12" t="s">
        <v>666</v>
      </c>
      <c r="D13" s="12" t="s">
        <v>821</v>
      </c>
      <c r="E13" s="12" t="s">
        <v>822</v>
      </c>
      <c r="F13" s="12" t="s">
        <v>823</v>
      </c>
      <c r="G13" s="12" t="s">
        <v>267</v>
      </c>
      <c r="H13" s="12" t="s">
        <v>1693</v>
      </c>
      <c r="I13" s="12" t="s">
        <v>1694</v>
      </c>
      <c r="J13" s="13" t="s">
        <v>1661</v>
      </c>
      <c r="K13" s="12"/>
      <c r="L13" s="12" t="s">
        <v>1695</v>
      </c>
      <c r="M13" s="12" t="s">
        <v>1694</v>
      </c>
    </row>
    <row r="14" spans="1:13" ht="55" customHeight="1" x14ac:dyDescent="0.2">
      <c r="A14" s="12">
        <v>13</v>
      </c>
      <c r="B14" s="12">
        <v>243264</v>
      </c>
      <c r="C14" s="12" t="s">
        <v>415</v>
      </c>
      <c r="D14" s="12" t="s">
        <v>423</v>
      </c>
      <c r="E14" s="12" t="s">
        <v>424</v>
      </c>
      <c r="F14" s="12" t="s">
        <v>425</v>
      </c>
      <c r="G14" s="12" t="s">
        <v>427</v>
      </c>
      <c r="H14" s="12" t="s">
        <v>1696</v>
      </c>
      <c r="I14" s="12" t="s">
        <v>1697</v>
      </c>
      <c r="J14" s="13" t="s">
        <v>1661</v>
      </c>
      <c r="K14" s="14" t="s">
        <v>1698</v>
      </c>
      <c r="L14" s="12" t="s">
        <v>1699</v>
      </c>
      <c r="M14" s="12" t="s">
        <v>1697</v>
      </c>
    </row>
    <row r="15" spans="1:13" ht="55" customHeight="1" x14ac:dyDescent="0.2">
      <c r="A15" s="12">
        <v>14</v>
      </c>
      <c r="B15" s="12">
        <v>243834</v>
      </c>
      <c r="C15" s="12" t="s">
        <v>666</v>
      </c>
      <c r="D15" s="12" t="s">
        <v>731</v>
      </c>
      <c r="E15" s="12" t="s">
        <v>732</v>
      </c>
      <c r="F15" s="12" t="s">
        <v>733</v>
      </c>
      <c r="G15" s="12" t="s">
        <v>227</v>
      </c>
      <c r="H15" s="12" t="s">
        <v>1700</v>
      </c>
      <c r="I15" s="12" t="s">
        <v>1701</v>
      </c>
      <c r="J15" s="13" t="s">
        <v>1665</v>
      </c>
      <c r="K15" s="12"/>
      <c r="L15" s="12" t="s">
        <v>1702</v>
      </c>
      <c r="M15" s="12" t="s">
        <v>1701</v>
      </c>
    </row>
    <row r="16" spans="1:13" ht="55" customHeight="1" x14ac:dyDescent="0.2">
      <c r="A16" s="12">
        <v>15</v>
      </c>
      <c r="B16" s="12">
        <v>249429</v>
      </c>
      <c r="C16" s="12" t="s">
        <v>11</v>
      </c>
      <c r="D16" s="12" t="s">
        <v>287</v>
      </c>
      <c r="E16" s="12" t="s">
        <v>288</v>
      </c>
      <c r="F16" s="12" t="s">
        <v>289</v>
      </c>
      <c r="G16" s="12" t="s">
        <v>291</v>
      </c>
      <c r="H16" s="12" t="s">
        <v>1703</v>
      </c>
      <c r="I16" s="12" t="s">
        <v>1704</v>
      </c>
      <c r="J16" s="13" t="s">
        <v>1661</v>
      </c>
      <c r="K16" s="12"/>
      <c r="L16" s="12" t="s">
        <v>1705</v>
      </c>
      <c r="M16" s="12" t="s">
        <v>1704</v>
      </c>
    </row>
    <row r="17" spans="1:13" ht="55" customHeight="1" x14ac:dyDescent="0.2">
      <c r="A17" s="12">
        <v>16</v>
      </c>
      <c r="B17" s="12">
        <v>255699</v>
      </c>
      <c r="C17" s="12" t="s">
        <v>1178</v>
      </c>
      <c r="D17" s="12" t="s">
        <v>1278</v>
      </c>
      <c r="E17" s="12" t="s">
        <v>1279</v>
      </c>
      <c r="F17" s="12" t="s">
        <v>1280</v>
      </c>
      <c r="G17" s="12" t="s">
        <v>26</v>
      </c>
      <c r="H17" s="12" t="s">
        <v>1706</v>
      </c>
      <c r="I17" s="12" t="s">
        <v>1707</v>
      </c>
      <c r="J17" s="13" t="s">
        <v>1661</v>
      </c>
      <c r="K17" s="12"/>
      <c r="L17" s="12" t="s">
        <v>1708</v>
      </c>
      <c r="M17" s="12" t="s">
        <v>1707</v>
      </c>
    </row>
    <row r="18" spans="1:13" ht="55" customHeight="1" x14ac:dyDescent="0.2">
      <c r="A18" s="12">
        <v>17</v>
      </c>
      <c r="B18" s="12">
        <v>267543</v>
      </c>
      <c r="C18" s="12" t="s">
        <v>666</v>
      </c>
      <c r="D18" s="12" t="s">
        <v>1020</v>
      </c>
      <c r="E18" s="12" t="s">
        <v>1021</v>
      </c>
      <c r="F18" s="12" t="s">
        <v>1022</v>
      </c>
      <c r="G18" s="12" t="s">
        <v>807</v>
      </c>
      <c r="H18" s="12" t="s">
        <v>1709</v>
      </c>
      <c r="I18" s="12" t="s">
        <v>1710</v>
      </c>
      <c r="J18" s="13" t="s">
        <v>1661</v>
      </c>
      <c r="K18" s="12"/>
      <c r="L18" s="12" t="s">
        <v>1711</v>
      </c>
      <c r="M18" s="12" t="s">
        <v>1710</v>
      </c>
    </row>
    <row r="19" spans="1:13" ht="55" customHeight="1" x14ac:dyDescent="0.2">
      <c r="A19" s="12">
        <v>18</v>
      </c>
      <c r="B19" s="12">
        <v>272241</v>
      </c>
      <c r="C19" s="12" t="s">
        <v>415</v>
      </c>
      <c r="D19" s="12" t="s">
        <v>585</v>
      </c>
      <c r="E19" s="12" t="s">
        <v>586</v>
      </c>
      <c r="F19" s="12" t="s">
        <v>587</v>
      </c>
      <c r="G19" s="12" t="s">
        <v>80</v>
      </c>
      <c r="H19" s="12" t="s">
        <v>1712</v>
      </c>
      <c r="I19" s="12" t="s">
        <v>1713</v>
      </c>
      <c r="J19" s="13" t="s">
        <v>1661</v>
      </c>
      <c r="K19" s="12"/>
      <c r="L19" s="12" t="s">
        <v>1714</v>
      </c>
      <c r="M19" s="12" t="s">
        <v>1713</v>
      </c>
    </row>
    <row r="20" spans="1:13" ht="55" customHeight="1" x14ac:dyDescent="0.2">
      <c r="A20" s="12">
        <v>19</v>
      </c>
      <c r="B20" s="12">
        <v>277929</v>
      </c>
      <c r="C20" s="12" t="s">
        <v>415</v>
      </c>
      <c r="D20" s="12" t="s">
        <v>627</v>
      </c>
      <c r="E20" s="12" t="s">
        <v>628</v>
      </c>
      <c r="F20" s="12" t="s">
        <v>629</v>
      </c>
      <c r="G20" s="12" t="s">
        <v>631</v>
      </c>
      <c r="H20" s="12" t="s">
        <v>1715</v>
      </c>
      <c r="I20" s="12" t="s">
        <v>1716</v>
      </c>
      <c r="J20" s="13" t="s">
        <v>1661</v>
      </c>
      <c r="K20" s="12"/>
      <c r="L20" s="12" t="s">
        <v>1717</v>
      </c>
      <c r="M20" s="12" t="s">
        <v>1716</v>
      </c>
    </row>
    <row r="21" spans="1:13" ht="55" customHeight="1" x14ac:dyDescent="0.2">
      <c r="A21" s="12">
        <v>20</v>
      </c>
      <c r="B21" s="12">
        <v>282689</v>
      </c>
      <c r="C21" s="12" t="s">
        <v>11</v>
      </c>
      <c r="D21" s="12" t="s">
        <v>360</v>
      </c>
      <c r="E21" s="12" t="s">
        <v>361</v>
      </c>
      <c r="F21" s="12" t="s">
        <v>362</v>
      </c>
      <c r="G21" s="12" t="s">
        <v>80</v>
      </c>
      <c r="H21" s="12" t="s">
        <v>1630</v>
      </c>
      <c r="I21" s="12" t="s">
        <v>1718</v>
      </c>
      <c r="J21" s="13" t="s">
        <v>1665</v>
      </c>
      <c r="K21" s="12"/>
      <c r="L21" s="12" t="s">
        <v>1719</v>
      </c>
      <c r="M21" s="12" t="s">
        <v>1718</v>
      </c>
    </row>
    <row r="22" spans="1:13" ht="55" customHeight="1" x14ac:dyDescent="0.2">
      <c r="A22" s="12">
        <v>21</v>
      </c>
      <c r="B22" s="12">
        <v>285795</v>
      </c>
      <c r="C22" s="12" t="s">
        <v>415</v>
      </c>
      <c r="D22" s="12" t="s">
        <v>548</v>
      </c>
      <c r="E22" s="12" t="s">
        <v>549</v>
      </c>
      <c r="F22" s="12" t="s">
        <v>550</v>
      </c>
      <c r="G22" s="12" t="s">
        <v>276</v>
      </c>
      <c r="H22" s="12" t="s">
        <v>1720</v>
      </c>
      <c r="I22" s="12" t="s">
        <v>1721</v>
      </c>
      <c r="J22" s="13" t="s">
        <v>1661</v>
      </c>
      <c r="K22" s="12"/>
      <c r="L22" s="12" t="s">
        <v>1722</v>
      </c>
      <c r="M22" s="12" t="s">
        <v>1721</v>
      </c>
    </row>
    <row r="23" spans="1:13" ht="55" customHeight="1" x14ac:dyDescent="0.2">
      <c r="A23" s="12">
        <v>22</v>
      </c>
      <c r="B23" s="12">
        <v>288583</v>
      </c>
      <c r="C23" s="12" t="s">
        <v>666</v>
      </c>
      <c r="D23" s="12" t="s">
        <v>1065</v>
      </c>
      <c r="E23" s="12" t="s">
        <v>1066</v>
      </c>
      <c r="F23" s="12" t="s">
        <v>1067</v>
      </c>
      <c r="G23" s="12" t="s">
        <v>75</v>
      </c>
      <c r="H23" s="12" t="s">
        <v>1723</v>
      </c>
      <c r="I23" s="12" t="s">
        <v>1724</v>
      </c>
      <c r="J23" s="13" t="s">
        <v>1661</v>
      </c>
      <c r="K23" s="12"/>
      <c r="L23" s="12" t="s">
        <v>1725</v>
      </c>
      <c r="M23" s="12" t="s">
        <v>1724</v>
      </c>
    </row>
    <row r="24" spans="1:13" ht="55" customHeight="1" x14ac:dyDescent="0.2">
      <c r="A24" s="12">
        <v>23</v>
      </c>
      <c r="B24" s="12">
        <v>293565</v>
      </c>
      <c r="C24" s="12" t="s">
        <v>666</v>
      </c>
      <c r="D24" s="12" t="s">
        <v>1145</v>
      </c>
      <c r="E24" s="12" t="s">
        <v>1146</v>
      </c>
      <c r="F24" s="12" t="s">
        <v>1147</v>
      </c>
      <c r="G24" s="12" t="s">
        <v>26</v>
      </c>
      <c r="H24" s="12" t="s">
        <v>1514</v>
      </c>
      <c r="I24" s="12" t="s">
        <v>1726</v>
      </c>
      <c r="J24" s="13" t="s">
        <v>1661</v>
      </c>
      <c r="K24" s="12"/>
      <c r="L24" s="12" t="s">
        <v>1727</v>
      </c>
      <c r="M24" s="12" t="s">
        <v>1726</v>
      </c>
    </row>
    <row r="25" spans="1:13" ht="55" customHeight="1" x14ac:dyDescent="0.2">
      <c r="A25" s="12">
        <v>24</v>
      </c>
      <c r="B25" s="12">
        <v>301760</v>
      </c>
      <c r="C25" s="12" t="s">
        <v>11</v>
      </c>
      <c r="D25" s="12" t="s">
        <v>62</v>
      </c>
      <c r="E25" s="12" t="s">
        <v>63</v>
      </c>
      <c r="F25" s="12" t="s">
        <v>64</v>
      </c>
      <c r="G25" s="12" t="s">
        <v>26</v>
      </c>
      <c r="H25" s="12" t="s">
        <v>1728</v>
      </c>
      <c r="I25" s="12" t="s">
        <v>1729</v>
      </c>
      <c r="J25" s="13" t="s">
        <v>1661</v>
      </c>
      <c r="K25" s="12"/>
      <c r="L25" s="12" t="s">
        <v>1730</v>
      </c>
      <c r="M25" s="12" t="s">
        <v>1729</v>
      </c>
    </row>
    <row r="26" spans="1:13" ht="55" customHeight="1" x14ac:dyDescent="0.2">
      <c r="A26" s="12">
        <v>25</v>
      </c>
      <c r="B26" s="12">
        <v>304680</v>
      </c>
      <c r="C26" s="12" t="s">
        <v>415</v>
      </c>
      <c r="D26" s="12" t="s">
        <v>602</v>
      </c>
      <c r="E26" s="12" t="s">
        <v>603</v>
      </c>
      <c r="F26" s="12" t="s">
        <v>604</v>
      </c>
      <c r="G26" s="12" t="s">
        <v>85</v>
      </c>
      <c r="H26" s="12" t="s">
        <v>1693</v>
      </c>
      <c r="I26" s="12" t="s">
        <v>1731</v>
      </c>
      <c r="J26" s="13" t="s">
        <v>1661</v>
      </c>
      <c r="K26" s="12"/>
      <c r="L26" s="12" t="s">
        <v>1732</v>
      </c>
      <c r="M26" s="12" t="s">
        <v>1731</v>
      </c>
    </row>
    <row r="27" spans="1:13" ht="55" customHeight="1" x14ac:dyDescent="0.2">
      <c r="A27" s="12">
        <v>26</v>
      </c>
      <c r="B27" s="12">
        <v>328166</v>
      </c>
      <c r="C27" s="12" t="s">
        <v>11</v>
      </c>
      <c r="D27" s="12" t="s">
        <v>12</v>
      </c>
      <c r="E27" s="12" t="s">
        <v>13</v>
      </c>
      <c r="F27" s="12" t="s">
        <v>14</v>
      </c>
      <c r="G27" s="12" t="s">
        <v>16</v>
      </c>
      <c r="H27" s="12" t="s">
        <v>1733</v>
      </c>
      <c r="I27" s="12" t="s">
        <v>1734</v>
      </c>
      <c r="J27" s="13" t="s">
        <v>1665</v>
      </c>
      <c r="K27" s="12"/>
      <c r="L27" s="12" t="s">
        <v>1735</v>
      </c>
      <c r="M27" s="12" t="s">
        <v>1734</v>
      </c>
    </row>
    <row r="28" spans="1:13" ht="55" customHeight="1" x14ac:dyDescent="0.2">
      <c r="A28" s="12">
        <v>27</v>
      </c>
      <c r="B28" s="12">
        <v>340626</v>
      </c>
      <c r="C28" s="12" t="s">
        <v>666</v>
      </c>
      <c r="D28" s="12" t="s">
        <v>855</v>
      </c>
      <c r="E28" s="12" t="s">
        <v>856</v>
      </c>
      <c r="F28" s="12" t="s">
        <v>857</v>
      </c>
      <c r="G28" s="12" t="s">
        <v>26</v>
      </c>
      <c r="H28" s="12" t="s">
        <v>1736</v>
      </c>
      <c r="I28" s="12" t="s">
        <v>1737</v>
      </c>
      <c r="J28" s="13" t="s">
        <v>1661</v>
      </c>
      <c r="K28" s="12"/>
      <c r="L28" s="12" t="s">
        <v>1738</v>
      </c>
      <c r="M28" s="12" t="s">
        <v>1737</v>
      </c>
    </row>
    <row r="29" spans="1:13" ht="55" customHeight="1" x14ac:dyDescent="0.2">
      <c r="A29" s="12">
        <v>28</v>
      </c>
      <c r="B29" s="12">
        <v>355085</v>
      </c>
      <c r="C29" s="12" t="s">
        <v>11</v>
      </c>
      <c r="D29" s="12" t="s">
        <v>272</v>
      </c>
      <c r="E29" s="12" t="s">
        <v>273</v>
      </c>
      <c r="F29" s="12" t="s">
        <v>274</v>
      </c>
      <c r="G29" s="12" t="s">
        <v>276</v>
      </c>
      <c r="H29" s="12" t="s">
        <v>1630</v>
      </c>
      <c r="I29" s="12" t="s">
        <v>1739</v>
      </c>
      <c r="J29" s="13" t="s">
        <v>1661</v>
      </c>
      <c r="K29" s="12"/>
      <c r="L29" s="12" t="s">
        <v>1740</v>
      </c>
      <c r="M29" s="12" t="s">
        <v>1739</v>
      </c>
    </row>
    <row r="30" spans="1:13" ht="55" customHeight="1" x14ac:dyDescent="0.2">
      <c r="A30" s="12">
        <v>29</v>
      </c>
      <c r="B30" s="12">
        <v>355224</v>
      </c>
      <c r="C30" s="12" t="s">
        <v>666</v>
      </c>
      <c r="D30" s="12" t="s">
        <v>825</v>
      </c>
      <c r="E30" s="12" t="s">
        <v>826</v>
      </c>
      <c r="F30" s="12" t="s">
        <v>827</v>
      </c>
      <c r="G30" s="12" t="s">
        <v>26</v>
      </c>
      <c r="H30" s="12" t="s">
        <v>1514</v>
      </c>
      <c r="I30" s="12" t="s">
        <v>1741</v>
      </c>
      <c r="J30" s="13" t="s">
        <v>1661</v>
      </c>
      <c r="K30" s="12"/>
      <c r="L30" s="12" t="s">
        <v>1742</v>
      </c>
      <c r="M30" s="12" t="s">
        <v>1741</v>
      </c>
    </row>
    <row r="31" spans="1:13" ht="55" customHeight="1" x14ac:dyDescent="0.2">
      <c r="A31" s="12">
        <v>30</v>
      </c>
      <c r="B31" s="12">
        <v>356411</v>
      </c>
      <c r="C31" s="12" t="s">
        <v>11</v>
      </c>
      <c r="D31" s="12" t="s">
        <v>327</v>
      </c>
      <c r="E31" s="12" t="s">
        <v>328</v>
      </c>
      <c r="F31" s="12" t="s">
        <v>329</v>
      </c>
      <c r="G31" s="12" t="s">
        <v>36</v>
      </c>
      <c r="H31" s="12" t="s">
        <v>1743</v>
      </c>
      <c r="I31" s="12" t="s">
        <v>1744</v>
      </c>
      <c r="J31" s="13" t="s">
        <v>1661</v>
      </c>
      <c r="K31" s="12"/>
      <c r="L31" s="12" t="s">
        <v>1745</v>
      </c>
      <c r="M31" s="12" t="s">
        <v>1744</v>
      </c>
    </row>
    <row r="32" spans="1:13" ht="55" customHeight="1" x14ac:dyDescent="0.2">
      <c r="A32" s="12">
        <v>31</v>
      </c>
      <c r="B32" s="12">
        <v>356977</v>
      </c>
      <c r="C32" s="12" t="s">
        <v>415</v>
      </c>
      <c r="D32" s="12" t="s">
        <v>501</v>
      </c>
      <c r="E32" s="12" t="s">
        <v>502</v>
      </c>
      <c r="F32" s="12" t="s">
        <v>503</v>
      </c>
      <c r="G32" s="12" t="s">
        <v>70</v>
      </c>
      <c r="H32" s="12" t="s">
        <v>1746</v>
      </c>
      <c r="I32" s="12" t="s">
        <v>1747</v>
      </c>
      <c r="J32" s="13" t="s">
        <v>1665</v>
      </c>
      <c r="K32" s="12"/>
      <c r="L32" s="12" t="s">
        <v>1748</v>
      </c>
      <c r="M32" s="12" t="s">
        <v>1747</v>
      </c>
    </row>
    <row r="33" spans="1:13" ht="55" customHeight="1" x14ac:dyDescent="0.2">
      <c r="A33" s="12">
        <v>32</v>
      </c>
      <c r="B33" s="12">
        <v>361453</v>
      </c>
      <c r="C33" s="12" t="s">
        <v>11</v>
      </c>
      <c r="D33" s="12" t="s">
        <v>159</v>
      </c>
      <c r="E33" s="12" t="s">
        <v>160</v>
      </c>
      <c r="F33" s="12" t="s">
        <v>161</v>
      </c>
      <c r="G33" s="12" t="s">
        <v>163</v>
      </c>
      <c r="H33" s="12" t="s">
        <v>1749</v>
      </c>
      <c r="I33" s="12" t="s">
        <v>1750</v>
      </c>
      <c r="J33" s="13" t="s">
        <v>1661</v>
      </c>
      <c r="K33" s="12"/>
      <c r="L33" s="12" t="s">
        <v>1751</v>
      </c>
      <c r="M33" s="12" t="s">
        <v>1750</v>
      </c>
    </row>
    <row r="34" spans="1:13" ht="55" customHeight="1" x14ac:dyDescent="0.2">
      <c r="A34" s="12">
        <v>33</v>
      </c>
      <c r="B34" s="12">
        <v>361792</v>
      </c>
      <c r="C34" s="12" t="s">
        <v>415</v>
      </c>
      <c r="D34" s="12" t="s">
        <v>416</v>
      </c>
      <c r="E34" s="12" t="s">
        <v>417</v>
      </c>
      <c r="F34" s="12" t="s">
        <v>418</v>
      </c>
      <c r="G34" s="12" t="s">
        <v>26</v>
      </c>
      <c r="H34" s="12" t="s">
        <v>1752</v>
      </c>
      <c r="I34" s="12" t="s">
        <v>1753</v>
      </c>
      <c r="J34" s="13" t="s">
        <v>1661</v>
      </c>
      <c r="K34" s="12"/>
      <c r="L34" s="12" t="s">
        <v>1754</v>
      </c>
      <c r="M34" s="12" t="s">
        <v>1753</v>
      </c>
    </row>
    <row r="35" spans="1:13" ht="55" customHeight="1" x14ac:dyDescent="0.2">
      <c r="A35" s="12">
        <v>34</v>
      </c>
      <c r="B35" s="12">
        <v>363503</v>
      </c>
      <c r="C35" s="12" t="s">
        <v>11</v>
      </c>
      <c r="D35" s="12" t="s">
        <v>178</v>
      </c>
      <c r="E35" s="12" t="s">
        <v>179</v>
      </c>
      <c r="F35" s="12" t="s">
        <v>180</v>
      </c>
      <c r="G35" s="12" t="s">
        <v>182</v>
      </c>
      <c r="H35" s="12" t="s">
        <v>1755</v>
      </c>
      <c r="I35" s="12" t="s">
        <v>1756</v>
      </c>
      <c r="J35" s="13" t="s">
        <v>1665</v>
      </c>
      <c r="K35" s="12"/>
      <c r="L35" s="12" t="s">
        <v>1757</v>
      </c>
      <c r="M35" s="12" t="s">
        <v>1756</v>
      </c>
    </row>
    <row r="36" spans="1:13" ht="55" customHeight="1" x14ac:dyDescent="0.2">
      <c r="A36" s="12">
        <v>35</v>
      </c>
      <c r="B36" s="12">
        <v>370473</v>
      </c>
      <c r="C36" s="12" t="s">
        <v>1178</v>
      </c>
      <c r="D36" s="12" t="s">
        <v>1274</v>
      </c>
      <c r="E36" s="12" t="s">
        <v>1275</v>
      </c>
      <c r="F36" s="12" t="s">
        <v>1276</v>
      </c>
      <c r="G36" s="12" t="s">
        <v>1136</v>
      </c>
      <c r="H36" s="15"/>
      <c r="I36" s="15" t="s">
        <v>1758</v>
      </c>
      <c r="J36" s="15" t="s">
        <v>1759</v>
      </c>
      <c r="K36" s="12"/>
      <c r="L36" s="12" t="s">
        <v>1760</v>
      </c>
      <c r="M36" s="12" t="s">
        <v>1758</v>
      </c>
    </row>
    <row r="37" spans="1:13" ht="55" customHeight="1" x14ac:dyDescent="0.2">
      <c r="A37" s="12">
        <v>36</v>
      </c>
      <c r="B37" s="12">
        <v>377779</v>
      </c>
      <c r="C37" s="12" t="s">
        <v>666</v>
      </c>
      <c r="D37" s="12" t="s">
        <v>1132</v>
      </c>
      <c r="E37" s="12" t="s">
        <v>1133</v>
      </c>
      <c r="F37" s="12" t="s">
        <v>1134</v>
      </c>
      <c r="G37" s="12" t="s">
        <v>1136</v>
      </c>
      <c r="H37" s="12" t="s">
        <v>1761</v>
      </c>
      <c r="I37" s="12" t="s">
        <v>1762</v>
      </c>
      <c r="J37" s="13" t="s">
        <v>1661</v>
      </c>
      <c r="K37" s="12"/>
      <c r="L37" s="12" t="s">
        <v>1763</v>
      </c>
      <c r="M37" s="12" t="s">
        <v>1762</v>
      </c>
    </row>
    <row r="38" spans="1:13" ht="55" customHeight="1" x14ac:dyDescent="0.2">
      <c r="A38" s="12">
        <v>37</v>
      </c>
      <c r="B38" s="12">
        <v>379929</v>
      </c>
      <c r="C38" s="12" t="s">
        <v>11</v>
      </c>
      <c r="D38" s="12" t="s">
        <v>91</v>
      </c>
      <c r="E38" s="12" t="s">
        <v>92</v>
      </c>
      <c r="F38" s="12" t="s">
        <v>93</v>
      </c>
      <c r="G38" s="12" t="s">
        <v>26</v>
      </c>
      <c r="H38" s="12" t="s">
        <v>1523</v>
      </c>
      <c r="I38" s="12" t="s">
        <v>1764</v>
      </c>
      <c r="J38" s="13" t="s">
        <v>1661</v>
      </c>
      <c r="K38" s="12"/>
      <c r="L38" s="12" t="s">
        <v>1765</v>
      </c>
      <c r="M38" s="12" t="s">
        <v>1764</v>
      </c>
    </row>
    <row r="39" spans="1:13" ht="55" customHeight="1" x14ac:dyDescent="0.2">
      <c r="A39" s="12">
        <v>38</v>
      </c>
      <c r="B39" s="12">
        <v>383079</v>
      </c>
      <c r="C39" s="12" t="s">
        <v>11</v>
      </c>
      <c r="D39" s="12" t="s">
        <v>251</v>
      </c>
      <c r="E39" s="12" t="s">
        <v>252</v>
      </c>
      <c r="F39" s="12" t="s">
        <v>253</v>
      </c>
      <c r="G39" s="12" t="s">
        <v>36</v>
      </c>
      <c r="H39" s="12" t="s">
        <v>1766</v>
      </c>
      <c r="I39" s="12" t="s">
        <v>1767</v>
      </c>
      <c r="J39" s="13" t="s">
        <v>1661</v>
      </c>
      <c r="K39" s="12"/>
      <c r="L39" s="12" t="s">
        <v>1768</v>
      </c>
      <c r="M39" s="12" t="s">
        <v>1767</v>
      </c>
    </row>
    <row r="40" spans="1:13" ht="55" customHeight="1" x14ac:dyDescent="0.2">
      <c r="A40" s="12">
        <v>39</v>
      </c>
      <c r="B40" s="12">
        <v>393520</v>
      </c>
      <c r="C40" s="12" t="s">
        <v>11</v>
      </c>
      <c r="D40" s="12" t="s">
        <v>146</v>
      </c>
      <c r="E40" s="12" t="s">
        <v>147</v>
      </c>
      <c r="F40" s="12" t="s">
        <v>148</v>
      </c>
      <c r="G40" s="12" t="s">
        <v>150</v>
      </c>
      <c r="H40" s="12" t="s">
        <v>1769</v>
      </c>
      <c r="I40" s="12" t="s">
        <v>1770</v>
      </c>
      <c r="J40" s="13" t="s">
        <v>1661</v>
      </c>
      <c r="K40" s="12"/>
      <c r="L40" s="12" t="s">
        <v>1771</v>
      </c>
      <c r="M40" s="12" t="s">
        <v>1770</v>
      </c>
    </row>
    <row r="41" spans="1:13" ht="55" customHeight="1" x14ac:dyDescent="0.2">
      <c r="A41" s="12">
        <v>40</v>
      </c>
      <c r="B41" s="12">
        <v>403610</v>
      </c>
      <c r="C41" s="12" t="s">
        <v>666</v>
      </c>
      <c r="D41" s="12" t="s">
        <v>896</v>
      </c>
      <c r="E41" s="12" t="s">
        <v>897</v>
      </c>
      <c r="F41" s="12" t="s">
        <v>898</v>
      </c>
      <c r="G41" s="12" t="s">
        <v>108</v>
      </c>
      <c r="H41" s="12" t="s">
        <v>1772</v>
      </c>
      <c r="I41" s="12" t="s">
        <v>1773</v>
      </c>
      <c r="J41" s="13" t="s">
        <v>1665</v>
      </c>
      <c r="K41" s="12"/>
      <c r="L41" s="12" t="s">
        <v>897</v>
      </c>
      <c r="M41" s="12" t="s">
        <v>1773</v>
      </c>
    </row>
    <row r="42" spans="1:13" ht="55" customHeight="1" x14ac:dyDescent="0.2">
      <c r="A42" s="12">
        <v>41</v>
      </c>
      <c r="B42" s="12">
        <v>407593</v>
      </c>
      <c r="C42" s="12" t="s">
        <v>666</v>
      </c>
      <c r="D42" s="12" t="s">
        <v>793</v>
      </c>
      <c r="E42" s="12" t="s">
        <v>794</v>
      </c>
      <c r="F42" s="12" t="s">
        <v>795</v>
      </c>
      <c r="G42" s="12" t="s">
        <v>797</v>
      </c>
      <c r="H42" s="12" t="s">
        <v>1774</v>
      </c>
      <c r="I42" s="12" t="s">
        <v>1775</v>
      </c>
      <c r="J42" s="13" t="s">
        <v>1665</v>
      </c>
      <c r="K42" s="12"/>
      <c r="L42" s="12" t="s">
        <v>1776</v>
      </c>
      <c r="M42" s="12" t="s">
        <v>1775</v>
      </c>
    </row>
    <row r="43" spans="1:13" ht="55" customHeight="1" x14ac:dyDescent="0.2">
      <c r="A43" s="12">
        <v>42</v>
      </c>
      <c r="B43" s="12">
        <v>419245</v>
      </c>
      <c r="C43" s="12" t="s">
        <v>11</v>
      </c>
      <c r="D43" s="12" t="s">
        <v>81</v>
      </c>
      <c r="E43" s="12" t="s">
        <v>82</v>
      </c>
      <c r="F43" s="12" t="s">
        <v>83</v>
      </c>
      <c r="G43" s="12" t="s">
        <v>85</v>
      </c>
      <c r="H43" s="12" t="s">
        <v>1777</v>
      </c>
      <c r="I43" s="12" t="s">
        <v>1778</v>
      </c>
      <c r="J43" s="13" t="s">
        <v>1661</v>
      </c>
      <c r="K43" s="12"/>
      <c r="L43" s="12" t="s">
        <v>1779</v>
      </c>
      <c r="M43" s="12" t="s">
        <v>1778</v>
      </c>
    </row>
    <row r="44" spans="1:13" ht="55" customHeight="1" x14ac:dyDescent="0.2">
      <c r="A44" s="12">
        <v>43</v>
      </c>
      <c r="B44" s="12">
        <v>421195</v>
      </c>
      <c r="C44" s="12" t="s">
        <v>666</v>
      </c>
      <c r="D44" s="12" t="s">
        <v>695</v>
      </c>
      <c r="E44" s="12" t="s">
        <v>696</v>
      </c>
      <c r="F44" s="12" t="s">
        <v>697</v>
      </c>
      <c r="G44" s="12" t="s">
        <v>26</v>
      </c>
      <c r="H44" s="12" t="s">
        <v>1780</v>
      </c>
      <c r="I44" s="12" t="s">
        <v>1781</v>
      </c>
      <c r="J44" s="13" t="s">
        <v>1661</v>
      </c>
      <c r="K44" s="12"/>
      <c r="L44" s="12" t="s">
        <v>1782</v>
      </c>
      <c r="M44" s="12" t="s">
        <v>1781</v>
      </c>
    </row>
    <row r="45" spans="1:13" ht="55" customHeight="1" x14ac:dyDescent="0.2">
      <c r="A45" s="12">
        <v>44</v>
      </c>
      <c r="B45" s="12">
        <v>421627</v>
      </c>
      <c r="C45" s="12" t="s">
        <v>666</v>
      </c>
      <c r="D45" s="12" t="s">
        <v>892</v>
      </c>
      <c r="E45" s="12" t="s">
        <v>893</v>
      </c>
      <c r="F45" s="12" t="s">
        <v>894</v>
      </c>
      <c r="G45" s="12" t="s">
        <v>26</v>
      </c>
      <c r="H45" s="12" t="s">
        <v>1783</v>
      </c>
      <c r="I45" s="12" t="s">
        <v>1784</v>
      </c>
      <c r="J45" s="13" t="s">
        <v>1661</v>
      </c>
      <c r="K45" s="12"/>
      <c r="L45" s="12" t="s">
        <v>1785</v>
      </c>
      <c r="M45" s="12" t="s">
        <v>1784</v>
      </c>
    </row>
    <row r="46" spans="1:13" ht="55" customHeight="1" x14ac:dyDescent="0.2">
      <c r="A46" s="12">
        <v>45</v>
      </c>
      <c r="B46" s="12">
        <v>442832</v>
      </c>
      <c r="C46" s="12" t="s">
        <v>11</v>
      </c>
      <c r="D46" s="12" t="s">
        <v>214</v>
      </c>
      <c r="E46" s="12" t="s">
        <v>215</v>
      </c>
      <c r="F46" s="12" t="s">
        <v>216</v>
      </c>
      <c r="G46" s="12" t="s">
        <v>85</v>
      </c>
      <c r="H46" s="12" t="s">
        <v>1786</v>
      </c>
      <c r="I46" s="12" t="s">
        <v>1787</v>
      </c>
      <c r="J46" s="13" t="s">
        <v>1661</v>
      </c>
      <c r="K46" s="12"/>
      <c r="L46" s="12" t="s">
        <v>1788</v>
      </c>
      <c r="M46" s="12" t="s">
        <v>1787</v>
      </c>
    </row>
    <row r="47" spans="1:13" ht="55" customHeight="1" x14ac:dyDescent="0.2">
      <c r="A47" s="12">
        <v>46</v>
      </c>
      <c r="B47" s="12">
        <v>443553</v>
      </c>
      <c r="C47" s="12" t="s">
        <v>415</v>
      </c>
      <c r="D47" s="12" t="s">
        <v>619</v>
      </c>
      <c r="E47" s="19" t="s">
        <v>620</v>
      </c>
      <c r="F47" s="12" t="s">
        <v>621</v>
      </c>
      <c r="G47" s="12" t="s">
        <v>75</v>
      </c>
      <c r="H47" s="16" t="s">
        <v>1789</v>
      </c>
      <c r="I47" s="12" t="s">
        <v>1790</v>
      </c>
      <c r="J47" s="13" t="s">
        <v>1665</v>
      </c>
      <c r="K47" s="17" t="s">
        <v>1791</v>
      </c>
      <c r="L47" s="12" t="s">
        <v>1792</v>
      </c>
      <c r="M47" s="12" t="s">
        <v>1790</v>
      </c>
    </row>
    <row r="48" spans="1:13" ht="55" customHeight="1" x14ac:dyDescent="0.2">
      <c r="A48" s="12">
        <v>47</v>
      </c>
      <c r="B48" s="12">
        <v>446385</v>
      </c>
      <c r="C48" s="12" t="s">
        <v>666</v>
      </c>
      <c r="D48" s="12" t="s">
        <v>812</v>
      </c>
      <c r="E48" s="12" t="s">
        <v>813</v>
      </c>
      <c r="F48" s="12" t="s">
        <v>814</v>
      </c>
      <c r="G48" s="12" t="s">
        <v>807</v>
      </c>
      <c r="H48" s="12" t="s">
        <v>1793</v>
      </c>
      <c r="I48" s="12" t="s">
        <v>1794</v>
      </c>
      <c r="J48" s="13" t="s">
        <v>1665</v>
      </c>
      <c r="K48" s="12"/>
      <c r="L48" s="12" t="s">
        <v>1795</v>
      </c>
      <c r="M48" s="12" t="s">
        <v>1794</v>
      </c>
    </row>
    <row r="49" spans="1:13" ht="55" customHeight="1" x14ac:dyDescent="0.2">
      <c r="A49" s="12">
        <v>48</v>
      </c>
      <c r="B49" s="12">
        <v>446857</v>
      </c>
      <c r="C49" s="12" t="s">
        <v>415</v>
      </c>
      <c r="D49" s="12" t="s">
        <v>610</v>
      </c>
      <c r="E49" s="12" t="s">
        <v>611</v>
      </c>
      <c r="F49" s="12" t="s">
        <v>612</v>
      </c>
      <c r="G49" s="12" t="s">
        <v>614</v>
      </c>
      <c r="H49" s="12" t="s">
        <v>1796</v>
      </c>
      <c r="I49" s="12" t="s">
        <v>1797</v>
      </c>
      <c r="J49" s="13" t="s">
        <v>1661</v>
      </c>
      <c r="K49" s="12"/>
      <c r="L49" s="12" t="s">
        <v>1798</v>
      </c>
      <c r="M49" s="12" t="s">
        <v>1797</v>
      </c>
    </row>
    <row r="50" spans="1:13" ht="55" customHeight="1" x14ac:dyDescent="0.2">
      <c r="A50" s="12">
        <v>49</v>
      </c>
      <c r="B50" s="12">
        <v>446938</v>
      </c>
      <c r="C50" s="12" t="s">
        <v>666</v>
      </c>
      <c r="D50" s="12" t="s">
        <v>711</v>
      </c>
      <c r="E50" s="12" t="s">
        <v>712</v>
      </c>
      <c r="F50" s="12" t="s">
        <v>713</v>
      </c>
      <c r="G50" s="12" t="s">
        <v>26</v>
      </c>
      <c r="H50" s="12" t="s">
        <v>1799</v>
      </c>
      <c r="I50" s="12" t="s">
        <v>1800</v>
      </c>
      <c r="J50" s="13" t="s">
        <v>1661</v>
      </c>
      <c r="K50" s="12"/>
      <c r="L50" s="12" t="s">
        <v>1801</v>
      </c>
      <c r="M50" s="12" t="s">
        <v>1800</v>
      </c>
    </row>
    <row r="51" spans="1:13" ht="55" customHeight="1" x14ac:dyDescent="0.2">
      <c r="A51" s="12">
        <v>50</v>
      </c>
      <c r="B51" s="12">
        <v>447097</v>
      </c>
      <c r="C51" s="12" t="s">
        <v>11</v>
      </c>
      <c r="D51" s="12" t="s">
        <v>402</v>
      </c>
      <c r="E51" s="12" t="s">
        <v>403</v>
      </c>
      <c r="F51" s="12" t="s">
        <v>404</v>
      </c>
      <c r="G51" s="12" t="s">
        <v>26</v>
      </c>
      <c r="H51" s="12" t="s">
        <v>1523</v>
      </c>
      <c r="I51" s="12" t="s">
        <v>1802</v>
      </c>
      <c r="J51" s="13" t="s">
        <v>1665</v>
      </c>
      <c r="K51" s="12"/>
      <c r="L51" s="12" t="s">
        <v>1803</v>
      </c>
      <c r="M51" s="12" t="s">
        <v>1802</v>
      </c>
    </row>
    <row r="52" spans="1:13" ht="55" customHeight="1" x14ac:dyDescent="0.2">
      <c r="A52" s="12">
        <v>51</v>
      </c>
      <c r="B52" s="12">
        <v>449168</v>
      </c>
      <c r="C52" s="12" t="s">
        <v>666</v>
      </c>
      <c r="D52" s="12" t="s">
        <v>671</v>
      </c>
      <c r="E52" s="12" t="s">
        <v>672</v>
      </c>
      <c r="F52" s="12" t="s">
        <v>673</v>
      </c>
      <c r="G52" s="12" t="s">
        <v>26</v>
      </c>
      <c r="H52" s="12" t="s">
        <v>1670</v>
      </c>
      <c r="I52" s="12" t="s">
        <v>1804</v>
      </c>
      <c r="J52" s="13" t="s">
        <v>1665</v>
      </c>
      <c r="K52" s="12"/>
      <c r="L52" s="12" t="s">
        <v>1805</v>
      </c>
      <c r="M52" s="12" t="s">
        <v>1804</v>
      </c>
    </row>
    <row r="53" spans="1:13" ht="55" customHeight="1" x14ac:dyDescent="0.2">
      <c r="A53" s="12">
        <v>52</v>
      </c>
      <c r="B53" s="12">
        <v>450186</v>
      </c>
      <c r="C53" s="12" t="s">
        <v>11</v>
      </c>
      <c r="D53" s="12" t="s">
        <v>104</v>
      </c>
      <c r="E53" s="12" t="s">
        <v>105</v>
      </c>
      <c r="F53" s="12" t="s">
        <v>106</v>
      </c>
      <c r="G53" s="12" t="s">
        <v>108</v>
      </c>
      <c r="H53" s="12" t="s">
        <v>1806</v>
      </c>
      <c r="I53" s="12" t="s">
        <v>1807</v>
      </c>
      <c r="J53" s="13" t="s">
        <v>1661</v>
      </c>
      <c r="K53" s="12"/>
      <c r="L53" s="12" t="s">
        <v>1808</v>
      </c>
      <c r="M53" s="12" t="s">
        <v>1807</v>
      </c>
    </row>
    <row r="54" spans="1:13" ht="55" customHeight="1" x14ac:dyDescent="0.2">
      <c r="A54" s="12">
        <v>53</v>
      </c>
      <c r="B54" s="12">
        <v>451365</v>
      </c>
      <c r="C54" s="12" t="s">
        <v>666</v>
      </c>
      <c r="D54" s="12" t="s">
        <v>1149</v>
      </c>
      <c r="E54" s="12" t="s">
        <v>1150</v>
      </c>
      <c r="F54" s="12" t="s">
        <v>1151</v>
      </c>
      <c r="G54" s="12" t="s">
        <v>26</v>
      </c>
      <c r="H54" s="12" t="s">
        <v>1514</v>
      </c>
      <c r="I54" s="12" t="s">
        <v>1809</v>
      </c>
      <c r="J54" s="13" t="s">
        <v>1661</v>
      </c>
      <c r="K54" s="12"/>
      <c r="L54" s="12" t="s">
        <v>1810</v>
      </c>
      <c r="M54" s="12" t="s">
        <v>1809</v>
      </c>
    </row>
    <row r="55" spans="1:13" ht="55" customHeight="1" x14ac:dyDescent="0.2">
      <c r="A55" s="12">
        <v>54</v>
      </c>
      <c r="B55" s="12">
        <v>475239</v>
      </c>
      <c r="C55" s="12" t="s">
        <v>415</v>
      </c>
      <c r="D55" s="12" t="s">
        <v>648</v>
      </c>
      <c r="E55" s="12" t="s">
        <v>649</v>
      </c>
      <c r="F55" s="12" t="s">
        <v>1811</v>
      </c>
      <c r="G55" s="12" t="s">
        <v>652</v>
      </c>
      <c r="H55" s="12" t="s">
        <v>1812</v>
      </c>
      <c r="I55" s="12" t="s">
        <v>1813</v>
      </c>
      <c r="J55" s="13" t="s">
        <v>1661</v>
      </c>
      <c r="K55" s="12"/>
      <c r="L55" s="12" t="s">
        <v>1814</v>
      </c>
      <c r="M55" s="12" t="s">
        <v>1813</v>
      </c>
    </row>
    <row r="56" spans="1:13" ht="55" customHeight="1" x14ac:dyDescent="0.2">
      <c r="A56" s="12">
        <v>55</v>
      </c>
      <c r="B56" s="12">
        <v>488406</v>
      </c>
      <c r="C56" s="12" t="s">
        <v>666</v>
      </c>
      <c r="D56" s="12" t="s">
        <v>982</v>
      </c>
      <c r="E56" s="12" t="s">
        <v>983</v>
      </c>
      <c r="F56" s="12" t="s">
        <v>984</v>
      </c>
      <c r="G56" s="12" t="s">
        <v>986</v>
      </c>
      <c r="H56" s="12" t="s">
        <v>1815</v>
      </c>
      <c r="I56" s="12" t="s">
        <v>1816</v>
      </c>
      <c r="J56" s="13" t="s">
        <v>1661</v>
      </c>
      <c r="K56" s="12"/>
      <c r="L56" s="12" t="s">
        <v>1817</v>
      </c>
      <c r="M56" s="12" t="s">
        <v>1816</v>
      </c>
    </row>
    <row r="57" spans="1:13" ht="55" customHeight="1" x14ac:dyDescent="0.2">
      <c r="A57" s="12">
        <v>56</v>
      </c>
      <c r="B57" s="12">
        <v>489367</v>
      </c>
      <c r="C57" s="12" t="s">
        <v>415</v>
      </c>
      <c r="D57" s="12" t="s">
        <v>475</v>
      </c>
      <c r="E57" s="12" t="s">
        <v>476</v>
      </c>
      <c r="F57" s="12" t="s">
        <v>477</v>
      </c>
      <c r="G57" s="12" t="s">
        <v>267</v>
      </c>
      <c r="H57" s="12" t="s">
        <v>1818</v>
      </c>
      <c r="I57" s="12" t="s">
        <v>1819</v>
      </c>
      <c r="J57" s="13" t="s">
        <v>1665</v>
      </c>
      <c r="K57" s="12"/>
      <c r="L57" s="12" t="s">
        <v>1820</v>
      </c>
      <c r="M57" s="12" t="s">
        <v>1819</v>
      </c>
    </row>
    <row r="58" spans="1:13" ht="55" customHeight="1" x14ac:dyDescent="0.2">
      <c r="A58" s="12">
        <v>57</v>
      </c>
      <c r="B58" s="12">
        <v>495643</v>
      </c>
      <c r="C58" s="12" t="s">
        <v>1178</v>
      </c>
      <c r="D58" s="12" t="s">
        <v>1265</v>
      </c>
      <c r="E58" s="12" t="s">
        <v>1266</v>
      </c>
      <c r="F58" s="12" t="s">
        <v>1267</v>
      </c>
      <c r="G58" s="12" t="s">
        <v>1269</v>
      </c>
      <c r="H58" s="12" t="s">
        <v>1507</v>
      </c>
      <c r="I58" s="12" t="s">
        <v>1821</v>
      </c>
      <c r="J58" s="18" t="s">
        <v>1822</v>
      </c>
      <c r="K58" s="12"/>
      <c r="L58" s="12" t="s">
        <v>1823</v>
      </c>
      <c r="M58" s="12" t="s">
        <v>1821</v>
      </c>
    </row>
    <row r="59" spans="1:13" ht="55" customHeight="1" x14ac:dyDescent="0.2">
      <c r="A59" s="12">
        <v>58</v>
      </c>
      <c r="B59" s="12">
        <v>498879</v>
      </c>
      <c r="C59" s="12" t="s">
        <v>415</v>
      </c>
      <c r="D59" s="12" t="s">
        <v>552</v>
      </c>
      <c r="E59" s="12" t="s">
        <v>553</v>
      </c>
      <c r="F59" s="12" t="s">
        <v>554</v>
      </c>
      <c r="G59" s="12" t="s">
        <v>26</v>
      </c>
      <c r="H59" s="12" t="s">
        <v>1824</v>
      </c>
      <c r="I59" s="12" t="s">
        <v>1825</v>
      </c>
      <c r="J59" s="13" t="s">
        <v>1661</v>
      </c>
      <c r="K59" s="12"/>
      <c r="L59" s="12" t="s">
        <v>1826</v>
      </c>
      <c r="M59" s="12" t="s">
        <v>1825</v>
      </c>
    </row>
    <row r="60" spans="1:13" ht="55" customHeight="1" x14ac:dyDescent="0.2">
      <c r="A60" s="12">
        <v>59</v>
      </c>
      <c r="B60" s="12">
        <v>503154</v>
      </c>
      <c r="C60" s="12" t="s">
        <v>415</v>
      </c>
      <c r="D60" s="12" t="s">
        <v>565</v>
      </c>
      <c r="E60" s="12" t="s">
        <v>566</v>
      </c>
      <c r="F60" s="12" t="s">
        <v>567</v>
      </c>
      <c r="G60" s="12" t="s">
        <v>26</v>
      </c>
      <c r="H60" s="12" t="s">
        <v>1827</v>
      </c>
      <c r="I60" s="12" t="s">
        <v>1828</v>
      </c>
      <c r="J60" s="13" t="s">
        <v>1661</v>
      </c>
      <c r="K60" s="12"/>
      <c r="L60" s="12" t="s">
        <v>1829</v>
      </c>
      <c r="M60" s="12" t="s">
        <v>1828</v>
      </c>
    </row>
    <row r="61" spans="1:13" ht="55" customHeight="1" x14ac:dyDescent="0.2">
      <c r="A61" s="12">
        <v>60</v>
      </c>
      <c r="B61" s="12">
        <v>503490</v>
      </c>
      <c r="C61" s="12" t="s">
        <v>11</v>
      </c>
      <c r="D61" s="12" t="s">
        <v>314</v>
      </c>
      <c r="E61" s="12" t="s">
        <v>315</v>
      </c>
      <c r="F61" s="12" t="s">
        <v>316</v>
      </c>
      <c r="G61" s="12" t="s">
        <v>318</v>
      </c>
      <c r="H61" s="12" t="s">
        <v>1830</v>
      </c>
      <c r="I61" s="12" t="s">
        <v>1831</v>
      </c>
      <c r="J61" s="13" t="s">
        <v>1661</v>
      </c>
      <c r="K61" s="12"/>
      <c r="L61" s="12" t="s">
        <v>1832</v>
      </c>
      <c r="M61" s="12" t="s">
        <v>1831</v>
      </c>
    </row>
    <row r="62" spans="1:13" ht="55" customHeight="1" x14ac:dyDescent="0.2">
      <c r="A62" s="12">
        <v>61</v>
      </c>
      <c r="B62" s="12">
        <v>505452</v>
      </c>
      <c r="C62" s="12" t="s">
        <v>1178</v>
      </c>
      <c r="D62" s="12" t="s">
        <v>1295</v>
      </c>
      <c r="E62" s="12" t="s">
        <v>1296</v>
      </c>
      <c r="F62" s="12" t="s">
        <v>1297</v>
      </c>
      <c r="G62" s="12" t="s">
        <v>526</v>
      </c>
      <c r="H62" s="12" t="s">
        <v>1833</v>
      </c>
      <c r="I62" s="12" t="s">
        <v>1834</v>
      </c>
      <c r="J62" s="13" t="s">
        <v>1661</v>
      </c>
      <c r="K62" s="12"/>
      <c r="L62" s="12" t="s">
        <v>1835</v>
      </c>
      <c r="M62" s="12" t="s">
        <v>1834</v>
      </c>
    </row>
    <row r="63" spans="1:13" ht="55" customHeight="1" x14ac:dyDescent="0.2">
      <c r="A63" s="12">
        <v>62</v>
      </c>
      <c r="B63" s="12">
        <v>509045</v>
      </c>
      <c r="C63" s="12" t="s">
        <v>11</v>
      </c>
      <c r="D63" s="12" t="s">
        <v>292</v>
      </c>
      <c r="E63" s="12" t="s">
        <v>293</v>
      </c>
      <c r="F63" s="12" t="s">
        <v>294</v>
      </c>
      <c r="G63" s="12" t="s">
        <v>296</v>
      </c>
      <c r="H63" s="12" t="s">
        <v>1836</v>
      </c>
      <c r="I63" s="12" t="s">
        <v>1837</v>
      </c>
      <c r="J63" s="13" t="s">
        <v>1661</v>
      </c>
      <c r="K63" s="12"/>
      <c r="L63" s="12" t="s">
        <v>1838</v>
      </c>
      <c r="M63" s="12" t="s">
        <v>1837</v>
      </c>
    </row>
    <row r="64" spans="1:13" ht="55" customHeight="1" x14ac:dyDescent="0.2">
      <c r="A64" s="12">
        <v>63</v>
      </c>
      <c r="B64" s="12">
        <v>515025</v>
      </c>
      <c r="C64" s="12" t="s">
        <v>1178</v>
      </c>
      <c r="D64" s="12" t="s">
        <v>1257</v>
      </c>
      <c r="E64" s="12" t="s">
        <v>1258</v>
      </c>
      <c r="F64" s="12" t="s">
        <v>1259</v>
      </c>
      <c r="G64" s="12" t="s">
        <v>36</v>
      </c>
      <c r="H64" s="15"/>
      <c r="I64" s="15" t="s">
        <v>1839</v>
      </c>
      <c r="J64" s="15" t="s">
        <v>1840</v>
      </c>
      <c r="K64" s="12"/>
      <c r="L64" s="12" t="s">
        <v>1258</v>
      </c>
      <c r="M64" s="12" t="s">
        <v>1841</v>
      </c>
    </row>
    <row r="65" spans="1:13" ht="55" customHeight="1" x14ac:dyDescent="0.2">
      <c r="A65" s="12">
        <v>64</v>
      </c>
      <c r="B65" s="12">
        <v>515249</v>
      </c>
      <c r="C65" s="12" t="s">
        <v>415</v>
      </c>
      <c r="D65" s="12" t="s">
        <v>428</v>
      </c>
      <c r="E65" s="12" t="s">
        <v>429</v>
      </c>
      <c r="F65" s="12" t="s">
        <v>430</v>
      </c>
      <c r="G65" s="12" t="s">
        <v>267</v>
      </c>
      <c r="H65" s="12" t="s">
        <v>1842</v>
      </c>
      <c r="I65" s="12" t="s">
        <v>1843</v>
      </c>
      <c r="J65" s="13" t="s">
        <v>1661</v>
      </c>
      <c r="K65" s="12"/>
      <c r="L65" s="12" t="s">
        <v>1844</v>
      </c>
      <c r="M65" s="12" t="s">
        <v>1843</v>
      </c>
    </row>
    <row r="66" spans="1:13" ht="55" customHeight="1" x14ac:dyDescent="0.2">
      <c r="A66" s="12">
        <v>65</v>
      </c>
      <c r="B66" s="12">
        <v>518319</v>
      </c>
      <c r="C66" s="12" t="s">
        <v>1178</v>
      </c>
      <c r="D66" s="12" t="s">
        <v>1372</v>
      </c>
      <c r="E66" s="12" t="s">
        <v>1373</v>
      </c>
      <c r="F66" s="12" t="s">
        <v>1374</v>
      </c>
      <c r="G66" s="12" t="s">
        <v>36</v>
      </c>
      <c r="H66" s="12" t="s">
        <v>1845</v>
      </c>
      <c r="I66" s="12" t="s">
        <v>1846</v>
      </c>
      <c r="J66" s="13" t="s">
        <v>1661</v>
      </c>
      <c r="K66" s="12"/>
      <c r="L66" s="12" t="s">
        <v>1847</v>
      </c>
      <c r="M66" s="12" t="s">
        <v>1846</v>
      </c>
    </row>
    <row r="67" spans="1:13" ht="55" customHeight="1" x14ac:dyDescent="0.2">
      <c r="A67" s="12">
        <v>66</v>
      </c>
      <c r="B67" s="12">
        <v>520916</v>
      </c>
      <c r="C67" s="12" t="s">
        <v>666</v>
      </c>
      <c r="D67" s="12" t="s">
        <v>1069</v>
      </c>
      <c r="E67" s="12" t="s">
        <v>1070</v>
      </c>
      <c r="F67" s="12" t="s">
        <v>1071</v>
      </c>
      <c r="G67" s="12" t="s">
        <v>436</v>
      </c>
      <c r="H67" s="12" t="s">
        <v>1514</v>
      </c>
      <c r="I67" s="12" t="s">
        <v>1848</v>
      </c>
      <c r="J67" s="13" t="s">
        <v>1665</v>
      </c>
      <c r="K67" s="12"/>
      <c r="L67" s="12" t="s">
        <v>1849</v>
      </c>
      <c r="M67" s="12" t="s">
        <v>1848</v>
      </c>
    </row>
    <row r="68" spans="1:13" ht="55" customHeight="1" x14ac:dyDescent="0.2">
      <c r="A68" s="12">
        <v>67</v>
      </c>
      <c r="B68" s="12">
        <v>524540</v>
      </c>
      <c r="C68" s="12" t="s">
        <v>666</v>
      </c>
      <c r="D68" s="12" t="s">
        <v>1111</v>
      </c>
      <c r="E68" s="12" t="s">
        <v>1112</v>
      </c>
      <c r="F68" s="12" t="s">
        <v>1113</v>
      </c>
      <c r="G68" s="12" t="s">
        <v>85</v>
      </c>
      <c r="H68" s="12" t="s">
        <v>1850</v>
      </c>
      <c r="I68" s="12" t="s">
        <v>1851</v>
      </c>
      <c r="J68" s="13" t="s">
        <v>1661</v>
      </c>
      <c r="K68" s="12"/>
      <c r="L68" s="12" t="s">
        <v>1852</v>
      </c>
      <c r="M68" s="12" t="s">
        <v>1851</v>
      </c>
    </row>
    <row r="69" spans="1:13" ht="55" customHeight="1" x14ac:dyDescent="0.2">
      <c r="A69" s="12">
        <v>68</v>
      </c>
      <c r="B69" s="12">
        <v>526002</v>
      </c>
      <c r="C69" s="12" t="s">
        <v>11</v>
      </c>
      <c r="D69" s="12" t="s">
        <v>32</v>
      </c>
      <c r="E69" s="12" t="s">
        <v>33</v>
      </c>
      <c r="F69" s="12" t="s">
        <v>34</v>
      </c>
      <c r="G69" s="12" t="s">
        <v>36</v>
      </c>
      <c r="H69" s="12" t="s">
        <v>1853</v>
      </c>
      <c r="I69" s="12" t="s">
        <v>1854</v>
      </c>
      <c r="J69" s="13" t="s">
        <v>1661</v>
      </c>
      <c r="K69" s="12"/>
      <c r="L69" s="12" t="s">
        <v>1855</v>
      </c>
      <c r="M69" s="12" t="s">
        <v>1854</v>
      </c>
    </row>
    <row r="70" spans="1:13" ht="55" customHeight="1" x14ac:dyDescent="0.2">
      <c r="A70" s="12">
        <v>69</v>
      </c>
      <c r="B70" s="12">
        <v>535005</v>
      </c>
      <c r="C70" s="12" t="s">
        <v>415</v>
      </c>
      <c r="D70" s="12" t="s">
        <v>449</v>
      </c>
      <c r="E70" s="12" t="s">
        <v>450</v>
      </c>
      <c r="F70" s="12" t="s">
        <v>451</v>
      </c>
      <c r="G70" s="12" t="s">
        <v>453</v>
      </c>
      <c r="H70" s="12" t="s">
        <v>1856</v>
      </c>
      <c r="I70" s="12" t="s">
        <v>1857</v>
      </c>
      <c r="J70" s="13" t="s">
        <v>1661</v>
      </c>
      <c r="K70" s="12"/>
      <c r="L70" s="12" t="s">
        <v>1858</v>
      </c>
      <c r="M70" s="12" t="s">
        <v>1857</v>
      </c>
    </row>
    <row r="71" spans="1:13" ht="55" customHeight="1" x14ac:dyDescent="0.2">
      <c r="A71" s="12">
        <v>70</v>
      </c>
      <c r="B71" s="12">
        <v>545882</v>
      </c>
      <c r="C71" s="12" t="s">
        <v>11</v>
      </c>
      <c r="D71" s="12" t="s">
        <v>309</v>
      </c>
      <c r="E71" s="12" t="s">
        <v>310</v>
      </c>
      <c r="F71" s="12" t="s">
        <v>311</v>
      </c>
      <c r="G71" s="12" t="s">
        <v>313</v>
      </c>
      <c r="H71" s="12" t="s">
        <v>1859</v>
      </c>
      <c r="I71" s="12" t="s">
        <v>1860</v>
      </c>
      <c r="J71" s="13" t="s">
        <v>1661</v>
      </c>
      <c r="K71" s="12"/>
      <c r="L71" s="12" t="s">
        <v>1861</v>
      </c>
      <c r="M71" s="12" t="s">
        <v>1860</v>
      </c>
    </row>
    <row r="72" spans="1:13" ht="55" customHeight="1" x14ac:dyDescent="0.2">
      <c r="A72" s="12">
        <v>71</v>
      </c>
      <c r="B72" s="12">
        <v>546870</v>
      </c>
      <c r="C72" s="12" t="s">
        <v>415</v>
      </c>
      <c r="D72" s="12" t="s">
        <v>632</v>
      </c>
      <c r="E72" s="12" t="s">
        <v>633</v>
      </c>
      <c r="F72" s="12" t="s">
        <v>634</v>
      </c>
      <c r="G72" s="12" t="s">
        <v>26</v>
      </c>
      <c r="H72" s="12" t="s">
        <v>1507</v>
      </c>
      <c r="I72" s="12" t="s">
        <v>1862</v>
      </c>
      <c r="J72" s="13" t="s">
        <v>1661</v>
      </c>
      <c r="K72" s="12"/>
      <c r="L72" s="12" t="s">
        <v>1863</v>
      </c>
      <c r="M72" s="12" t="s">
        <v>1862</v>
      </c>
    </row>
    <row r="73" spans="1:13" ht="55" customHeight="1" x14ac:dyDescent="0.2">
      <c r="A73" s="12">
        <v>72</v>
      </c>
      <c r="B73" s="12">
        <v>563870</v>
      </c>
      <c r="C73" s="12" t="s">
        <v>1178</v>
      </c>
      <c r="D73" s="12" t="s">
        <v>1241</v>
      </c>
      <c r="E73" s="12" t="s">
        <v>1242</v>
      </c>
      <c r="F73" s="12" t="s">
        <v>1243</v>
      </c>
      <c r="G73" s="12" t="s">
        <v>163</v>
      </c>
      <c r="H73" s="12" t="s">
        <v>1864</v>
      </c>
      <c r="I73" s="12" t="s">
        <v>1865</v>
      </c>
      <c r="J73" s="13" t="s">
        <v>1661</v>
      </c>
      <c r="K73" s="12"/>
      <c r="L73" s="12" t="s">
        <v>1866</v>
      </c>
      <c r="M73" s="12" t="s">
        <v>1865</v>
      </c>
    </row>
    <row r="74" spans="1:13" ht="55" customHeight="1" x14ac:dyDescent="0.2">
      <c r="A74" s="12">
        <v>73</v>
      </c>
      <c r="B74" s="12">
        <v>566297</v>
      </c>
      <c r="C74" s="12" t="s">
        <v>415</v>
      </c>
      <c r="D74" s="12" t="s">
        <v>514</v>
      </c>
      <c r="E74" s="12" t="s">
        <v>515</v>
      </c>
      <c r="F74" s="12" t="s">
        <v>516</v>
      </c>
      <c r="G74" s="12" t="s">
        <v>26</v>
      </c>
      <c r="H74" s="12" t="s">
        <v>1867</v>
      </c>
      <c r="I74" s="12" t="s">
        <v>1868</v>
      </c>
      <c r="J74" s="13" t="s">
        <v>1661</v>
      </c>
      <c r="K74" s="12"/>
      <c r="L74" s="12" t="s">
        <v>1869</v>
      </c>
      <c r="M74" s="12" t="s">
        <v>1868</v>
      </c>
    </row>
    <row r="75" spans="1:13" ht="55" customHeight="1" x14ac:dyDescent="0.2">
      <c r="A75" s="12">
        <v>74</v>
      </c>
      <c r="B75" s="12">
        <v>575707</v>
      </c>
      <c r="C75" s="12" t="s">
        <v>11</v>
      </c>
      <c r="D75" s="12" t="s">
        <v>331</v>
      </c>
      <c r="E75" s="12" t="s">
        <v>332</v>
      </c>
      <c r="F75" s="12" t="s">
        <v>333</v>
      </c>
      <c r="G75" s="12" t="s">
        <v>335</v>
      </c>
      <c r="H75" s="12" t="s">
        <v>1870</v>
      </c>
      <c r="I75" s="12" t="s">
        <v>1871</v>
      </c>
      <c r="J75" s="13" t="s">
        <v>1661</v>
      </c>
      <c r="K75" s="14" t="s">
        <v>1872</v>
      </c>
      <c r="L75" s="12" t="s">
        <v>1873</v>
      </c>
      <c r="M75" s="12" t="s">
        <v>1871</v>
      </c>
    </row>
    <row r="76" spans="1:13" ht="55" customHeight="1" x14ac:dyDescent="0.2">
      <c r="A76" s="12">
        <v>75</v>
      </c>
      <c r="B76" s="12">
        <v>589079</v>
      </c>
      <c r="C76" s="12" t="s">
        <v>666</v>
      </c>
      <c r="D76" s="12" t="s">
        <v>843</v>
      </c>
      <c r="E76" s="12" t="s">
        <v>844</v>
      </c>
      <c r="F76" s="12" t="s">
        <v>845</v>
      </c>
      <c r="G76" s="12" t="s">
        <v>267</v>
      </c>
      <c r="H76" s="12" t="s">
        <v>1874</v>
      </c>
      <c r="I76" s="12" t="s">
        <v>1875</v>
      </c>
      <c r="J76" s="13" t="s">
        <v>1661</v>
      </c>
      <c r="K76" s="12"/>
      <c r="L76" s="12" t="s">
        <v>1876</v>
      </c>
      <c r="M76" s="12" t="s">
        <v>1875</v>
      </c>
    </row>
    <row r="77" spans="1:13" ht="55" customHeight="1" x14ac:dyDescent="0.2">
      <c r="A77" s="12">
        <v>76</v>
      </c>
      <c r="B77" s="12">
        <v>593717</v>
      </c>
      <c r="C77" s="12" t="s">
        <v>11</v>
      </c>
      <c r="D77" s="12" t="s">
        <v>86</v>
      </c>
      <c r="E77" s="12" t="s">
        <v>87</v>
      </c>
      <c r="F77" s="12" t="s">
        <v>88</v>
      </c>
      <c r="G77" s="12" t="s">
        <v>90</v>
      </c>
      <c r="H77" s="12" t="s">
        <v>1877</v>
      </c>
      <c r="I77" s="12" t="s">
        <v>1878</v>
      </c>
      <c r="J77" s="13" t="s">
        <v>1665</v>
      </c>
      <c r="K77" s="12"/>
      <c r="L77" s="12" t="s">
        <v>1879</v>
      </c>
      <c r="M77" s="12" t="s">
        <v>1878</v>
      </c>
    </row>
    <row r="78" spans="1:13" ht="55" customHeight="1" x14ac:dyDescent="0.2">
      <c r="A78" s="12">
        <v>77</v>
      </c>
      <c r="B78" s="12">
        <v>596834</v>
      </c>
      <c r="C78" s="12" t="s">
        <v>415</v>
      </c>
      <c r="D78" s="12" t="s">
        <v>487</v>
      </c>
      <c r="E78" s="12" t="s">
        <v>488</v>
      </c>
      <c r="F78" s="12" t="s">
        <v>489</v>
      </c>
      <c r="G78" s="12" t="s">
        <v>491</v>
      </c>
      <c r="H78" s="12" t="s">
        <v>1880</v>
      </c>
      <c r="I78" s="12" t="s">
        <v>1881</v>
      </c>
      <c r="J78" s="13" t="s">
        <v>1661</v>
      </c>
      <c r="K78" s="12"/>
      <c r="L78" s="12" t="s">
        <v>1882</v>
      </c>
      <c r="M78" s="12" t="s">
        <v>1881</v>
      </c>
    </row>
    <row r="79" spans="1:13" ht="55" customHeight="1" x14ac:dyDescent="0.2">
      <c r="A79" s="12">
        <v>78</v>
      </c>
      <c r="B79" s="12">
        <v>610229</v>
      </c>
      <c r="C79" s="12" t="s">
        <v>415</v>
      </c>
      <c r="D79" s="12" t="s">
        <v>496</v>
      </c>
      <c r="E79" s="12" t="s">
        <v>497</v>
      </c>
      <c r="F79" s="12" t="s">
        <v>498</v>
      </c>
      <c r="G79" s="12" t="s">
        <v>500</v>
      </c>
      <c r="H79" s="12" t="s">
        <v>1883</v>
      </c>
      <c r="I79" s="12" t="s">
        <v>1884</v>
      </c>
      <c r="J79" s="13" t="s">
        <v>1665</v>
      </c>
      <c r="K79" s="12"/>
      <c r="L79" s="12" t="s">
        <v>1885</v>
      </c>
      <c r="M79" s="12" t="s">
        <v>1884</v>
      </c>
    </row>
    <row r="80" spans="1:13" ht="55" customHeight="1" x14ac:dyDescent="0.2">
      <c r="A80" s="12">
        <v>79</v>
      </c>
      <c r="B80" s="12">
        <v>618047</v>
      </c>
      <c r="C80" s="12" t="s">
        <v>1178</v>
      </c>
      <c r="D80" s="12" t="s">
        <v>1384</v>
      </c>
      <c r="E80" s="12" t="s">
        <v>1385</v>
      </c>
      <c r="F80" s="12" t="s">
        <v>1386</v>
      </c>
      <c r="G80" s="12" t="s">
        <v>26</v>
      </c>
      <c r="H80" s="12" t="s">
        <v>1886</v>
      </c>
      <c r="I80" s="12" t="s">
        <v>1887</v>
      </c>
      <c r="J80" s="13" t="s">
        <v>1661</v>
      </c>
      <c r="K80" s="12"/>
      <c r="L80" s="12" t="s">
        <v>1888</v>
      </c>
      <c r="M80" s="12" t="s">
        <v>1887</v>
      </c>
    </row>
    <row r="81" spans="1:13" ht="55" customHeight="1" x14ac:dyDescent="0.2">
      <c r="A81" s="12">
        <v>80</v>
      </c>
      <c r="B81" s="12">
        <v>620304</v>
      </c>
      <c r="C81" s="12" t="s">
        <v>415</v>
      </c>
      <c r="D81" s="12" t="s">
        <v>623</v>
      </c>
      <c r="E81" s="12" t="s">
        <v>624</v>
      </c>
      <c r="F81" s="12" t="s">
        <v>625</v>
      </c>
      <c r="G81" s="12" t="s">
        <v>26</v>
      </c>
      <c r="H81" s="12" t="s">
        <v>1889</v>
      </c>
      <c r="I81" s="12" t="s">
        <v>1890</v>
      </c>
      <c r="J81" s="13" t="s">
        <v>1661</v>
      </c>
      <c r="K81" s="12"/>
      <c r="L81" s="12" t="s">
        <v>1891</v>
      </c>
      <c r="M81" s="12" t="s">
        <v>1890</v>
      </c>
    </row>
    <row r="82" spans="1:13" ht="55" customHeight="1" x14ac:dyDescent="0.2">
      <c r="A82" s="12">
        <v>81</v>
      </c>
      <c r="B82" s="12">
        <v>623865</v>
      </c>
      <c r="C82" s="12" t="s">
        <v>666</v>
      </c>
      <c r="D82" s="12" t="s">
        <v>859</v>
      </c>
      <c r="E82" s="12" t="s">
        <v>860</v>
      </c>
      <c r="F82" s="12" t="s">
        <v>861</v>
      </c>
      <c r="G82" s="12" t="s">
        <v>26</v>
      </c>
      <c r="H82" s="12" t="s">
        <v>1892</v>
      </c>
      <c r="I82" s="12" t="s">
        <v>1893</v>
      </c>
      <c r="J82" s="13" t="s">
        <v>1661</v>
      </c>
      <c r="K82" s="12"/>
      <c r="L82" s="12" t="s">
        <v>1894</v>
      </c>
      <c r="M82" s="12" t="s">
        <v>1893</v>
      </c>
    </row>
    <row r="83" spans="1:13" ht="55" customHeight="1" x14ac:dyDescent="0.2">
      <c r="A83" s="12">
        <v>82</v>
      </c>
      <c r="B83" s="12">
        <v>624110</v>
      </c>
      <c r="C83" s="12" t="s">
        <v>1178</v>
      </c>
      <c r="D83" s="12" t="s">
        <v>1299</v>
      </c>
      <c r="E83" s="12" t="s">
        <v>1300</v>
      </c>
      <c r="F83" s="12" t="s">
        <v>1301</v>
      </c>
      <c r="G83" s="12" t="s">
        <v>75</v>
      </c>
      <c r="H83" s="12" t="s">
        <v>1895</v>
      </c>
      <c r="I83" s="12" t="s">
        <v>1896</v>
      </c>
      <c r="J83" s="13" t="s">
        <v>1661</v>
      </c>
      <c r="K83" s="12"/>
      <c r="L83" s="12" t="s">
        <v>1897</v>
      </c>
      <c r="M83" s="12" t="s">
        <v>1896</v>
      </c>
    </row>
    <row r="84" spans="1:13" ht="55" customHeight="1" x14ac:dyDescent="0.2">
      <c r="A84" s="12">
        <v>83</v>
      </c>
      <c r="B84" s="12">
        <v>631704</v>
      </c>
      <c r="C84" s="12" t="s">
        <v>415</v>
      </c>
      <c r="D84" s="12" t="s">
        <v>535</v>
      </c>
      <c r="E84" s="12" t="s">
        <v>536</v>
      </c>
      <c r="F84" s="12" t="s">
        <v>537</v>
      </c>
      <c r="G84" s="12" t="s">
        <v>90</v>
      </c>
      <c r="H84" s="12" t="s">
        <v>1898</v>
      </c>
      <c r="I84" s="12" t="s">
        <v>1899</v>
      </c>
      <c r="J84" s="13" t="s">
        <v>1661</v>
      </c>
      <c r="K84" s="14" t="s">
        <v>1900</v>
      </c>
      <c r="L84" s="12" t="s">
        <v>1901</v>
      </c>
      <c r="M84" s="12" t="s">
        <v>1899</v>
      </c>
    </row>
    <row r="85" spans="1:13" ht="55" customHeight="1" x14ac:dyDescent="0.2">
      <c r="A85" s="12">
        <v>84</v>
      </c>
      <c r="B85" s="12">
        <v>636579</v>
      </c>
      <c r="C85" s="12" t="s">
        <v>11</v>
      </c>
      <c r="D85" s="12" t="s">
        <v>200</v>
      </c>
      <c r="E85" s="12" t="s">
        <v>201</v>
      </c>
      <c r="F85" s="12" t="s">
        <v>202</v>
      </c>
      <c r="G85" s="12" t="s">
        <v>204</v>
      </c>
      <c r="H85" s="12" t="s">
        <v>1902</v>
      </c>
      <c r="I85" s="12" t="s">
        <v>1903</v>
      </c>
      <c r="J85" s="13" t="s">
        <v>1661</v>
      </c>
      <c r="K85" s="12"/>
      <c r="L85" s="12" t="s">
        <v>1904</v>
      </c>
      <c r="M85" s="12" t="s">
        <v>1903</v>
      </c>
    </row>
    <row r="86" spans="1:13" ht="55" customHeight="1" x14ac:dyDescent="0.2">
      <c r="A86" s="12">
        <v>85</v>
      </c>
      <c r="B86" s="12">
        <v>645123</v>
      </c>
      <c r="C86" s="12" t="s">
        <v>666</v>
      </c>
      <c r="D86" s="12" t="s">
        <v>675</v>
      </c>
      <c r="E86" s="12" t="s">
        <v>676</v>
      </c>
      <c r="F86" s="12" t="s">
        <v>677</v>
      </c>
      <c r="G86" s="12" t="s">
        <v>26</v>
      </c>
      <c r="H86" s="12" t="s">
        <v>1905</v>
      </c>
      <c r="I86" s="12" t="s">
        <v>1906</v>
      </c>
      <c r="J86" s="13" t="s">
        <v>1665</v>
      </c>
      <c r="K86" s="12"/>
      <c r="L86" s="12" t="s">
        <v>1907</v>
      </c>
      <c r="M86" s="12" t="s">
        <v>1906</v>
      </c>
    </row>
    <row r="87" spans="1:13" ht="55" customHeight="1" x14ac:dyDescent="0.2">
      <c r="A87" s="12">
        <v>86</v>
      </c>
      <c r="B87" s="12">
        <v>650280</v>
      </c>
      <c r="C87" s="12" t="s">
        <v>666</v>
      </c>
      <c r="D87" s="12" t="s">
        <v>798</v>
      </c>
      <c r="E87" s="12" t="s">
        <v>799</v>
      </c>
      <c r="F87" s="12" t="s">
        <v>800</v>
      </c>
      <c r="G87" s="12" t="s">
        <v>802</v>
      </c>
      <c r="H87" s="12" t="s">
        <v>1908</v>
      </c>
      <c r="I87" s="12" t="s">
        <v>1909</v>
      </c>
      <c r="J87" s="13" t="s">
        <v>1665</v>
      </c>
      <c r="K87" s="12"/>
      <c r="L87" s="12" t="s">
        <v>1910</v>
      </c>
      <c r="M87" s="12" t="s">
        <v>1909</v>
      </c>
    </row>
    <row r="88" spans="1:13" ht="55" customHeight="1" x14ac:dyDescent="0.2">
      <c r="A88" s="12">
        <v>87</v>
      </c>
      <c r="B88" s="12">
        <v>654451</v>
      </c>
      <c r="C88" s="12" t="s">
        <v>415</v>
      </c>
      <c r="D88" s="12" t="s">
        <v>1911</v>
      </c>
      <c r="E88" s="12" t="s">
        <v>420</v>
      </c>
      <c r="F88" s="12" t="s">
        <v>421</v>
      </c>
      <c r="G88" s="12" t="s">
        <v>108</v>
      </c>
      <c r="H88" s="12" t="s">
        <v>1912</v>
      </c>
      <c r="I88" s="12" t="s">
        <v>1913</v>
      </c>
      <c r="J88" s="13" t="s">
        <v>1661</v>
      </c>
      <c r="K88" s="12"/>
      <c r="L88" s="12" t="s">
        <v>1914</v>
      </c>
      <c r="M88" s="12" t="s">
        <v>1913</v>
      </c>
    </row>
    <row r="89" spans="1:13" ht="55" customHeight="1" x14ac:dyDescent="0.2">
      <c r="A89" s="12">
        <v>88</v>
      </c>
      <c r="B89" s="12">
        <v>660073</v>
      </c>
      <c r="C89" s="12" t="s">
        <v>1178</v>
      </c>
      <c r="D89" s="12" t="s">
        <v>1354</v>
      </c>
      <c r="E89" s="12" t="s">
        <v>1355</v>
      </c>
      <c r="F89" s="12" t="s">
        <v>1356</v>
      </c>
      <c r="G89" s="12" t="s">
        <v>1358</v>
      </c>
      <c r="H89" s="12" t="s">
        <v>1915</v>
      </c>
      <c r="I89" s="12" t="s">
        <v>1916</v>
      </c>
      <c r="J89" s="13" t="s">
        <v>1665</v>
      </c>
      <c r="K89" s="12"/>
      <c r="L89" s="12" t="s">
        <v>1917</v>
      </c>
      <c r="M89" s="12" t="s">
        <v>1916</v>
      </c>
    </row>
    <row r="90" spans="1:13" ht="55" customHeight="1" x14ac:dyDescent="0.2">
      <c r="A90" s="12">
        <v>89</v>
      </c>
      <c r="B90" s="12">
        <v>661575</v>
      </c>
      <c r="C90" s="12" t="s">
        <v>666</v>
      </c>
      <c r="D90" s="12" t="s">
        <v>970</v>
      </c>
      <c r="E90" s="12" t="s">
        <v>971</v>
      </c>
      <c r="F90" s="12" t="s">
        <v>972</v>
      </c>
      <c r="G90" s="12" t="s">
        <v>36</v>
      </c>
      <c r="H90" s="15"/>
      <c r="I90" s="15" t="s">
        <v>1918</v>
      </c>
      <c r="J90" s="15" t="s">
        <v>1919</v>
      </c>
      <c r="K90" s="12"/>
      <c r="L90" s="12" t="s">
        <v>1920</v>
      </c>
      <c r="M90" s="12" t="s">
        <v>1921</v>
      </c>
    </row>
    <row r="91" spans="1:13" ht="55" customHeight="1" x14ac:dyDescent="0.2">
      <c r="A91" s="12">
        <v>90</v>
      </c>
      <c r="B91" s="12">
        <v>665057</v>
      </c>
      <c r="C91" s="12" t="s">
        <v>11</v>
      </c>
      <c r="D91" s="12" t="s">
        <v>236</v>
      </c>
      <c r="E91" s="12" t="s">
        <v>237</v>
      </c>
      <c r="F91" s="12" t="s">
        <v>238</v>
      </c>
      <c r="G91" s="12" t="s">
        <v>240</v>
      </c>
      <c r="H91" s="12" t="s">
        <v>1922</v>
      </c>
      <c r="I91" s="12" t="s">
        <v>1923</v>
      </c>
      <c r="J91" s="13" t="s">
        <v>1661</v>
      </c>
      <c r="K91" s="12"/>
      <c r="L91" s="12" t="s">
        <v>1924</v>
      </c>
      <c r="M91" s="12" t="s">
        <v>1923</v>
      </c>
    </row>
    <row r="92" spans="1:13" ht="55" customHeight="1" x14ac:dyDescent="0.2">
      <c r="A92" s="12">
        <v>91</v>
      </c>
      <c r="B92" s="12">
        <v>669675</v>
      </c>
      <c r="C92" s="12" t="s">
        <v>415</v>
      </c>
      <c r="D92" s="12" t="s">
        <v>606</v>
      </c>
      <c r="E92" s="12" t="s">
        <v>607</v>
      </c>
      <c r="F92" s="12" t="s">
        <v>608</v>
      </c>
      <c r="G92" s="12" t="s">
        <v>26</v>
      </c>
      <c r="H92" s="12" t="s">
        <v>1670</v>
      </c>
      <c r="I92" s="12" t="s">
        <v>1925</v>
      </c>
      <c r="J92" s="13" t="s">
        <v>1661</v>
      </c>
      <c r="K92" s="12"/>
      <c r="L92" s="12" t="s">
        <v>1926</v>
      </c>
      <c r="M92" s="12" t="s">
        <v>1925</v>
      </c>
    </row>
    <row r="93" spans="1:13" ht="55" customHeight="1" x14ac:dyDescent="0.2">
      <c r="A93" s="12">
        <v>92</v>
      </c>
      <c r="B93" s="12">
        <v>671864</v>
      </c>
      <c r="C93" s="12" t="s">
        <v>11</v>
      </c>
      <c r="D93" s="12" t="s">
        <v>132</v>
      </c>
      <c r="E93" s="12" t="s">
        <v>133</v>
      </c>
      <c r="F93" s="12" t="s">
        <v>134</v>
      </c>
      <c r="G93" s="12" t="s">
        <v>80</v>
      </c>
      <c r="H93" s="12" t="s">
        <v>1927</v>
      </c>
      <c r="I93" s="12" t="s">
        <v>1928</v>
      </c>
      <c r="J93" s="13" t="s">
        <v>1665</v>
      </c>
      <c r="K93" s="12"/>
      <c r="L93" s="12" t="s">
        <v>1929</v>
      </c>
      <c r="M93" s="12" t="s">
        <v>1928</v>
      </c>
    </row>
    <row r="94" spans="1:13" ht="55" customHeight="1" x14ac:dyDescent="0.2">
      <c r="A94" s="12">
        <v>93</v>
      </c>
      <c r="B94" s="12">
        <v>672174</v>
      </c>
      <c r="C94" s="12" t="s">
        <v>415</v>
      </c>
      <c r="D94" s="12" t="s">
        <v>560</v>
      </c>
      <c r="E94" s="12" t="s">
        <v>561</v>
      </c>
      <c r="F94" s="12" t="s">
        <v>562</v>
      </c>
      <c r="G94" s="12" t="s">
        <v>564</v>
      </c>
      <c r="H94" s="12" t="s">
        <v>1930</v>
      </c>
      <c r="I94" s="12" t="s">
        <v>1931</v>
      </c>
      <c r="J94" s="13" t="s">
        <v>1661</v>
      </c>
      <c r="K94" s="12"/>
      <c r="L94" s="12" t="s">
        <v>1932</v>
      </c>
      <c r="M94" s="12" t="s">
        <v>1931</v>
      </c>
    </row>
    <row r="95" spans="1:13" ht="55" customHeight="1" x14ac:dyDescent="0.2">
      <c r="A95" s="12">
        <v>94</v>
      </c>
      <c r="B95" s="12">
        <v>675951</v>
      </c>
      <c r="C95" s="12" t="s">
        <v>11</v>
      </c>
      <c r="D95" s="12" t="s">
        <v>173</v>
      </c>
      <c r="E95" s="12" t="s">
        <v>174</v>
      </c>
      <c r="F95" s="12" t="s">
        <v>175</v>
      </c>
      <c r="G95" s="12" t="s">
        <v>177</v>
      </c>
      <c r="H95" s="12" t="s">
        <v>1933</v>
      </c>
      <c r="I95" s="12" t="s">
        <v>1934</v>
      </c>
      <c r="J95" s="13" t="s">
        <v>1661</v>
      </c>
      <c r="K95" s="12"/>
      <c r="L95" s="12" t="s">
        <v>1935</v>
      </c>
      <c r="M95" s="12" t="s">
        <v>1934</v>
      </c>
    </row>
    <row r="96" spans="1:13" ht="55" customHeight="1" x14ac:dyDescent="0.2">
      <c r="A96" s="12">
        <v>95</v>
      </c>
      <c r="B96" s="12">
        <v>679145</v>
      </c>
      <c r="C96" s="12" t="s">
        <v>1178</v>
      </c>
      <c r="D96" s="12" t="s">
        <v>1203</v>
      </c>
      <c r="E96" s="12" t="s">
        <v>1204</v>
      </c>
      <c r="F96" s="12" t="s">
        <v>1205</v>
      </c>
      <c r="G96" s="12" t="s">
        <v>1207</v>
      </c>
      <c r="H96" s="12" t="s">
        <v>1936</v>
      </c>
      <c r="I96" s="12" t="s">
        <v>1937</v>
      </c>
      <c r="J96" s="13" t="s">
        <v>1661</v>
      </c>
      <c r="K96" s="12"/>
      <c r="L96" s="12" t="s">
        <v>1938</v>
      </c>
      <c r="M96" s="12" t="s">
        <v>1937</v>
      </c>
    </row>
    <row r="97" spans="1:13" ht="55" customHeight="1" x14ac:dyDescent="0.2">
      <c r="A97" s="12">
        <v>96</v>
      </c>
      <c r="B97" s="12">
        <v>679878</v>
      </c>
      <c r="C97" s="12" t="s">
        <v>666</v>
      </c>
      <c r="D97" s="12" t="s">
        <v>803</v>
      </c>
      <c r="E97" s="12" t="s">
        <v>804</v>
      </c>
      <c r="F97" s="12" t="s">
        <v>805</v>
      </c>
      <c r="G97" s="12" t="s">
        <v>807</v>
      </c>
      <c r="H97" s="12" t="s">
        <v>1939</v>
      </c>
      <c r="I97" s="12" t="s">
        <v>1940</v>
      </c>
      <c r="J97" s="13" t="s">
        <v>1661</v>
      </c>
      <c r="K97" s="12"/>
      <c r="L97" s="12" t="s">
        <v>1941</v>
      </c>
      <c r="M97" s="12" t="s">
        <v>1940</v>
      </c>
    </row>
    <row r="98" spans="1:13" ht="55" customHeight="1" x14ac:dyDescent="0.2">
      <c r="A98" s="12">
        <v>97</v>
      </c>
      <c r="B98" s="12">
        <v>692936</v>
      </c>
      <c r="C98" s="12" t="s">
        <v>666</v>
      </c>
      <c r="D98" s="12" t="s">
        <v>978</v>
      </c>
      <c r="E98" s="12" t="s">
        <v>979</v>
      </c>
      <c r="F98" s="12" t="s">
        <v>980</v>
      </c>
      <c r="G98" s="12" t="s">
        <v>80</v>
      </c>
      <c r="H98" s="12" t="s">
        <v>1942</v>
      </c>
      <c r="I98" s="12" t="s">
        <v>1943</v>
      </c>
      <c r="J98" s="13" t="s">
        <v>1661</v>
      </c>
      <c r="K98" s="12"/>
      <c r="L98" s="12" t="s">
        <v>1944</v>
      </c>
      <c r="M98" s="12" t="s">
        <v>1943</v>
      </c>
    </row>
    <row r="99" spans="1:13" ht="55" customHeight="1" x14ac:dyDescent="0.2">
      <c r="A99" s="12">
        <v>98</v>
      </c>
      <c r="B99" s="12">
        <v>693721</v>
      </c>
      <c r="C99" s="12" t="s">
        <v>666</v>
      </c>
      <c r="D99" s="12" t="s">
        <v>995</v>
      </c>
      <c r="E99" s="12" t="s">
        <v>996</v>
      </c>
      <c r="F99" s="12" t="s">
        <v>997</v>
      </c>
      <c r="G99" s="12" t="s">
        <v>999</v>
      </c>
      <c r="H99" s="12" t="s">
        <v>1945</v>
      </c>
      <c r="I99" s="12" t="s">
        <v>1946</v>
      </c>
      <c r="J99" s="13" t="s">
        <v>1661</v>
      </c>
      <c r="K99" s="12"/>
      <c r="L99" s="12" t="s">
        <v>1947</v>
      </c>
      <c r="M99" s="12" t="s">
        <v>1946</v>
      </c>
    </row>
    <row r="100" spans="1:13" ht="55" customHeight="1" x14ac:dyDescent="0.2">
      <c r="A100" s="12">
        <v>99</v>
      </c>
      <c r="B100" s="12">
        <v>697746</v>
      </c>
      <c r="C100" s="12" t="s">
        <v>666</v>
      </c>
      <c r="D100" s="12" t="s">
        <v>1123</v>
      </c>
      <c r="E100" s="12" t="s">
        <v>1124</v>
      </c>
      <c r="F100" s="12" t="s">
        <v>1125</v>
      </c>
      <c r="G100" s="12" t="s">
        <v>276</v>
      </c>
      <c r="H100" s="12" t="s">
        <v>1948</v>
      </c>
      <c r="I100" s="12" t="s">
        <v>1949</v>
      </c>
      <c r="J100" s="13" t="s">
        <v>1661</v>
      </c>
      <c r="K100" s="12"/>
      <c r="L100" s="12" t="s">
        <v>1950</v>
      </c>
      <c r="M100" s="12" t="s">
        <v>1949</v>
      </c>
    </row>
    <row r="101" spans="1:13" ht="55" customHeight="1" x14ac:dyDescent="0.2">
      <c r="A101" s="12">
        <v>100</v>
      </c>
      <c r="B101" s="12">
        <v>703353</v>
      </c>
      <c r="C101" s="12" t="s">
        <v>666</v>
      </c>
      <c r="D101" s="12" t="s">
        <v>1016</v>
      </c>
      <c r="E101" s="12" t="s">
        <v>1017</v>
      </c>
      <c r="F101" s="12" t="s">
        <v>1018</v>
      </c>
      <c r="G101" s="12" t="s">
        <v>453</v>
      </c>
      <c r="H101" s="12" t="s">
        <v>1951</v>
      </c>
      <c r="I101" s="12" t="s">
        <v>1952</v>
      </c>
      <c r="J101" s="13" t="s">
        <v>1661</v>
      </c>
      <c r="K101" s="12"/>
      <c r="L101" s="12" t="s">
        <v>1953</v>
      </c>
      <c r="M101" s="12" t="s">
        <v>1952</v>
      </c>
    </row>
    <row r="102" spans="1:13" ht="55" customHeight="1" x14ac:dyDescent="0.2">
      <c r="A102" s="12">
        <v>101</v>
      </c>
      <c r="B102" s="12">
        <v>711960</v>
      </c>
      <c r="C102" s="12" t="s">
        <v>11</v>
      </c>
      <c r="D102" s="12" t="s">
        <v>47</v>
      </c>
      <c r="E102" s="12" t="s">
        <v>48</v>
      </c>
      <c r="F102" s="12" t="s">
        <v>49</v>
      </c>
      <c r="G102" s="12" t="s">
        <v>51</v>
      </c>
      <c r="H102" s="12" t="s">
        <v>1954</v>
      </c>
      <c r="I102" s="12" t="s">
        <v>1955</v>
      </c>
      <c r="J102" s="13" t="s">
        <v>1665</v>
      </c>
      <c r="K102" s="12"/>
      <c r="L102" s="12" t="s">
        <v>1956</v>
      </c>
      <c r="M102" s="12" t="s">
        <v>1955</v>
      </c>
    </row>
    <row r="103" spans="1:13" ht="55" customHeight="1" x14ac:dyDescent="0.2">
      <c r="A103" s="12">
        <v>102</v>
      </c>
      <c r="B103" s="12">
        <v>713539</v>
      </c>
      <c r="C103" s="12" t="s">
        <v>415</v>
      </c>
      <c r="D103" s="12" t="s">
        <v>527</v>
      </c>
      <c r="E103" s="12" t="s">
        <v>528</v>
      </c>
      <c r="F103" s="12" t="s">
        <v>529</v>
      </c>
      <c r="G103" s="12" t="s">
        <v>108</v>
      </c>
      <c r="H103" s="12" t="s">
        <v>1957</v>
      </c>
      <c r="I103" s="12" t="s">
        <v>1958</v>
      </c>
      <c r="J103" s="13" t="s">
        <v>1661</v>
      </c>
      <c r="K103" s="12"/>
      <c r="L103" s="12" t="s">
        <v>1959</v>
      </c>
      <c r="M103" s="12" t="s">
        <v>1958</v>
      </c>
    </row>
    <row r="104" spans="1:13" ht="55" customHeight="1" x14ac:dyDescent="0.2">
      <c r="A104" s="12">
        <v>103</v>
      </c>
      <c r="B104" s="12">
        <v>719693</v>
      </c>
      <c r="C104" s="12" t="s">
        <v>415</v>
      </c>
      <c r="D104" s="12" t="s">
        <v>454</v>
      </c>
      <c r="E104" s="12" t="s">
        <v>455</v>
      </c>
      <c r="F104" s="12" t="s">
        <v>456</v>
      </c>
      <c r="G104" s="12" t="s">
        <v>276</v>
      </c>
      <c r="H104" s="12" t="s">
        <v>1960</v>
      </c>
      <c r="I104" s="12" t="s">
        <v>1961</v>
      </c>
      <c r="J104" s="13" t="s">
        <v>1661</v>
      </c>
      <c r="K104" s="12"/>
      <c r="L104" s="12" t="s">
        <v>1962</v>
      </c>
      <c r="M104" s="12" t="s">
        <v>1961</v>
      </c>
    </row>
    <row r="105" spans="1:13" ht="55" customHeight="1" x14ac:dyDescent="0.2">
      <c r="A105" s="12">
        <v>104</v>
      </c>
      <c r="B105" s="12">
        <v>722270</v>
      </c>
      <c r="C105" s="12" t="s">
        <v>11</v>
      </c>
      <c r="D105" s="12" t="s">
        <v>323</v>
      </c>
      <c r="E105" s="12" t="s">
        <v>324</v>
      </c>
      <c r="F105" s="12" t="s">
        <v>325</v>
      </c>
      <c r="G105" s="12" t="s">
        <v>75</v>
      </c>
      <c r="H105" s="12" t="s">
        <v>1963</v>
      </c>
      <c r="I105" s="12" t="s">
        <v>1964</v>
      </c>
      <c r="J105" s="13" t="s">
        <v>1665</v>
      </c>
      <c r="K105" s="12"/>
      <c r="L105" s="12" t="s">
        <v>1965</v>
      </c>
      <c r="M105" s="12" t="s">
        <v>1964</v>
      </c>
    </row>
    <row r="106" spans="1:13" ht="55" customHeight="1" x14ac:dyDescent="0.2">
      <c r="A106" s="12">
        <v>105</v>
      </c>
      <c r="B106" s="12">
        <v>742099</v>
      </c>
      <c r="C106" s="12" t="s">
        <v>1178</v>
      </c>
      <c r="D106" s="12" t="s">
        <v>1388</v>
      </c>
      <c r="E106" s="12" t="s">
        <v>1389</v>
      </c>
      <c r="F106" s="12" t="s">
        <v>1390</v>
      </c>
      <c r="G106" s="12" t="s">
        <v>36</v>
      </c>
      <c r="H106" s="12" t="s">
        <v>1536</v>
      </c>
      <c r="I106" s="12" t="s">
        <v>1966</v>
      </c>
      <c r="J106" s="13" t="s">
        <v>1661</v>
      </c>
      <c r="K106" s="12"/>
      <c r="L106" s="12" t="s">
        <v>1967</v>
      </c>
      <c r="M106" s="12" t="s">
        <v>1966</v>
      </c>
    </row>
    <row r="107" spans="1:13" ht="55" customHeight="1" x14ac:dyDescent="0.2">
      <c r="A107" s="12">
        <v>106</v>
      </c>
      <c r="B107" s="12">
        <v>751107</v>
      </c>
      <c r="C107" s="12" t="s">
        <v>415</v>
      </c>
      <c r="D107" s="12" t="s">
        <v>640</v>
      </c>
      <c r="E107" s="12" t="s">
        <v>641</v>
      </c>
      <c r="F107" s="12" t="s">
        <v>642</v>
      </c>
      <c r="G107" s="12" t="s">
        <v>26</v>
      </c>
      <c r="H107" s="12" t="s">
        <v>1514</v>
      </c>
      <c r="I107" s="12" t="s">
        <v>1968</v>
      </c>
      <c r="J107" s="13" t="s">
        <v>1661</v>
      </c>
      <c r="K107" s="12"/>
      <c r="L107" s="12" t="s">
        <v>1969</v>
      </c>
      <c r="M107" s="12" t="s">
        <v>1968</v>
      </c>
    </row>
    <row r="108" spans="1:13" ht="55" customHeight="1" x14ac:dyDescent="0.2">
      <c r="A108" s="12">
        <v>107</v>
      </c>
      <c r="B108" s="12">
        <v>758194</v>
      </c>
      <c r="C108" s="12" t="s">
        <v>11</v>
      </c>
      <c r="D108" s="12" t="s">
        <v>344</v>
      </c>
      <c r="E108" s="12" t="s">
        <v>345</v>
      </c>
      <c r="F108" s="12" t="s">
        <v>346</v>
      </c>
      <c r="G108" s="12" t="s">
        <v>26</v>
      </c>
      <c r="H108" s="12" t="s">
        <v>1970</v>
      </c>
      <c r="I108" s="12" t="s">
        <v>1971</v>
      </c>
      <c r="J108" s="13" t="s">
        <v>1661</v>
      </c>
      <c r="K108" s="12"/>
      <c r="L108" s="12" t="s">
        <v>1972</v>
      </c>
      <c r="M108" s="12" t="s">
        <v>1971</v>
      </c>
    </row>
    <row r="109" spans="1:13" ht="55" customHeight="1" x14ac:dyDescent="0.2">
      <c r="A109" s="12">
        <v>108</v>
      </c>
      <c r="B109" s="12">
        <v>772451</v>
      </c>
      <c r="C109" s="12" t="s">
        <v>11</v>
      </c>
      <c r="D109" s="12" t="s">
        <v>76</v>
      </c>
      <c r="E109" s="12" t="s">
        <v>77</v>
      </c>
      <c r="F109" s="12" t="s">
        <v>78</v>
      </c>
      <c r="G109" s="12" t="s">
        <v>80</v>
      </c>
      <c r="H109" s="12" t="s">
        <v>1973</v>
      </c>
      <c r="I109" s="12" t="s">
        <v>1974</v>
      </c>
      <c r="J109" s="13" t="s">
        <v>1661</v>
      </c>
      <c r="K109" s="12"/>
      <c r="L109" s="12" t="s">
        <v>1975</v>
      </c>
      <c r="M109" s="12" t="s">
        <v>1974</v>
      </c>
    </row>
    <row r="110" spans="1:13" ht="55" customHeight="1" x14ac:dyDescent="0.2">
      <c r="A110" s="12">
        <v>109</v>
      </c>
      <c r="B110" s="12">
        <v>776670</v>
      </c>
      <c r="C110" s="12" t="s">
        <v>415</v>
      </c>
      <c r="D110" s="12" t="s">
        <v>1976</v>
      </c>
      <c r="E110" s="12" t="s">
        <v>433</v>
      </c>
      <c r="F110" s="12" t="s">
        <v>434</v>
      </c>
      <c r="G110" s="12" t="s">
        <v>436</v>
      </c>
      <c r="H110" s="12" t="s">
        <v>1977</v>
      </c>
      <c r="I110" s="12" t="s">
        <v>1978</v>
      </c>
      <c r="J110" s="13" t="s">
        <v>1661</v>
      </c>
      <c r="K110" s="12"/>
      <c r="L110" s="12" t="s">
        <v>1979</v>
      </c>
      <c r="M110" s="12" t="s">
        <v>1978</v>
      </c>
    </row>
    <row r="111" spans="1:13" ht="55" customHeight="1" x14ac:dyDescent="0.2">
      <c r="A111" s="12">
        <v>110</v>
      </c>
      <c r="B111" s="12">
        <v>795033</v>
      </c>
      <c r="C111" s="12" t="s">
        <v>11</v>
      </c>
      <c r="D111" s="12" t="s">
        <v>232</v>
      </c>
      <c r="E111" s="12" t="s">
        <v>233</v>
      </c>
      <c r="F111" s="12" t="s">
        <v>234</v>
      </c>
      <c r="G111" s="12" t="s">
        <v>26</v>
      </c>
      <c r="H111" s="12" t="s">
        <v>1980</v>
      </c>
      <c r="I111" s="12" t="s">
        <v>1981</v>
      </c>
      <c r="J111" s="13" t="s">
        <v>1661</v>
      </c>
      <c r="K111" s="12"/>
      <c r="L111" s="12" t="s">
        <v>1982</v>
      </c>
      <c r="M111" s="12" t="s">
        <v>1981</v>
      </c>
    </row>
    <row r="112" spans="1:13" ht="55" customHeight="1" x14ac:dyDescent="0.2">
      <c r="A112" s="12">
        <v>111</v>
      </c>
      <c r="B112" s="12">
        <v>803330</v>
      </c>
      <c r="C112" s="12" t="s">
        <v>415</v>
      </c>
      <c r="D112" s="12" t="s">
        <v>653</v>
      </c>
      <c r="E112" s="12" t="s">
        <v>654</v>
      </c>
      <c r="F112" s="12" t="s">
        <v>655</v>
      </c>
      <c r="G112" s="12" t="s">
        <v>80</v>
      </c>
      <c r="H112" s="12" t="s">
        <v>1983</v>
      </c>
      <c r="I112" s="12" t="s">
        <v>1984</v>
      </c>
      <c r="J112" s="13" t="s">
        <v>1661</v>
      </c>
      <c r="K112" s="12"/>
      <c r="L112" s="12" t="s">
        <v>1985</v>
      </c>
      <c r="M112" s="12" t="s">
        <v>1984</v>
      </c>
    </row>
    <row r="113" spans="1:13" ht="55" customHeight="1" x14ac:dyDescent="0.2">
      <c r="A113" s="12">
        <v>112</v>
      </c>
      <c r="B113" s="12">
        <v>803964</v>
      </c>
      <c r="C113" s="12" t="s">
        <v>415</v>
      </c>
      <c r="D113" s="12" t="s">
        <v>544</v>
      </c>
      <c r="E113" s="12" t="s">
        <v>545</v>
      </c>
      <c r="F113" s="12" t="s">
        <v>546</v>
      </c>
      <c r="G113" s="12" t="s">
        <v>56</v>
      </c>
      <c r="H113" s="12" t="s">
        <v>1986</v>
      </c>
      <c r="I113" s="12" t="s">
        <v>1987</v>
      </c>
      <c r="J113" s="13" t="s">
        <v>1661</v>
      </c>
      <c r="K113" s="12"/>
      <c r="L113" s="12" t="s">
        <v>1988</v>
      </c>
      <c r="M113" s="12" t="s">
        <v>1987</v>
      </c>
    </row>
    <row r="114" spans="1:13" ht="55" customHeight="1" x14ac:dyDescent="0.2">
      <c r="A114" s="12">
        <v>113</v>
      </c>
      <c r="B114" s="12">
        <v>820481</v>
      </c>
      <c r="C114" s="12" t="s">
        <v>666</v>
      </c>
      <c r="D114" s="12" t="s">
        <v>739</v>
      </c>
      <c r="E114" s="12" t="s">
        <v>740</v>
      </c>
      <c r="F114" s="12" t="s">
        <v>741</v>
      </c>
      <c r="G114" s="12" t="s">
        <v>743</v>
      </c>
      <c r="H114" s="12" t="s">
        <v>1989</v>
      </c>
      <c r="I114" s="12" t="s">
        <v>1990</v>
      </c>
      <c r="J114" s="13" t="s">
        <v>1661</v>
      </c>
      <c r="K114" s="12"/>
      <c r="L114" s="12" t="s">
        <v>1991</v>
      </c>
      <c r="M114" s="12" t="s">
        <v>1990</v>
      </c>
    </row>
    <row r="115" spans="1:13" ht="55" customHeight="1" x14ac:dyDescent="0.2">
      <c r="A115" s="12">
        <v>114</v>
      </c>
      <c r="B115" s="12">
        <v>820943</v>
      </c>
      <c r="C115" s="12" t="s">
        <v>1178</v>
      </c>
      <c r="D115" s="12" t="s">
        <v>1363</v>
      </c>
      <c r="E115" s="12" t="s">
        <v>1364</v>
      </c>
      <c r="F115" s="12" t="s">
        <v>1365</v>
      </c>
      <c r="G115" s="12" t="s">
        <v>564</v>
      </c>
      <c r="H115" s="12" t="s">
        <v>1992</v>
      </c>
      <c r="I115" s="12" t="s">
        <v>1993</v>
      </c>
      <c r="J115" s="13" t="s">
        <v>1661</v>
      </c>
      <c r="K115" s="12"/>
      <c r="L115" s="12" t="s">
        <v>1994</v>
      </c>
      <c r="M115" s="12" t="s">
        <v>1993</v>
      </c>
    </row>
    <row r="116" spans="1:13" ht="55" customHeight="1" x14ac:dyDescent="0.2">
      <c r="A116" s="12">
        <v>115</v>
      </c>
      <c r="B116" s="12">
        <v>830663</v>
      </c>
      <c r="C116" s="12" t="s">
        <v>11</v>
      </c>
      <c r="D116" s="12" t="s">
        <v>136</v>
      </c>
      <c r="E116" s="12" t="s">
        <v>137</v>
      </c>
      <c r="F116" s="12" t="s">
        <v>138</v>
      </c>
      <c r="G116" s="12" t="s">
        <v>140</v>
      </c>
      <c r="H116" s="12" t="s">
        <v>1995</v>
      </c>
      <c r="I116" s="12" t="s">
        <v>1996</v>
      </c>
      <c r="J116" s="13" t="s">
        <v>1661</v>
      </c>
      <c r="K116" s="12"/>
      <c r="L116" s="12" t="s">
        <v>1997</v>
      </c>
      <c r="M116" s="12" t="s">
        <v>1996</v>
      </c>
    </row>
    <row r="117" spans="1:13" ht="55" customHeight="1" x14ac:dyDescent="0.2">
      <c r="A117" s="12">
        <v>116</v>
      </c>
      <c r="B117" s="12">
        <v>830950</v>
      </c>
      <c r="C117" s="12" t="s">
        <v>666</v>
      </c>
      <c r="D117" s="12" t="s">
        <v>1107</v>
      </c>
      <c r="E117" s="12" t="s">
        <v>1108</v>
      </c>
      <c r="F117" s="12" t="s">
        <v>1109</v>
      </c>
      <c r="G117" s="12" t="s">
        <v>427</v>
      </c>
      <c r="H117" s="12" t="s">
        <v>1631</v>
      </c>
      <c r="I117" s="12" t="s">
        <v>1998</v>
      </c>
      <c r="J117" s="13" t="s">
        <v>1665</v>
      </c>
      <c r="K117" s="12"/>
      <c r="L117" s="12" t="s">
        <v>1999</v>
      </c>
      <c r="M117" s="12" t="s">
        <v>1998</v>
      </c>
    </row>
    <row r="118" spans="1:13" ht="55" customHeight="1" x14ac:dyDescent="0.2">
      <c r="A118" s="12">
        <v>117</v>
      </c>
      <c r="B118" s="12">
        <v>833680</v>
      </c>
      <c r="C118" s="12" t="s">
        <v>666</v>
      </c>
      <c r="D118" s="12" t="s">
        <v>723</v>
      </c>
      <c r="E118" s="12" t="s">
        <v>724</v>
      </c>
      <c r="F118" s="12" t="s">
        <v>725</v>
      </c>
      <c r="G118" s="12" t="s">
        <v>108</v>
      </c>
      <c r="H118" s="12" t="s">
        <v>1629</v>
      </c>
      <c r="I118" s="12" t="s">
        <v>2000</v>
      </c>
      <c r="J118" s="13" t="s">
        <v>1665</v>
      </c>
      <c r="K118" s="12"/>
      <c r="L118" s="12" t="s">
        <v>2001</v>
      </c>
      <c r="M118" s="12" t="s">
        <v>2000</v>
      </c>
    </row>
    <row r="119" spans="1:13" ht="55" customHeight="1" x14ac:dyDescent="0.2">
      <c r="A119" s="12">
        <v>118</v>
      </c>
      <c r="B119" s="12">
        <v>845922</v>
      </c>
      <c r="C119" s="12" t="s">
        <v>415</v>
      </c>
      <c r="D119" s="12" t="s">
        <v>458</v>
      </c>
      <c r="E119" s="12" t="s">
        <v>459</v>
      </c>
      <c r="F119" s="12" t="s">
        <v>460</v>
      </c>
      <c r="G119" s="12" t="s">
        <v>276</v>
      </c>
      <c r="H119" s="12" t="s">
        <v>2002</v>
      </c>
      <c r="I119" s="12" t="s">
        <v>2003</v>
      </c>
      <c r="J119" s="13" t="s">
        <v>1661</v>
      </c>
      <c r="K119" s="12"/>
      <c r="L119" s="12" t="s">
        <v>2004</v>
      </c>
      <c r="M119" s="12" t="s">
        <v>2003</v>
      </c>
    </row>
    <row r="120" spans="1:13" ht="55" customHeight="1" x14ac:dyDescent="0.2">
      <c r="A120" s="12">
        <v>119</v>
      </c>
      <c r="B120" s="12">
        <v>850087</v>
      </c>
      <c r="C120" s="12" t="s">
        <v>1178</v>
      </c>
      <c r="D120" s="12" t="s">
        <v>1404</v>
      </c>
      <c r="E120" s="12" t="s">
        <v>1405</v>
      </c>
      <c r="F120" s="12" t="s">
        <v>1406</v>
      </c>
      <c r="G120" s="12" t="s">
        <v>26</v>
      </c>
      <c r="H120" s="12" t="s">
        <v>1514</v>
      </c>
      <c r="I120" s="12" t="s">
        <v>2005</v>
      </c>
      <c r="J120" s="13" t="s">
        <v>1661</v>
      </c>
      <c r="K120" s="12"/>
      <c r="L120" s="12" t="s">
        <v>2006</v>
      </c>
      <c r="M120" s="12" t="s">
        <v>2005</v>
      </c>
    </row>
    <row r="121" spans="1:13" ht="55" customHeight="1" x14ac:dyDescent="0.2">
      <c r="A121" s="12">
        <v>120</v>
      </c>
      <c r="B121" s="12">
        <v>850176</v>
      </c>
      <c r="C121" s="12" t="s">
        <v>1178</v>
      </c>
      <c r="D121" s="12" t="s">
        <v>1316</v>
      </c>
      <c r="E121" s="12" t="s">
        <v>1317</v>
      </c>
      <c r="F121" s="12" t="s">
        <v>1318</v>
      </c>
      <c r="G121" s="12" t="s">
        <v>564</v>
      </c>
      <c r="H121" s="12" t="s">
        <v>2007</v>
      </c>
      <c r="I121" s="12" t="s">
        <v>2008</v>
      </c>
      <c r="J121" s="13" t="s">
        <v>1661</v>
      </c>
      <c r="K121" s="12"/>
      <c r="L121" s="12" t="s">
        <v>2009</v>
      </c>
      <c r="M121" s="12" t="s">
        <v>2008</v>
      </c>
    </row>
    <row r="122" spans="1:13" ht="55" customHeight="1" x14ac:dyDescent="0.2">
      <c r="A122" s="12">
        <v>121</v>
      </c>
      <c r="B122" s="12">
        <v>850286</v>
      </c>
      <c r="C122" s="12" t="s">
        <v>666</v>
      </c>
      <c r="D122" s="12" t="s">
        <v>933</v>
      </c>
      <c r="E122" s="12" t="s">
        <v>934</v>
      </c>
      <c r="F122" s="12" t="s">
        <v>935</v>
      </c>
      <c r="G122" s="12" t="s">
        <v>26</v>
      </c>
      <c r="H122" s="12" t="s">
        <v>2010</v>
      </c>
      <c r="I122" s="12" t="s">
        <v>2011</v>
      </c>
      <c r="J122" s="13" t="s">
        <v>1661</v>
      </c>
      <c r="K122" s="12"/>
      <c r="L122" s="12" t="s">
        <v>2012</v>
      </c>
      <c r="M122" s="12" t="s">
        <v>2011</v>
      </c>
    </row>
    <row r="123" spans="1:13" ht="55" customHeight="1" x14ac:dyDescent="0.2">
      <c r="A123" s="12">
        <v>122</v>
      </c>
      <c r="B123" s="12">
        <v>864452</v>
      </c>
      <c r="C123" s="12" t="s">
        <v>666</v>
      </c>
      <c r="D123" s="12" t="s">
        <v>808</v>
      </c>
      <c r="E123" s="12" t="s">
        <v>809</v>
      </c>
      <c r="F123" s="12" t="s">
        <v>810</v>
      </c>
      <c r="G123" s="12" t="s">
        <v>281</v>
      </c>
      <c r="H123" s="12" t="s">
        <v>2013</v>
      </c>
      <c r="I123" s="12" t="s">
        <v>2014</v>
      </c>
      <c r="J123" s="13" t="s">
        <v>1661</v>
      </c>
      <c r="K123" s="12"/>
      <c r="L123" s="12" t="s">
        <v>2015</v>
      </c>
      <c r="M123" s="12" t="s">
        <v>2014</v>
      </c>
    </row>
    <row r="124" spans="1:13" ht="55" customHeight="1" x14ac:dyDescent="0.2">
      <c r="A124" s="12">
        <v>123</v>
      </c>
      <c r="B124" s="12">
        <v>866797</v>
      </c>
      <c r="C124" s="12" t="s">
        <v>11</v>
      </c>
      <c r="D124" s="12" t="s">
        <v>52</v>
      </c>
      <c r="E124" s="12" t="s">
        <v>53</v>
      </c>
      <c r="F124" s="12" t="s">
        <v>54</v>
      </c>
      <c r="G124" s="12" t="s">
        <v>56</v>
      </c>
      <c r="H124" s="12" t="s">
        <v>2016</v>
      </c>
      <c r="I124" s="12" t="s">
        <v>2017</v>
      </c>
      <c r="J124" s="13" t="s">
        <v>1661</v>
      </c>
      <c r="K124" s="12"/>
      <c r="L124" s="12" t="s">
        <v>2018</v>
      </c>
      <c r="M124" s="12" t="s">
        <v>2017</v>
      </c>
    </row>
    <row r="125" spans="1:13" ht="55" customHeight="1" x14ac:dyDescent="0.2">
      <c r="A125" s="12">
        <v>124</v>
      </c>
      <c r="B125" s="12">
        <v>871316</v>
      </c>
      <c r="C125" s="12" t="s">
        <v>666</v>
      </c>
      <c r="D125" s="12" t="s">
        <v>735</v>
      </c>
      <c r="E125" s="12" t="s">
        <v>736</v>
      </c>
      <c r="F125" s="12" t="s">
        <v>737</v>
      </c>
      <c r="G125" s="12" t="s">
        <v>26</v>
      </c>
      <c r="H125" s="12" t="s">
        <v>2019</v>
      </c>
      <c r="I125" s="12" t="s">
        <v>2020</v>
      </c>
      <c r="J125" s="13" t="s">
        <v>1661</v>
      </c>
      <c r="K125" s="12"/>
      <c r="L125" s="12" t="s">
        <v>2021</v>
      </c>
      <c r="M125" s="12" t="s">
        <v>2020</v>
      </c>
    </row>
    <row r="126" spans="1:13" ht="55" customHeight="1" x14ac:dyDescent="0.2">
      <c r="A126" s="12">
        <v>125</v>
      </c>
      <c r="B126" s="12">
        <v>873729</v>
      </c>
      <c r="C126" s="12" t="s">
        <v>1178</v>
      </c>
      <c r="D126" s="12" t="s">
        <v>1349</v>
      </c>
      <c r="E126" s="12" t="s">
        <v>1350</v>
      </c>
      <c r="F126" s="12" t="s">
        <v>1351</v>
      </c>
      <c r="G126" s="12" t="s">
        <v>1353</v>
      </c>
      <c r="H126" s="12" t="s">
        <v>2022</v>
      </c>
      <c r="I126" s="12" t="s">
        <v>2023</v>
      </c>
      <c r="J126" s="13" t="s">
        <v>1661</v>
      </c>
      <c r="K126" s="12"/>
      <c r="L126" s="12" t="s">
        <v>2024</v>
      </c>
      <c r="M126" s="12" t="s">
        <v>2023</v>
      </c>
    </row>
    <row r="127" spans="1:13" ht="55" customHeight="1" x14ac:dyDescent="0.2">
      <c r="A127" s="12">
        <v>126</v>
      </c>
      <c r="B127" s="12">
        <v>874463</v>
      </c>
      <c r="C127" s="12" t="s">
        <v>11</v>
      </c>
      <c r="D127" s="12" t="s">
        <v>71</v>
      </c>
      <c r="E127" s="12" t="s">
        <v>72</v>
      </c>
      <c r="F127" s="12" t="s">
        <v>73</v>
      </c>
      <c r="G127" s="12" t="s">
        <v>75</v>
      </c>
      <c r="H127" s="12" t="s">
        <v>2025</v>
      </c>
      <c r="I127" s="12" t="s">
        <v>2026</v>
      </c>
      <c r="J127" s="13" t="s">
        <v>1661</v>
      </c>
      <c r="K127" s="12"/>
      <c r="L127" s="12" t="s">
        <v>2027</v>
      </c>
      <c r="M127" s="12" t="s">
        <v>2026</v>
      </c>
    </row>
    <row r="128" spans="1:13" ht="55" customHeight="1" x14ac:dyDescent="0.2">
      <c r="A128" s="12">
        <v>127</v>
      </c>
      <c r="B128" s="12">
        <v>878578</v>
      </c>
      <c r="C128" s="12" t="s">
        <v>11</v>
      </c>
      <c r="D128" s="12" t="s">
        <v>301</v>
      </c>
      <c r="E128" s="12" t="s">
        <v>302</v>
      </c>
      <c r="F128" s="12" t="s">
        <v>303</v>
      </c>
      <c r="G128" s="12" t="s">
        <v>250</v>
      </c>
      <c r="H128" s="12" t="s">
        <v>1989</v>
      </c>
      <c r="I128" s="12" t="s">
        <v>2028</v>
      </c>
      <c r="J128" s="13" t="s">
        <v>1665</v>
      </c>
      <c r="K128" s="12"/>
      <c r="L128" s="12" t="s">
        <v>2029</v>
      </c>
      <c r="M128" s="12" t="s">
        <v>2028</v>
      </c>
    </row>
    <row r="129" spans="1:13" ht="55" customHeight="1" x14ac:dyDescent="0.2">
      <c r="A129" s="12">
        <v>128</v>
      </c>
      <c r="B129" s="12">
        <v>885955</v>
      </c>
      <c r="C129" s="12" t="s">
        <v>666</v>
      </c>
      <c r="D129" s="12" t="s">
        <v>1000</v>
      </c>
      <c r="E129" s="12" t="s">
        <v>1001</v>
      </c>
      <c r="F129" s="12" t="s">
        <v>1002</v>
      </c>
      <c r="G129" s="12" t="s">
        <v>108</v>
      </c>
      <c r="H129" s="12" t="s">
        <v>2030</v>
      </c>
      <c r="I129" s="12" t="s">
        <v>2031</v>
      </c>
      <c r="J129" s="13" t="s">
        <v>1661</v>
      </c>
      <c r="K129" s="12"/>
      <c r="L129" s="12" t="s">
        <v>2032</v>
      </c>
      <c r="M129" s="12" t="s">
        <v>2031</v>
      </c>
    </row>
    <row r="130" spans="1:13" ht="55" customHeight="1" x14ac:dyDescent="0.2">
      <c r="A130" s="12">
        <v>129</v>
      </c>
      <c r="B130" s="12">
        <v>893454</v>
      </c>
      <c r="C130" s="12" t="s">
        <v>1178</v>
      </c>
      <c r="D130" s="12" t="s">
        <v>1195</v>
      </c>
      <c r="E130" s="12" t="s">
        <v>1196</v>
      </c>
      <c r="F130" s="12" t="s">
        <v>1197</v>
      </c>
      <c r="G130" s="12" t="s">
        <v>291</v>
      </c>
      <c r="H130" s="12" t="s">
        <v>1514</v>
      </c>
      <c r="I130" s="12" t="s">
        <v>2033</v>
      </c>
      <c r="J130" s="13" t="s">
        <v>1661</v>
      </c>
      <c r="K130" s="12"/>
      <c r="L130" s="12" t="s">
        <v>2034</v>
      </c>
      <c r="M130" s="12" t="s">
        <v>2033</v>
      </c>
    </row>
    <row r="131" spans="1:13" ht="55" customHeight="1" x14ac:dyDescent="0.2">
      <c r="A131" s="12">
        <v>130</v>
      </c>
      <c r="B131" s="12">
        <v>923892</v>
      </c>
      <c r="C131" s="12" t="s">
        <v>11</v>
      </c>
      <c r="D131" s="12" t="s">
        <v>263</v>
      </c>
      <c r="E131" s="12" t="s">
        <v>264</v>
      </c>
      <c r="F131" s="12" t="s">
        <v>265</v>
      </c>
      <c r="G131" s="12" t="s">
        <v>267</v>
      </c>
      <c r="H131" s="12" t="s">
        <v>1523</v>
      </c>
      <c r="I131" s="12" t="s">
        <v>2035</v>
      </c>
      <c r="J131" s="13" t="s">
        <v>1661</v>
      </c>
      <c r="K131" s="12"/>
      <c r="L131" s="12" t="s">
        <v>2036</v>
      </c>
      <c r="M131" s="12" t="s">
        <v>2035</v>
      </c>
    </row>
    <row r="132" spans="1:13" ht="55" customHeight="1" x14ac:dyDescent="0.2">
      <c r="A132" s="12">
        <v>131</v>
      </c>
      <c r="B132" s="12">
        <v>925434</v>
      </c>
      <c r="C132" s="12" t="s">
        <v>666</v>
      </c>
      <c r="D132" s="12" t="s">
        <v>1044</v>
      </c>
      <c r="E132" s="12" t="s">
        <v>1045</v>
      </c>
      <c r="F132" s="12" t="s">
        <v>1046</v>
      </c>
      <c r="G132" s="12" t="s">
        <v>191</v>
      </c>
      <c r="H132" s="12" t="s">
        <v>2037</v>
      </c>
      <c r="I132" s="12" t="s">
        <v>2038</v>
      </c>
      <c r="J132" s="13" t="s">
        <v>1665</v>
      </c>
      <c r="K132" s="12"/>
      <c r="L132" s="12" t="s">
        <v>2039</v>
      </c>
      <c r="M132" s="12" t="s">
        <v>2038</v>
      </c>
    </row>
    <row r="133" spans="1:13" ht="55" customHeight="1" x14ac:dyDescent="0.2">
      <c r="A133" s="12">
        <v>132</v>
      </c>
      <c r="B133" s="12">
        <v>928304</v>
      </c>
      <c r="C133" s="12" t="s">
        <v>666</v>
      </c>
      <c r="D133" s="12" t="s">
        <v>699</v>
      </c>
      <c r="E133" s="12" t="s">
        <v>700</v>
      </c>
      <c r="F133" s="12" t="s">
        <v>701</v>
      </c>
      <c r="G133" s="12" t="s">
        <v>26</v>
      </c>
      <c r="H133" s="12" t="s">
        <v>2040</v>
      </c>
      <c r="I133" s="12" t="s">
        <v>2041</v>
      </c>
      <c r="J133" s="13" t="s">
        <v>1661</v>
      </c>
      <c r="K133" s="12"/>
      <c r="L133" s="12" t="s">
        <v>2042</v>
      </c>
      <c r="M133" s="12" t="s">
        <v>2041</v>
      </c>
    </row>
    <row r="134" spans="1:13" ht="55" customHeight="1" x14ac:dyDescent="0.2">
      <c r="A134" s="12">
        <v>133</v>
      </c>
      <c r="B134" s="12">
        <v>929242</v>
      </c>
      <c r="C134" s="12" t="s">
        <v>666</v>
      </c>
      <c r="D134" s="12" t="s">
        <v>1073</v>
      </c>
      <c r="E134" s="12" t="s">
        <v>1074</v>
      </c>
      <c r="F134" s="12" t="s">
        <v>1075</v>
      </c>
      <c r="G134" s="12" t="s">
        <v>1077</v>
      </c>
      <c r="H134" s="12" t="s">
        <v>2043</v>
      </c>
      <c r="I134" s="12" t="s">
        <v>2044</v>
      </c>
      <c r="J134" s="13" t="s">
        <v>1661</v>
      </c>
      <c r="K134" s="12"/>
      <c r="L134" s="12" t="s">
        <v>2045</v>
      </c>
      <c r="M134" s="12" t="s">
        <v>2044</v>
      </c>
    </row>
    <row r="135" spans="1:13" ht="55" customHeight="1" x14ac:dyDescent="0.2">
      <c r="A135" s="12">
        <v>134</v>
      </c>
      <c r="B135" s="12">
        <v>936558</v>
      </c>
      <c r="C135" s="12" t="s">
        <v>666</v>
      </c>
      <c r="D135" s="12" t="s">
        <v>883</v>
      </c>
      <c r="E135" s="12" t="s">
        <v>884</v>
      </c>
      <c r="F135" s="12" t="s">
        <v>885</v>
      </c>
      <c r="G135" s="12" t="s">
        <v>887</v>
      </c>
      <c r="H135" s="12" t="s">
        <v>2046</v>
      </c>
      <c r="I135" s="12" t="s">
        <v>2047</v>
      </c>
      <c r="J135" s="13" t="s">
        <v>1661</v>
      </c>
      <c r="K135" s="12"/>
      <c r="L135" s="12" t="s">
        <v>2048</v>
      </c>
      <c r="M135" s="12" t="s">
        <v>2047</v>
      </c>
    </row>
    <row r="136" spans="1:13" ht="55" customHeight="1" x14ac:dyDescent="0.2">
      <c r="A136" s="12">
        <v>135</v>
      </c>
      <c r="B136" s="12">
        <v>937395</v>
      </c>
      <c r="C136" s="12" t="s">
        <v>1178</v>
      </c>
      <c r="D136" s="12" t="s">
        <v>1336</v>
      </c>
      <c r="E136" s="12" t="s">
        <v>1337</v>
      </c>
      <c r="F136" s="12" t="s">
        <v>1338</v>
      </c>
      <c r="G136" s="12" t="s">
        <v>26</v>
      </c>
      <c r="H136" s="12" t="s">
        <v>2049</v>
      </c>
      <c r="I136" s="12" t="s">
        <v>2050</v>
      </c>
      <c r="J136" s="13" t="s">
        <v>1661</v>
      </c>
      <c r="K136" s="12"/>
      <c r="L136" s="12" t="s">
        <v>2051</v>
      </c>
      <c r="M136" s="12" t="s">
        <v>2050</v>
      </c>
    </row>
    <row r="137" spans="1:13" ht="55" customHeight="1" x14ac:dyDescent="0.2">
      <c r="A137" s="12">
        <v>136</v>
      </c>
      <c r="B137" s="12">
        <v>939304</v>
      </c>
      <c r="C137" s="12" t="s">
        <v>11</v>
      </c>
      <c r="D137" s="12" t="s">
        <v>37</v>
      </c>
      <c r="E137" s="12" t="s">
        <v>38</v>
      </c>
      <c r="F137" s="12" t="s">
        <v>39</v>
      </c>
      <c r="G137" s="12" t="s">
        <v>41</v>
      </c>
      <c r="H137" s="12" t="s">
        <v>2052</v>
      </c>
      <c r="I137" s="12" t="s">
        <v>2053</v>
      </c>
      <c r="J137" s="13" t="s">
        <v>1665</v>
      </c>
      <c r="K137" s="12"/>
      <c r="L137" s="12" t="s">
        <v>2054</v>
      </c>
      <c r="M137" s="12" t="s">
        <v>2053</v>
      </c>
    </row>
    <row r="138" spans="1:13" ht="55" customHeight="1" x14ac:dyDescent="0.2">
      <c r="A138" s="12">
        <v>137</v>
      </c>
      <c r="B138" s="12">
        <v>940283</v>
      </c>
      <c r="C138" s="12" t="s">
        <v>11</v>
      </c>
      <c r="D138" s="12" t="s">
        <v>368</v>
      </c>
      <c r="E138" s="12" t="s">
        <v>369</v>
      </c>
      <c r="F138" s="12" t="s">
        <v>370</v>
      </c>
      <c r="G138" s="12" t="s">
        <v>372</v>
      </c>
      <c r="H138" s="12" t="s">
        <v>2055</v>
      </c>
      <c r="I138" s="12" t="s">
        <v>2056</v>
      </c>
      <c r="J138" s="13" t="s">
        <v>1661</v>
      </c>
      <c r="K138" s="12"/>
      <c r="L138" s="12" t="s">
        <v>2057</v>
      </c>
      <c r="M138" s="12" t="s">
        <v>2056</v>
      </c>
    </row>
    <row r="139" spans="1:13" ht="55" customHeight="1" x14ac:dyDescent="0.2">
      <c r="A139" s="12">
        <v>138</v>
      </c>
      <c r="B139" s="12">
        <v>950418</v>
      </c>
      <c r="C139" s="12" t="s">
        <v>666</v>
      </c>
      <c r="D139" s="12" t="s">
        <v>752</v>
      </c>
      <c r="E139" s="12" t="s">
        <v>753</v>
      </c>
      <c r="F139" s="12" t="s">
        <v>754</v>
      </c>
      <c r="G139" s="12" t="s">
        <v>756</v>
      </c>
      <c r="H139" s="12" t="s">
        <v>2058</v>
      </c>
      <c r="I139" s="12" t="s">
        <v>2059</v>
      </c>
      <c r="J139" s="13" t="s">
        <v>1661</v>
      </c>
      <c r="K139" s="12"/>
      <c r="L139" s="12" t="s">
        <v>2060</v>
      </c>
      <c r="M139" s="12" t="s">
        <v>2059</v>
      </c>
    </row>
    <row r="140" spans="1:13" ht="55" customHeight="1" x14ac:dyDescent="0.2">
      <c r="A140" s="12">
        <v>139</v>
      </c>
      <c r="B140" s="12">
        <v>958046</v>
      </c>
      <c r="C140" s="12" t="s">
        <v>11</v>
      </c>
      <c r="D140" s="12" t="s">
        <v>22</v>
      </c>
      <c r="E140" s="12" t="s">
        <v>23</v>
      </c>
      <c r="F140" s="12" t="s">
        <v>24</v>
      </c>
      <c r="G140" s="12" t="s">
        <v>26</v>
      </c>
      <c r="H140" s="12" t="s">
        <v>2061</v>
      </c>
      <c r="I140" s="12" t="s">
        <v>2062</v>
      </c>
      <c r="J140" s="13" t="s">
        <v>1661</v>
      </c>
      <c r="K140" s="12"/>
      <c r="L140" s="12" t="s">
        <v>2063</v>
      </c>
      <c r="M140" s="12" t="s">
        <v>2062</v>
      </c>
    </row>
    <row r="141" spans="1:13" ht="55" customHeight="1" x14ac:dyDescent="0.2">
      <c r="A141" s="12">
        <v>140</v>
      </c>
      <c r="B141" s="12">
        <v>967962</v>
      </c>
      <c r="C141" s="12" t="s">
        <v>11</v>
      </c>
      <c r="D141" s="12" t="s">
        <v>114</v>
      </c>
      <c r="E141" s="12" t="s">
        <v>115</v>
      </c>
      <c r="F141" s="12" t="s">
        <v>116</v>
      </c>
      <c r="G141" s="12" t="s">
        <v>80</v>
      </c>
      <c r="H141" s="12" t="s">
        <v>2064</v>
      </c>
      <c r="I141" s="12" t="s">
        <v>2065</v>
      </c>
      <c r="J141" s="13" t="s">
        <v>1661</v>
      </c>
      <c r="K141" s="12"/>
      <c r="L141" s="12" t="s">
        <v>2066</v>
      </c>
      <c r="M141" s="12" t="s">
        <v>2065</v>
      </c>
    </row>
    <row r="142" spans="1:13" ht="55" customHeight="1" x14ac:dyDescent="0.2">
      <c r="A142" s="12">
        <v>141</v>
      </c>
      <c r="B142" s="12">
        <v>968771</v>
      </c>
      <c r="C142" s="12" t="s">
        <v>666</v>
      </c>
      <c r="D142" s="12" t="s">
        <v>1056</v>
      </c>
      <c r="E142" s="12" t="s">
        <v>1057</v>
      </c>
      <c r="F142" s="12" t="s">
        <v>1058</v>
      </c>
      <c r="G142" s="12" t="s">
        <v>1060</v>
      </c>
      <c r="H142" s="12" t="s">
        <v>2067</v>
      </c>
      <c r="I142" s="12" t="s">
        <v>2068</v>
      </c>
      <c r="J142" s="13" t="s">
        <v>1661</v>
      </c>
      <c r="K142" s="14" t="s">
        <v>2069</v>
      </c>
      <c r="L142" s="12" t="s">
        <v>2070</v>
      </c>
      <c r="M142" s="12" t="s">
        <v>2068</v>
      </c>
    </row>
    <row r="143" spans="1:13" ht="55" customHeight="1" x14ac:dyDescent="0.2">
      <c r="A143" s="12">
        <v>142</v>
      </c>
      <c r="B143" s="12">
        <v>973189</v>
      </c>
      <c r="C143" s="12" t="s">
        <v>11</v>
      </c>
      <c r="D143" s="12" t="s">
        <v>223</v>
      </c>
      <c r="E143" s="12" t="s">
        <v>224</v>
      </c>
      <c r="F143" s="12" t="s">
        <v>225</v>
      </c>
      <c r="G143" s="12" t="s">
        <v>227</v>
      </c>
      <c r="H143" s="12" t="s">
        <v>2071</v>
      </c>
      <c r="I143" s="12" t="s">
        <v>2072</v>
      </c>
      <c r="J143" s="13" t="s">
        <v>1661</v>
      </c>
      <c r="K143" s="12"/>
      <c r="L143" s="12" t="s">
        <v>2073</v>
      </c>
      <c r="M143" s="12" t="s">
        <v>2072</v>
      </c>
    </row>
    <row r="144" spans="1:13" ht="55" customHeight="1" x14ac:dyDescent="0.2">
      <c r="A144" s="12">
        <v>143</v>
      </c>
      <c r="B144" s="12">
        <v>974058</v>
      </c>
      <c r="C144" s="12" t="s">
        <v>415</v>
      </c>
      <c r="D144" s="12" t="s">
        <v>636</v>
      </c>
      <c r="E144" s="12" t="s">
        <v>637</v>
      </c>
      <c r="F144" s="12" t="s">
        <v>638</v>
      </c>
      <c r="G144" s="12" t="s">
        <v>85</v>
      </c>
      <c r="H144" s="12" t="s">
        <v>1842</v>
      </c>
      <c r="I144" s="12" t="s">
        <v>2074</v>
      </c>
      <c r="J144" s="13" t="s">
        <v>1661</v>
      </c>
      <c r="K144" s="12"/>
      <c r="L144" s="12" t="s">
        <v>2075</v>
      </c>
      <c r="M144" s="12" t="s">
        <v>2074</v>
      </c>
    </row>
    <row r="145" spans="1:13" ht="55" customHeight="1" x14ac:dyDescent="0.2">
      <c r="A145" s="12">
        <v>144</v>
      </c>
      <c r="B145" s="12">
        <v>977798</v>
      </c>
      <c r="C145" s="12" t="s">
        <v>11</v>
      </c>
      <c r="D145" s="12" t="s">
        <v>397</v>
      </c>
      <c r="E145" s="12" t="s">
        <v>398</v>
      </c>
      <c r="F145" s="12" t="s">
        <v>399</v>
      </c>
      <c r="G145" s="12" t="s">
        <v>401</v>
      </c>
      <c r="H145" s="12" t="s">
        <v>2037</v>
      </c>
      <c r="I145" s="12" t="s">
        <v>2076</v>
      </c>
      <c r="J145" s="13" t="s">
        <v>1661</v>
      </c>
      <c r="K145" s="12"/>
      <c r="L145" s="12" t="s">
        <v>2077</v>
      </c>
      <c r="M145" s="12" t="s">
        <v>2076</v>
      </c>
    </row>
  </sheetData>
  <hyperlinks>
    <hyperlink ref="E47" r:id="rId1" xr:uid="{085B9C7E-EE25-FC49-95CB-96EE7F6E85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papers</vt:lpstr>
      <vt:lpstr>+randomNum</vt:lpstr>
      <vt:lpstr>sampled</vt:lpstr>
      <vt:lpstr>coded</vt:lpstr>
      <vt:lpstr>freq</vt:lpstr>
      <vt:lpstr>Remaining 144 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Arvan, Erfan</cp:lastModifiedBy>
  <dcterms:created xsi:type="dcterms:W3CDTF">2026-10-03T09:53:55Z</dcterms:created>
  <dcterms:modified xsi:type="dcterms:W3CDTF">2026-10-03T09:53:55Z</dcterms:modified>
</cp:coreProperties>
</file>